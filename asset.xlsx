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gfmisdashbaord\"/>
    </mc:Choice>
  </mc:AlternateContent>
  <xr:revisionPtr revIDLastSave="0" documentId="13_ncr:1_{CD620789-68F9-4101-8E44-C7075AB955EE}" xr6:coauthVersionLast="47" xr6:coauthVersionMax="47" xr10:uidLastSave="{00000000-0000-0000-0000-000000000000}"/>
  <bookViews>
    <workbookView xWindow="-108" yWindow="-108" windowWidth="23256" windowHeight="12456" tabRatio="938" activeTab="5" xr2:uid="{CDDB590F-10CC-4F89-8097-D69770DA5897}"/>
  </bookViews>
  <sheets>
    <sheet name="เชียงแสน (2)" sheetId="20" r:id="rId1"/>
    <sheet name="เทิง" sheetId="1" r:id="rId2"/>
    <sheet name="พาน" sheetId="4" r:id="rId3"/>
    <sheet name="ป่าแดด" sheetId="5" r:id="rId4"/>
    <sheet name="แม่จัน" sheetId="6" r:id="rId5"/>
    <sheet name="เชียงแสน" sheetId="7" r:id="rId6"/>
    <sheet name="แม่สาย" sheetId="8" r:id="rId7"/>
    <sheet name="แม่สรวย" sheetId="9" r:id="rId8"/>
    <sheet name="เวียงป่าเป้า" sheetId="10" r:id="rId9"/>
    <sheet name="พญาเม็งราย" sheetId="11" r:id="rId10"/>
    <sheet name="เวียงแก่น" sheetId="12" r:id="rId11"/>
    <sheet name="ขุนตาล" sheetId="13" r:id="rId12"/>
    <sheet name="แม่ฟ้าหลวง" sheetId="14" r:id="rId13"/>
    <sheet name="แม่ลาว" sheetId="15" r:id="rId14"/>
    <sheet name="เวียงเชียงรุ้ง" sheetId="16" r:id="rId15"/>
    <sheet name="เชียงของ" sheetId="17" r:id="rId16"/>
    <sheet name="สมเด็จพระญาณสังวร" sheetId="18" r:id="rId17"/>
    <sheet name="ดอยหลวง" sheetId="19" r:id="rId18"/>
    <sheet name="Sheet2" sheetId="2" r:id="rId19"/>
    <sheet name="Sheet3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9" i="18" l="1"/>
  <c r="T39" i="16"/>
  <c r="T39" i="10"/>
  <c r="S59" i="18" l="1"/>
  <c r="S39" i="18"/>
  <c r="S39" i="16"/>
  <c r="S39" i="10"/>
  <c r="R59" i="18" l="1"/>
  <c r="R39" i="18"/>
  <c r="R59" i="16"/>
  <c r="R39" i="16"/>
  <c r="R61" i="12"/>
  <c r="R59" i="10"/>
  <c r="R39" i="10"/>
  <c r="E60" i="2" l="1"/>
  <c r="F60" i="2" s="1"/>
  <c r="E59" i="2"/>
  <c r="F59" i="2" s="1"/>
  <c r="E58" i="2"/>
  <c r="F58" i="2" s="1"/>
  <c r="E57" i="2"/>
  <c r="F57" i="2" s="1"/>
  <c r="E56" i="2"/>
  <c r="F56" i="2" s="1"/>
  <c r="E55" i="2"/>
  <c r="F55" i="2" s="1"/>
  <c r="E54" i="2"/>
  <c r="F54" i="2" s="1"/>
  <c r="E53" i="2"/>
  <c r="F53" i="2" s="1"/>
  <c r="E52" i="2"/>
  <c r="F52" i="2" s="1"/>
  <c r="E51" i="2"/>
  <c r="F51" i="2" s="1"/>
  <c r="E50" i="2"/>
  <c r="F50" i="2" s="1"/>
  <c r="E49" i="2"/>
  <c r="F49" i="2" s="1"/>
  <c r="E48" i="2"/>
  <c r="F48" i="2" s="1"/>
  <c r="E47" i="2"/>
  <c r="F47" i="2" s="1"/>
  <c r="E40" i="2"/>
  <c r="F40" i="2" s="1"/>
  <c r="E39" i="2"/>
  <c r="F39" i="2" s="1"/>
  <c r="E38" i="2"/>
  <c r="F38" i="2" s="1"/>
  <c r="E37" i="2"/>
  <c r="F37" i="2" s="1"/>
  <c r="E36" i="2"/>
  <c r="F36" i="2" s="1"/>
  <c r="E35" i="2"/>
  <c r="F35" i="2" s="1"/>
  <c r="E34" i="2"/>
  <c r="F34" i="2" s="1"/>
  <c r="E33" i="2"/>
  <c r="F33" i="2" s="1"/>
  <c r="E32" i="2"/>
  <c r="F32" i="2" s="1"/>
  <c r="E31" i="2"/>
  <c r="F31" i="2" s="1"/>
  <c r="E30" i="2"/>
  <c r="F30" i="2" s="1"/>
  <c r="E29" i="2"/>
  <c r="F29" i="2" s="1"/>
  <c r="E28" i="2"/>
  <c r="F28" i="2" s="1"/>
  <c r="E27" i="2"/>
  <c r="F27" i="2" s="1"/>
  <c r="AC61" i="19"/>
  <c r="AB61" i="19"/>
  <c r="AA61" i="19"/>
  <c r="Z61" i="19"/>
  <c r="Y61" i="19"/>
  <c r="X61" i="19"/>
  <c r="W61" i="19"/>
  <c r="V61" i="19"/>
  <c r="AO61" i="19" s="1"/>
  <c r="AP61" i="19" s="1"/>
  <c r="U61" i="19"/>
  <c r="T61" i="19"/>
  <c r="S61" i="19"/>
  <c r="R61" i="19"/>
  <c r="N61" i="19"/>
  <c r="M61" i="19"/>
  <c r="BA61" i="19" s="1"/>
  <c r="BB61" i="19" s="1"/>
  <c r="L61" i="19"/>
  <c r="AY61" i="19" s="1"/>
  <c r="AZ61" i="19" s="1"/>
  <c r="K61" i="19"/>
  <c r="AW61" i="19" s="1"/>
  <c r="AX61" i="19" s="1"/>
  <c r="J61" i="19"/>
  <c r="I61" i="19"/>
  <c r="H61" i="19"/>
  <c r="G61" i="19"/>
  <c r="F61" i="19"/>
  <c r="E61" i="19"/>
  <c r="D61" i="19"/>
  <c r="C61" i="19"/>
  <c r="BC60" i="19"/>
  <c r="BD60" i="19" s="1"/>
  <c r="BA60" i="19"/>
  <c r="BB60" i="19" s="1"/>
  <c r="AY60" i="19"/>
  <c r="AZ60" i="19" s="1"/>
  <c r="AW60" i="19"/>
  <c r="AX60" i="19" s="1"/>
  <c r="AU60" i="19"/>
  <c r="AV60" i="19" s="1"/>
  <c r="AS60" i="19"/>
  <c r="AT60" i="19" s="1"/>
  <c r="AQ60" i="19"/>
  <c r="AR60" i="19" s="1"/>
  <c r="AO60" i="19"/>
  <c r="AP60" i="19" s="1"/>
  <c r="AM60" i="19"/>
  <c r="AN60" i="19" s="1"/>
  <c r="AK60" i="19"/>
  <c r="AL60" i="19" s="1"/>
  <c r="AI60" i="19"/>
  <c r="AJ60" i="19" s="1"/>
  <c r="AG60" i="19"/>
  <c r="AH60" i="19" s="1"/>
  <c r="BC59" i="19"/>
  <c r="BD59" i="19" s="1"/>
  <c r="BA59" i="19"/>
  <c r="BB59" i="19" s="1"/>
  <c r="AY59" i="19"/>
  <c r="AZ59" i="19" s="1"/>
  <c r="AW59" i="19"/>
  <c r="AX59" i="19" s="1"/>
  <c r="AU59" i="19"/>
  <c r="AV59" i="19" s="1"/>
  <c r="AS59" i="19"/>
  <c r="AT59" i="19" s="1"/>
  <c r="AQ59" i="19"/>
  <c r="AR59" i="19" s="1"/>
  <c r="AO59" i="19"/>
  <c r="AP59" i="19" s="1"/>
  <c r="AM59" i="19"/>
  <c r="AN59" i="19" s="1"/>
  <c r="AK59" i="19"/>
  <c r="AL59" i="19" s="1"/>
  <c r="AI59" i="19"/>
  <c r="AJ59" i="19" s="1"/>
  <c r="AG59" i="19"/>
  <c r="AH59" i="19" s="1"/>
  <c r="BC58" i="19"/>
  <c r="BD58" i="19" s="1"/>
  <c r="BA58" i="19"/>
  <c r="BB58" i="19" s="1"/>
  <c r="AY58" i="19"/>
  <c r="AZ58" i="19" s="1"/>
  <c r="AW58" i="19"/>
  <c r="AX58" i="19" s="1"/>
  <c r="AU58" i="19"/>
  <c r="AV58" i="19" s="1"/>
  <c r="AS58" i="19"/>
  <c r="AT58" i="19" s="1"/>
  <c r="AQ58" i="19"/>
  <c r="AR58" i="19" s="1"/>
  <c r="AO58" i="19"/>
  <c r="AP58" i="19" s="1"/>
  <c r="AM58" i="19"/>
  <c r="AN58" i="19" s="1"/>
  <c r="AK58" i="19"/>
  <c r="AL58" i="19" s="1"/>
  <c r="AI58" i="19"/>
  <c r="AJ58" i="19" s="1"/>
  <c r="AG58" i="19"/>
  <c r="AH58" i="19" s="1"/>
  <c r="BC57" i="19"/>
  <c r="BD57" i="19" s="1"/>
  <c r="BA57" i="19"/>
  <c r="BB57" i="19" s="1"/>
  <c r="AY57" i="19"/>
  <c r="AZ57" i="19" s="1"/>
  <c r="AW57" i="19"/>
  <c r="AX57" i="19" s="1"/>
  <c r="AU57" i="19"/>
  <c r="AV57" i="19" s="1"/>
  <c r="AS57" i="19"/>
  <c r="AT57" i="19" s="1"/>
  <c r="AQ57" i="19"/>
  <c r="AR57" i="19" s="1"/>
  <c r="AO57" i="19"/>
  <c r="AP57" i="19" s="1"/>
  <c r="AM57" i="19"/>
  <c r="AN57" i="19" s="1"/>
  <c r="AK57" i="19"/>
  <c r="AL57" i="19" s="1"/>
  <c r="AI57" i="19"/>
  <c r="AJ57" i="19" s="1"/>
  <c r="AG57" i="19"/>
  <c r="AH57" i="19" s="1"/>
  <c r="BC56" i="19"/>
  <c r="BD56" i="19" s="1"/>
  <c r="BA56" i="19"/>
  <c r="BB56" i="19" s="1"/>
  <c r="AY56" i="19"/>
  <c r="AZ56" i="19" s="1"/>
  <c r="AW56" i="19"/>
  <c r="AX56" i="19" s="1"/>
  <c r="AU56" i="19"/>
  <c r="AV56" i="19" s="1"/>
  <c r="AS56" i="19"/>
  <c r="AT56" i="19" s="1"/>
  <c r="AQ56" i="19"/>
  <c r="AR56" i="19" s="1"/>
  <c r="AO56" i="19"/>
  <c r="AP56" i="19" s="1"/>
  <c r="AM56" i="19"/>
  <c r="AN56" i="19" s="1"/>
  <c r="AK56" i="19"/>
  <c r="AL56" i="19" s="1"/>
  <c r="AI56" i="19"/>
  <c r="AJ56" i="19" s="1"/>
  <c r="AG56" i="19"/>
  <c r="AH56" i="19" s="1"/>
  <c r="BC55" i="19"/>
  <c r="BD55" i="19" s="1"/>
  <c r="BA55" i="19"/>
  <c r="BB55" i="19" s="1"/>
  <c r="AY55" i="19"/>
  <c r="AZ55" i="19" s="1"/>
  <c r="AW55" i="19"/>
  <c r="AX55" i="19" s="1"/>
  <c r="AU55" i="19"/>
  <c r="AV55" i="19" s="1"/>
  <c r="AS55" i="19"/>
  <c r="AT55" i="19" s="1"/>
  <c r="AQ55" i="19"/>
  <c r="AR55" i="19" s="1"/>
  <c r="AO55" i="19"/>
  <c r="AP55" i="19" s="1"/>
  <c r="AM55" i="19"/>
  <c r="AN55" i="19" s="1"/>
  <c r="AK55" i="19"/>
  <c r="AL55" i="19" s="1"/>
  <c r="AI55" i="19"/>
  <c r="AJ55" i="19" s="1"/>
  <c r="AG55" i="19"/>
  <c r="AH55" i="19" s="1"/>
  <c r="BC54" i="19"/>
  <c r="BD54" i="19" s="1"/>
  <c r="BA54" i="19"/>
  <c r="BB54" i="19" s="1"/>
  <c r="AY54" i="19"/>
  <c r="AZ54" i="19" s="1"/>
  <c r="AW54" i="19"/>
  <c r="AX54" i="19" s="1"/>
  <c r="AU54" i="19"/>
  <c r="AV54" i="19" s="1"/>
  <c r="AS54" i="19"/>
  <c r="AT54" i="19" s="1"/>
  <c r="AQ54" i="19"/>
  <c r="AR54" i="19" s="1"/>
  <c r="AO54" i="19"/>
  <c r="AP54" i="19" s="1"/>
  <c r="AM54" i="19"/>
  <c r="AN54" i="19" s="1"/>
  <c r="AK54" i="19"/>
  <c r="AL54" i="19" s="1"/>
  <c r="AI54" i="19"/>
  <c r="AJ54" i="19" s="1"/>
  <c r="AG54" i="19"/>
  <c r="AH54" i="19" s="1"/>
  <c r="BC53" i="19"/>
  <c r="BD53" i="19" s="1"/>
  <c r="BA53" i="19"/>
  <c r="BB53" i="19" s="1"/>
  <c r="AY53" i="19"/>
  <c r="AZ53" i="19" s="1"/>
  <c r="AW53" i="19"/>
  <c r="AX53" i="19" s="1"/>
  <c r="AU53" i="19"/>
  <c r="AV53" i="19" s="1"/>
  <c r="AS53" i="19"/>
  <c r="AT53" i="19" s="1"/>
  <c r="AQ53" i="19"/>
  <c r="AR53" i="19" s="1"/>
  <c r="AO53" i="19"/>
  <c r="AP53" i="19" s="1"/>
  <c r="AM53" i="19"/>
  <c r="AN53" i="19" s="1"/>
  <c r="AK53" i="19"/>
  <c r="AL53" i="19" s="1"/>
  <c r="AI53" i="19"/>
  <c r="AJ53" i="19" s="1"/>
  <c r="AG53" i="19"/>
  <c r="AH53" i="19" s="1"/>
  <c r="BC52" i="19"/>
  <c r="BD52" i="19" s="1"/>
  <c r="BA52" i="19"/>
  <c r="BB52" i="19" s="1"/>
  <c r="AY52" i="19"/>
  <c r="AZ52" i="19" s="1"/>
  <c r="AW52" i="19"/>
  <c r="AX52" i="19" s="1"/>
  <c r="AU52" i="19"/>
  <c r="AV52" i="19" s="1"/>
  <c r="AS52" i="19"/>
  <c r="AT52" i="19" s="1"/>
  <c r="AQ52" i="19"/>
  <c r="AR52" i="19" s="1"/>
  <c r="AO52" i="19"/>
  <c r="AP52" i="19" s="1"/>
  <c r="AM52" i="19"/>
  <c r="AN52" i="19" s="1"/>
  <c r="AK52" i="19"/>
  <c r="AL52" i="19" s="1"/>
  <c r="AI52" i="19"/>
  <c r="AJ52" i="19" s="1"/>
  <c r="AG52" i="19"/>
  <c r="AH52" i="19" s="1"/>
  <c r="BC51" i="19"/>
  <c r="BD51" i="19" s="1"/>
  <c r="BA51" i="19"/>
  <c r="BB51" i="19" s="1"/>
  <c r="AY51" i="19"/>
  <c r="AZ51" i="19" s="1"/>
  <c r="AW51" i="19"/>
  <c r="AX51" i="19" s="1"/>
  <c r="AU51" i="19"/>
  <c r="AV51" i="19" s="1"/>
  <c r="AS51" i="19"/>
  <c r="AT51" i="19" s="1"/>
  <c r="AQ51" i="19"/>
  <c r="AR51" i="19" s="1"/>
  <c r="AO51" i="19"/>
  <c r="AP51" i="19" s="1"/>
  <c r="AM51" i="19"/>
  <c r="AN51" i="19" s="1"/>
  <c r="AK51" i="19"/>
  <c r="AL51" i="19" s="1"/>
  <c r="AI51" i="19"/>
  <c r="AJ51" i="19" s="1"/>
  <c r="AG51" i="19"/>
  <c r="AH51" i="19" s="1"/>
  <c r="BC50" i="19"/>
  <c r="BD50" i="19" s="1"/>
  <c r="BA50" i="19"/>
  <c r="BB50" i="19" s="1"/>
  <c r="AY50" i="19"/>
  <c r="AZ50" i="19" s="1"/>
  <c r="AW50" i="19"/>
  <c r="AX50" i="19" s="1"/>
  <c r="AU50" i="19"/>
  <c r="AV50" i="19" s="1"/>
  <c r="AS50" i="19"/>
  <c r="AT50" i="19" s="1"/>
  <c r="AQ50" i="19"/>
  <c r="AR50" i="19" s="1"/>
  <c r="AO50" i="19"/>
  <c r="AP50" i="19" s="1"/>
  <c r="AM50" i="19"/>
  <c r="AN50" i="19" s="1"/>
  <c r="AK50" i="19"/>
  <c r="AL50" i="19" s="1"/>
  <c r="AI50" i="19"/>
  <c r="AJ50" i="19" s="1"/>
  <c r="AG50" i="19"/>
  <c r="AH50" i="19" s="1"/>
  <c r="BC49" i="19"/>
  <c r="BD49" i="19" s="1"/>
  <c r="BA49" i="19"/>
  <c r="BB49" i="19" s="1"/>
  <c r="AY49" i="19"/>
  <c r="AZ49" i="19" s="1"/>
  <c r="AW49" i="19"/>
  <c r="AX49" i="19" s="1"/>
  <c r="AU49" i="19"/>
  <c r="AV49" i="19" s="1"/>
  <c r="AS49" i="19"/>
  <c r="AT49" i="19" s="1"/>
  <c r="AQ49" i="19"/>
  <c r="AR49" i="19" s="1"/>
  <c r="AO49" i="19"/>
  <c r="AP49" i="19" s="1"/>
  <c r="AM49" i="19"/>
  <c r="AN49" i="19" s="1"/>
  <c r="AK49" i="19"/>
  <c r="AL49" i="19" s="1"/>
  <c r="AI49" i="19"/>
  <c r="AJ49" i="19" s="1"/>
  <c r="AG49" i="19"/>
  <c r="AH49" i="19" s="1"/>
  <c r="BC48" i="19"/>
  <c r="BD48" i="19" s="1"/>
  <c r="BA48" i="19"/>
  <c r="BB48" i="19" s="1"/>
  <c r="AY48" i="19"/>
  <c r="AZ48" i="19" s="1"/>
  <c r="AW48" i="19"/>
  <c r="AX48" i="19" s="1"/>
  <c r="AU48" i="19"/>
  <c r="AV48" i="19" s="1"/>
  <c r="AS48" i="19"/>
  <c r="AT48" i="19" s="1"/>
  <c r="AQ48" i="19"/>
  <c r="AR48" i="19" s="1"/>
  <c r="AO48" i="19"/>
  <c r="AP48" i="19" s="1"/>
  <c r="AM48" i="19"/>
  <c r="AN48" i="19" s="1"/>
  <c r="AK48" i="19"/>
  <c r="AL48" i="19" s="1"/>
  <c r="AI48" i="19"/>
  <c r="AJ48" i="19" s="1"/>
  <c r="AG48" i="19"/>
  <c r="AH48" i="19" s="1"/>
  <c r="BC47" i="19"/>
  <c r="BD47" i="19" s="1"/>
  <c r="BA47" i="19"/>
  <c r="BB47" i="19" s="1"/>
  <c r="AY47" i="19"/>
  <c r="AZ47" i="19" s="1"/>
  <c r="AW47" i="19"/>
  <c r="AX47" i="19" s="1"/>
  <c r="AU47" i="19"/>
  <c r="AV47" i="19" s="1"/>
  <c r="AS47" i="19"/>
  <c r="AT47" i="19" s="1"/>
  <c r="AQ47" i="19"/>
  <c r="AR47" i="19" s="1"/>
  <c r="AO47" i="19"/>
  <c r="AP47" i="19" s="1"/>
  <c r="AM47" i="19"/>
  <c r="AN47" i="19" s="1"/>
  <c r="AK47" i="19"/>
  <c r="AL47" i="19" s="1"/>
  <c r="AI47" i="19"/>
  <c r="AJ47" i="19" s="1"/>
  <c r="AG47" i="19"/>
  <c r="AH47" i="19" s="1"/>
  <c r="AC41" i="19"/>
  <c r="AB41" i="19"/>
  <c r="AA41" i="19"/>
  <c r="Z41" i="19"/>
  <c r="Y41" i="19"/>
  <c r="X41" i="19"/>
  <c r="W41" i="19"/>
  <c r="V41" i="19"/>
  <c r="U41" i="19"/>
  <c r="T41" i="19"/>
  <c r="S41" i="19"/>
  <c r="R41" i="19"/>
  <c r="N41" i="19"/>
  <c r="M41" i="19"/>
  <c r="BA41" i="19" s="1"/>
  <c r="BB41" i="19" s="1"/>
  <c r="L41" i="19"/>
  <c r="AY41" i="19" s="1"/>
  <c r="AZ41" i="19" s="1"/>
  <c r="K41" i="19"/>
  <c r="AW41" i="19" s="1"/>
  <c r="AX41" i="19" s="1"/>
  <c r="J41" i="19"/>
  <c r="I41" i="19"/>
  <c r="H41" i="19"/>
  <c r="G41" i="19"/>
  <c r="F41" i="19"/>
  <c r="E41" i="19"/>
  <c r="D41" i="19"/>
  <c r="C41" i="19"/>
  <c r="AG41" i="19" s="1"/>
  <c r="AH41" i="19" s="1"/>
  <c r="BC40" i="19"/>
  <c r="BD40" i="19" s="1"/>
  <c r="BA40" i="19"/>
  <c r="BB40" i="19" s="1"/>
  <c r="AY40" i="19"/>
  <c r="AZ40" i="19" s="1"/>
  <c r="AW40" i="19"/>
  <c r="AX40" i="19" s="1"/>
  <c r="AU40" i="19"/>
  <c r="AV40" i="19" s="1"/>
  <c r="AS40" i="19"/>
  <c r="AT40" i="19" s="1"/>
  <c r="AQ40" i="19"/>
  <c r="AR40" i="19" s="1"/>
  <c r="AO40" i="19"/>
  <c r="AP40" i="19" s="1"/>
  <c r="AM40" i="19"/>
  <c r="AN40" i="19" s="1"/>
  <c r="AK40" i="19"/>
  <c r="AL40" i="19" s="1"/>
  <c r="AI40" i="19"/>
  <c r="AJ40" i="19" s="1"/>
  <c r="AG40" i="19"/>
  <c r="AH40" i="19" s="1"/>
  <c r="BC39" i="19"/>
  <c r="BD39" i="19" s="1"/>
  <c r="BA39" i="19"/>
  <c r="BB39" i="19" s="1"/>
  <c r="AY39" i="19"/>
  <c r="AZ39" i="19" s="1"/>
  <c r="AW39" i="19"/>
  <c r="AX39" i="19" s="1"/>
  <c r="AU39" i="19"/>
  <c r="AV39" i="19" s="1"/>
  <c r="AS39" i="19"/>
  <c r="AT39" i="19" s="1"/>
  <c r="AQ39" i="19"/>
  <c r="AR39" i="19" s="1"/>
  <c r="AO39" i="19"/>
  <c r="AP39" i="19" s="1"/>
  <c r="AM39" i="19"/>
  <c r="AN39" i="19" s="1"/>
  <c r="AK39" i="19"/>
  <c r="AL39" i="19" s="1"/>
  <c r="AI39" i="19"/>
  <c r="AJ39" i="19" s="1"/>
  <c r="AG39" i="19"/>
  <c r="AH39" i="19" s="1"/>
  <c r="BC38" i="19"/>
  <c r="BD38" i="19" s="1"/>
  <c r="BA38" i="19"/>
  <c r="BB38" i="19" s="1"/>
  <c r="AY38" i="19"/>
  <c r="AZ38" i="19" s="1"/>
  <c r="AW38" i="19"/>
  <c r="AX38" i="19" s="1"/>
  <c r="AU38" i="19"/>
  <c r="AV38" i="19" s="1"/>
  <c r="AS38" i="19"/>
  <c r="AT38" i="19" s="1"/>
  <c r="AQ38" i="19"/>
  <c r="AR38" i="19" s="1"/>
  <c r="AO38" i="19"/>
  <c r="AP38" i="19" s="1"/>
  <c r="AM38" i="19"/>
  <c r="AN38" i="19" s="1"/>
  <c r="AK38" i="19"/>
  <c r="AL38" i="19" s="1"/>
  <c r="AI38" i="19"/>
  <c r="AJ38" i="19" s="1"/>
  <c r="AG38" i="19"/>
  <c r="AH38" i="19" s="1"/>
  <c r="BC37" i="19"/>
  <c r="BD37" i="19" s="1"/>
  <c r="BA37" i="19"/>
  <c r="BB37" i="19" s="1"/>
  <c r="AY37" i="19"/>
  <c r="AZ37" i="19" s="1"/>
  <c r="AW37" i="19"/>
  <c r="AX37" i="19" s="1"/>
  <c r="AU37" i="19"/>
  <c r="AV37" i="19" s="1"/>
  <c r="AS37" i="19"/>
  <c r="AT37" i="19" s="1"/>
  <c r="AQ37" i="19"/>
  <c r="AR37" i="19" s="1"/>
  <c r="AO37" i="19"/>
  <c r="AP37" i="19" s="1"/>
  <c r="AM37" i="19"/>
  <c r="AN37" i="19" s="1"/>
  <c r="AK37" i="19"/>
  <c r="AL37" i="19" s="1"/>
  <c r="AI37" i="19"/>
  <c r="AJ37" i="19" s="1"/>
  <c r="AG37" i="19"/>
  <c r="AH37" i="19" s="1"/>
  <c r="BC36" i="19"/>
  <c r="BD36" i="19" s="1"/>
  <c r="BA36" i="19"/>
  <c r="BB36" i="19" s="1"/>
  <c r="AY36" i="19"/>
  <c r="AZ36" i="19" s="1"/>
  <c r="AX36" i="19"/>
  <c r="AW36" i="19"/>
  <c r="AU36" i="19"/>
  <c r="AV36" i="19" s="1"/>
  <c r="AS36" i="19"/>
  <c r="AT36" i="19" s="1"/>
  <c r="AQ36" i="19"/>
  <c r="AR36" i="19" s="1"/>
  <c r="AO36" i="19"/>
  <c r="AP36" i="19" s="1"/>
  <c r="AM36" i="19"/>
  <c r="AN36" i="19" s="1"/>
  <c r="AK36" i="19"/>
  <c r="AL36" i="19" s="1"/>
  <c r="AI36" i="19"/>
  <c r="AJ36" i="19" s="1"/>
  <c r="AG36" i="19"/>
  <c r="AH36" i="19" s="1"/>
  <c r="BC35" i="19"/>
  <c r="BD35" i="19" s="1"/>
  <c r="BA35" i="19"/>
  <c r="BB35" i="19" s="1"/>
  <c r="AY35" i="19"/>
  <c r="AZ35" i="19" s="1"/>
  <c r="AW35" i="19"/>
  <c r="AX35" i="19" s="1"/>
  <c r="AU35" i="19"/>
  <c r="AV35" i="19" s="1"/>
  <c r="AS35" i="19"/>
  <c r="AT35" i="19" s="1"/>
  <c r="AQ35" i="19"/>
  <c r="AR35" i="19" s="1"/>
  <c r="AO35" i="19"/>
  <c r="AP35" i="19" s="1"/>
  <c r="AM35" i="19"/>
  <c r="AN35" i="19" s="1"/>
  <c r="AK35" i="19"/>
  <c r="AL35" i="19" s="1"/>
  <c r="AI35" i="19"/>
  <c r="AJ35" i="19" s="1"/>
  <c r="AG35" i="19"/>
  <c r="AH35" i="19" s="1"/>
  <c r="BC34" i="19"/>
  <c r="BD34" i="19" s="1"/>
  <c r="BA34" i="19"/>
  <c r="BB34" i="19" s="1"/>
  <c r="AY34" i="19"/>
  <c r="AZ34" i="19" s="1"/>
  <c r="AW34" i="19"/>
  <c r="AX34" i="19" s="1"/>
  <c r="AU34" i="19"/>
  <c r="AV34" i="19" s="1"/>
  <c r="AS34" i="19"/>
  <c r="AT34" i="19" s="1"/>
  <c r="AQ34" i="19"/>
  <c r="AR34" i="19" s="1"/>
  <c r="AO34" i="19"/>
  <c r="AP34" i="19" s="1"/>
  <c r="AM34" i="19"/>
  <c r="AN34" i="19" s="1"/>
  <c r="AK34" i="19"/>
  <c r="AL34" i="19" s="1"/>
  <c r="AI34" i="19"/>
  <c r="AJ34" i="19" s="1"/>
  <c r="AH34" i="19"/>
  <c r="AG34" i="19"/>
  <c r="BC33" i="19"/>
  <c r="BD33" i="19" s="1"/>
  <c r="BA33" i="19"/>
  <c r="BB33" i="19" s="1"/>
  <c r="AY33" i="19"/>
  <c r="AZ33" i="19" s="1"/>
  <c r="AW33" i="19"/>
  <c r="AX33" i="19" s="1"/>
  <c r="AU33" i="19"/>
  <c r="AV33" i="19" s="1"/>
  <c r="AS33" i="19"/>
  <c r="AT33" i="19" s="1"/>
  <c r="AQ33" i="19"/>
  <c r="AR33" i="19" s="1"/>
  <c r="AO33" i="19"/>
  <c r="AP33" i="19" s="1"/>
  <c r="AM33" i="19"/>
  <c r="AN33" i="19" s="1"/>
  <c r="AK33" i="19"/>
  <c r="AL33" i="19" s="1"/>
  <c r="AI33" i="19"/>
  <c r="AJ33" i="19" s="1"/>
  <c r="AG33" i="19"/>
  <c r="AH33" i="19" s="1"/>
  <c r="BC32" i="19"/>
  <c r="BD32" i="19" s="1"/>
  <c r="BA32" i="19"/>
  <c r="BB32" i="19" s="1"/>
  <c r="AY32" i="19"/>
  <c r="AZ32" i="19" s="1"/>
  <c r="AW32" i="19"/>
  <c r="AX32" i="19" s="1"/>
  <c r="AU32" i="19"/>
  <c r="AV32" i="19" s="1"/>
  <c r="AS32" i="19"/>
  <c r="AT32" i="19" s="1"/>
  <c r="AQ32" i="19"/>
  <c r="AR32" i="19" s="1"/>
  <c r="AO32" i="19"/>
  <c r="AP32" i="19" s="1"/>
  <c r="AM32" i="19"/>
  <c r="AN32" i="19" s="1"/>
  <c r="AK32" i="19"/>
  <c r="AL32" i="19" s="1"/>
  <c r="AI32" i="19"/>
  <c r="AJ32" i="19" s="1"/>
  <c r="AG32" i="19"/>
  <c r="AH32" i="19" s="1"/>
  <c r="BC31" i="19"/>
  <c r="BD31" i="19" s="1"/>
  <c r="BA31" i="19"/>
  <c r="BB31" i="19" s="1"/>
  <c r="AY31" i="19"/>
  <c r="AZ31" i="19" s="1"/>
  <c r="AW31" i="19"/>
  <c r="AX31" i="19" s="1"/>
  <c r="AU31" i="19"/>
  <c r="AV31" i="19" s="1"/>
  <c r="AS31" i="19"/>
  <c r="AT31" i="19" s="1"/>
  <c r="AQ31" i="19"/>
  <c r="AR31" i="19" s="1"/>
  <c r="AO31" i="19"/>
  <c r="AP31" i="19" s="1"/>
  <c r="AM31" i="19"/>
  <c r="AN31" i="19" s="1"/>
  <c r="AK31" i="19"/>
  <c r="AL31" i="19" s="1"/>
  <c r="AI31" i="19"/>
  <c r="AJ31" i="19" s="1"/>
  <c r="AG31" i="19"/>
  <c r="AH31" i="19" s="1"/>
  <c r="BC30" i="19"/>
  <c r="BD30" i="19" s="1"/>
  <c r="BA30" i="19"/>
  <c r="BB30" i="19" s="1"/>
  <c r="AY30" i="19"/>
  <c r="AZ30" i="19" s="1"/>
  <c r="AW30" i="19"/>
  <c r="AX30" i="19" s="1"/>
  <c r="AU30" i="19"/>
  <c r="AV30" i="19" s="1"/>
  <c r="AS30" i="19"/>
  <c r="AT30" i="19" s="1"/>
  <c r="AQ30" i="19"/>
  <c r="AR30" i="19" s="1"/>
  <c r="AO30" i="19"/>
  <c r="AP30" i="19" s="1"/>
  <c r="AM30" i="19"/>
  <c r="AN30" i="19" s="1"/>
  <c r="AK30" i="19"/>
  <c r="AL30" i="19" s="1"/>
  <c r="AI30" i="19"/>
  <c r="AJ30" i="19" s="1"/>
  <c r="AG30" i="19"/>
  <c r="AH30" i="19" s="1"/>
  <c r="BC29" i="19"/>
  <c r="BD29" i="19" s="1"/>
  <c r="BA29" i="19"/>
  <c r="BB29" i="19" s="1"/>
  <c r="AY29" i="19"/>
  <c r="AZ29" i="19" s="1"/>
  <c r="AW29" i="19"/>
  <c r="AX29" i="19" s="1"/>
  <c r="AU29" i="19"/>
  <c r="AV29" i="19" s="1"/>
  <c r="AS29" i="19"/>
  <c r="AT29" i="19" s="1"/>
  <c r="AQ29" i="19"/>
  <c r="AR29" i="19" s="1"/>
  <c r="AO29" i="19"/>
  <c r="AP29" i="19" s="1"/>
  <c r="AM29" i="19"/>
  <c r="AN29" i="19" s="1"/>
  <c r="AK29" i="19"/>
  <c r="AL29" i="19" s="1"/>
  <c r="AI29" i="19"/>
  <c r="AJ29" i="19" s="1"/>
  <c r="AG29" i="19"/>
  <c r="AH29" i="19" s="1"/>
  <c r="BC28" i="19"/>
  <c r="BD28" i="19" s="1"/>
  <c r="BA28" i="19"/>
  <c r="BB28" i="19" s="1"/>
  <c r="AY28" i="19"/>
  <c r="AZ28" i="19" s="1"/>
  <c r="AX28" i="19"/>
  <c r="AW28" i="19"/>
  <c r="AU28" i="19"/>
  <c r="AV28" i="19" s="1"/>
  <c r="AS28" i="19"/>
  <c r="AT28" i="19" s="1"/>
  <c r="AQ28" i="19"/>
  <c r="AR28" i="19" s="1"/>
  <c r="AO28" i="19"/>
  <c r="AP28" i="19" s="1"/>
  <c r="AM28" i="19"/>
  <c r="AN28" i="19" s="1"/>
  <c r="AK28" i="19"/>
  <c r="AL28" i="19" s="1"/>
  <c r="AI28" i="19"/>
  <c r="AJ28" i="19" s="1"/>
  <c r="AG28" i="19"/>
  <c r="AH28" i="19" s="1"/>
  <c r="BC27" i="19"/>
  <c r="BD27" i="19" s="1"/>
  <c r="BA27" i="19"/>
  <c r="BB27" i="19" s="1"/>
  <c r="AY27" i="19"/>
  <c r="AZ27" i="19" s="1"/>
  <c r="AW27" i="19"/>
  <c r="AX27" i="19" s="1"/>
  <c r="AU27" i="19"/>
  <c r="AV27" i="19" s="1"/>
  <c r="AS27" i="19"/>
  <c r="AT27" i="19" s="1"/>
  <c r="AQ27" i="19"/>
  <c r="AR27" i="19" s="1"/>
  <c r="AO27" i="19"/>
  <c r="AP27" i="19" s="1"/>
  <c r="AM27" i="19"/>
  <c r="AN27" i="19" s="1"/>
  <c r="AK27" i="19"/>
  <c r="AL27" i="19" s="1"/>
  <c r="AI27" i="19"/>
  <c r="AJ27" i="19" s="1"/>
  <c r="AG27" i="19"/>
  <c r="AH27" i="19" s="1"/>
  <c r="AC21" i="19"/>
  <c r="AB21" i="19"/>
  <c r="AA21" i="19"/>
  <c r="Z21" i="19"/>
  <c r="Y21" i="19"/>
  <c r="X21" i="19"/>
  <c r="W21" i="19"/>
  <c r="V21" i="19"/>
  <c r="S21" i="19"/>
  <c r="R21" i="19"/>
  <c r="N21" i="19"/>
  <c r="BC21" i="19" s="1"/>
  <c r="BD21" i="19" s="1"/>
  <c r="M21" i="19"/>
  <c r="BA21" i="19" s="1"/>
  <c r="BB21" i="19" s="1"/>
  <c r="L21" i="19"/>
  <c r="K21" i="19"/>
  <c r="J21" i="19"/>
  <c r="I21" i="19"/>
  <c r="H21" i="19"/>
  <c r="G21" i="19"/>
  <c r="D21" i="19"/>
  <c r="AI21" i="19" s="1"/>
  <c r="AJ21" i="19" s="1"/>
  <c r="C21" i="19"/>
  <c r="BC20" i="19"/>
  <c r="BD20" i="19" s="1"/>
  <c r="BA20" i="19"/>
  <c r="BB20" i="19" s="1"/>
  <c r="AY20" i="19"/>
  <c r="AZ20" i="19" s="1"/>
  <c r="AW20" i="19"/>
  <c r="AX20" i="19" s="1"/>
  <c r="AU20" i="19"/>
  <c r="AV20" i="19" s="1"/>
  <c r="AS20" i="19"/>
  <c r="AT20" i="19" s="1"/>
  <c r="AQ20" i="19"/>
  <c r="AR20" i="19" s="1"/>
  <c r="AO20" i="19"/>
  <c r="AP20" i="19" s="1"/>
  <c r="AI20" i="19"/>
  <c r="AJ20" i="19" s="1"/>
  <c r="AG20" i="19"/>
  <c r="AH20" i="19" s="1"/>
  <c r="AK20" i="19"/>
  <c r="AL20" i="19" s="1"/>
  <c r="BC19" i="19"/>
  <c r="BD19" i="19" s="1"/>
  <c r="BA19" i="19"/>
  <c r="BB19" i="19" s="1"/>
  <c r="AY19" i="19"/>
  <c r="AZ19" i="19" s="1"/>
  <c r="AW19" i="19"/>
  <c r="AX19" i="19" s="1"/>
  <c r="AU19" i="19"/>
  <c r="AV19" i="19" s="1"/>
  <c r="AS19" i="19"/>
  <c r="AT19" i="19" s="1"/>
  <c r="AQ19" i="19"/>
  <c r="AR19" i="19" s="1"/>
  <c r="AO19" i="19"/>
  <c r="AP19" i="19" s="1"/>
  <c r="AI19" i="19"/>
  <c r="AJ19" i="19" s="1"/>
  <c r="AG19" i="19"/>
  <c r="AH19" i="19" s="1"/>
  <c r="AM19" i="19"/>
  <c r="AN19" i="19" s="1"/>
  <c r="AK19" i="19"/>
  <c r="AL19" i="19" s="1"/>
  <c r="BC18" i="19"/>
  <c r="BD18" i="19" s="1"/>
  <c r="BA18" i="19"/>
  <c r="BB18" i="19" s="1"/>
  <c r="AY18" i="19"/>
  <c r="AZ18" i="19" s="1"/>
  <c r="AW18" i="19"/>
  <c r="AX18" i="19" s="1"/>
  <c r="AU18" i="19"/>
  <c r="AV18" i="19" s="1"/>
  <c r="AS18" i="19"/>
  <c r="AT18" i="19" s="1"/>
  <c r="AR18" i="19"/>
  <c r="AQ18" i="19"/>
  <c r="AO18" i="19"/>
  <c r="AP18" i="19" s="1"/>
  <c r="AI18" i="19"/>
  <c r="AJ18" i="19" s="1"/>
  <c r="AG18" i="19"/>
  <c r="AH18" i="19" s="1"/>
  <c r="U21" i="19"/>
  <c r="AM18" i="19"/>
  <c r="AN18" i="19" s="1"/>
  <c r="AK18" i="19"/>
  <c r="AL18" i="19" s="1"/>
  <c r="BC17" i="19"/>
  <c r="BD17" i="19" s="1"/>
  <c r="BA17" i="19"/>
  <c r="BB17" i="19" s="1"/>
  <c r="AY17" i="19"/>
  <c r="AZ17" i="19" s="1"/>
  <c r="AW17" i="19"/>
  <c r="AX17" i="19" s="1"/>
  <c r="AV17" i="19"/>
  <c r="AU17" i="19"/>
  <c r="AS17" i="19"/>
  <c r="AT17" i="19" s="1"/>
  <c r="AQ17" i="19"/>
  <c r="AR17" i="19" s="1"/>
  <c r="AO17" i="19"/>
  <c r="AP17" i="19" s="1"/>
  <c r="AI17" i="19"/>
  <c r="AJ17" i="19" s="1"/>
  <c r="AG17" i="19"/>
  <c r="AH17" i="19" s="1"/>
  <c r="T21" i="19"/>
  <c r="E21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N10" i="19"/>
  <c r="M10" i="19"/>
  <c r="L10" i="19"/>
  <c r="K10" i="19"/>
  <c r="J10" i="19"/>
  <c r="I10" i="19"/>
  <c r="H10" i="19"/>
  <c r="G10" i="19"/>
  <c r="F10" i="19"/>
  <c r="E10" i="19"/>
  <c r="AK10" i="19" s="1"/>
  <c r="AL10" i="19" s="1"/>
  <c r="D10" i="19"/>
  <c r="C10" i="19"/>
  <c r="BC9" i="19"/>
  <c r="BD9" i="19" s="1"/>
  <c r="BA9" i="19"/>
  <c r="BB9" i="19" s="1"/>
  <c r="AY9" i="19"/>
  <c r="AZ9" i="19" s="1"/>
  <c r="AW9" i="19"/>
  <c r="AX9" i="19" s="1"/>
  <c r="AU9" i="19"/>
  <c r="AV9" i="19" s="1"/>
  <c r="AS9" i="19"/>
  <c r="AT9" i="19" s="1"/>
  <c r="AQ9" i="19"/>
  <c r="AR9" i="19" s="1"/>
  <c r="AO9" i="19"/>
  <c r="AP9" i="19" s="1"/>
  <c r="AM9" i="19"/>
  <c r="AN9" i="19" s="1"/>
  <c r="AK9" i="19"/>
  <c r="AL9" i="19" s="1"/>
  <c r="AI9" i="19"/>
  <c r="AJ9" i="19" s="1"/>
  <c r="AG9" i="19"/>
  <c r="AH9" i="19" s="1"/>
  <c r="BC8" i="19"/>
  <c r="BD8" i="19" s="1"/>
  <c r="BA8" i="19"/>
  <c r="BB8" i="19" s="1"/>
  <c r="AY8" i="19"/>
  <c r="AZ8" i="19" s="1"/>
  <c r="AW8" i="19"/>
  <c r="AX8" i="19" s="1"/>
  <c r="AU8" i="19"/>
  <c r="AV8" i="19" s="1"/>
  <c r="AS8" i="19"/>
  <c r="AT8" i="19" s="1"/>
  <c r="AQ8" i="19"/>
  <c r="AR8" i="19" s="1"/>
  <c r="AO8" i="19"/>
  <c r="AP8" i="19" s="1"/>
  <c r="AM8" i="19"/>
  <c r="AN8" i="19" s="1"/>
  <c r="AK8" i="19"/>
  <c r="AL8" i="19" s="1"/>
  <c r="AI8" i="19"/>
  <c r="AJ8" i="19" s="1"/>
  <c r="AG8" i="19"/>
  <c r="AH8" i="19" s="1"/>
  <c r="BC7" i="19"/>
  <c r="BD7" i="19" s="1"/>
  <c r="BA7" i="19"/>
  <c r="BB7" i="19" s="1"/>
  <c r="AY7" i="19"/>
  <c r="AZ7" i="19" s="1"/>
  <c r="AW7" i="19"/>
  <c r="AX7" i="19" s="1"/>
  <c r="AU7" i="19"/>
  <c r="AV7" i="19" s="1"/>
  <c r="AS7" i="19"/>
  <c r="AT7" i="19" s="1"/>
  <c r="AQ7" i="19"/>
  <c r="AR7" i="19" s="1"/>
  <c r="AO7" i="19"/>
  <c r="AP7" i="19" s="1"/>
  <c r="AM7" i="19"/>
  <c r="AN7" i="19" s="1"/>
  <c r="AK7" i="19"/>
  <c r="AL7" i="19" s="1"/>
  <c r="AI7" i="19"/>
  <c r="AJ7" i="19" s="1"/>
  <c r="AG7" i="19"/>
  <c r="AH7" i="19" s="1"/>
  <c r="BC6" i="19"/>
  <c r="BD6" i="19" s="1"/>
  <c r="BA6" i="19"/>
  <c r="BB6" i="19" s="1"/>
  <c r="AY6" i="19"/>
  <c r="AZ6" i="19" s="1"/>
  <c r="AW6" i="19"/>
  <c r="AX6" i="19" s="1"/>
  <c r="AU6" i="19"/>
  <c r="AV6" i="19" s="1"/>
  <c r="AS6" i="19"/>
  <c r="AT6" i="19" s="1"/>
  <c r="AQ6" i="19"/>
  <c r="AR6" i="19" s="1"/>
  <c r="AO6" i="19"/>
  <c r="AP6" i="19" s="1"/>
  <c r="AM6" i="19"/>
  <c r="AN6" i="19" s="1"/>
  <c r="AK6" i="19"/>
  <c r="AL6" i="19" s="1"/>
  <c r="AI6" i="19"/>
  <c r="AJ6" i="19" s="1"/>
  <c r="AG6" i="19"/>
  <c r="AH6" i="19" s="1"/>
  <c r="BC5" i="19"/>
  <c r="BD5" i="19" s="1"/>
  <c r="BA5" i="19"/>
  <c r="BB5" i="19" s="1"/>
  <c r="AY5" i="19"/>
  <c r="AZ5" i="19" s="1"/>
  <c r="AW5" i="19"/>
  <c r="AX5" i="19" s="1"/>
  <c r="AU5" i="19"/>
  <c r="AV5" i="19" s="1"/>
  <c r="AS5" i="19"/>
  <c r="AT5" i="19" s="1"/>
  <c r="AQ5" i="19"/>
  <c r="AR5" i="19" s="1"/>
  <c r="AO5" i="19"/>
  <c r="AP5" i="19" s="1"/>
  <c r="AM5" i="19"/>
  <c r="AN5" i="19" s="1"/>
  <c r="AK5" i="19"/>
  <c r="AL5" i="19" s="1"/>
  <c r="AI5" i="19"/>
  <c r="AJ5" i="19" s="1"/>
  <c r="AG5" i="19"/>
  <c r="AH5" i="19" s="1"/>
  <c r="AC61" i="18"/>
  <c r="AB61" i="18"/>
  <c r="AA61" i="18"/>
  <c r="Z61" i="18"/>
  <c r="Y61" i="18"/>
  <c r="X61" i="18"/>
  <c r="W61" i="18"/>
  <c r="V61" i="18"/>
  <c r="U61" i="18"/>
  <c r="T61" i="18"/>
  <c r="S61" i="18"/>
  <c r="R61" i="18"/>
  <c r="N61" i="18"/>
  <c r="BC61" i="18" s="1"/>
  <c r="BD61" i="18" s="1"/>
  <c r="M61" i="18"/>
  <c r="L61" i="18"/>
  <c r="K61" i="18"/>
  <c r="J61" i="18"/>
  <c r="I61" i="18"/>
  <c r="H61" i="18"/>
  <c r="G61" i="18"/>
  <c r="F61" i="18"/>
  <c r="AM61" i="18" s="1"/>
  <c r="AN61" i="18" s="1"/>
  <c r="E61" i="18"/>
  <c r="D61" i="18"/>
  <c r="C61" i="18"/>
  <c r="BC60" i="18"/>
  <c r="BD60" i="18" s="1"/>
  <c r="BA60" i="18"/>
  <c r="BB60" i="18" s="1"/>
  <c r="AY60" i="18"/>
  <c r="AZ60" i="18" s="1"/>
  <c r="AW60" i="18"/>
  <c r="AX60" i="18" s="1"/>
  <c r="AU60" i="18"/>
  <c r="AV60" i="18" s="1"/>
  <c r="AS60" i="18"/>
  <c r="AT60" i="18" s="1"/>
  <c r="AQ60" i="18"/>
  <c r="AR60" i="18" s="1"/>
  <c r="AO60" i="18"/>
  <c r="AP60" i="18" s="1"/>
  <c r="AM60" i="18"/>
  <c r="AN60" i="18" s="1"/>
  <c r="AK60" i="18"/>
  <c r="AL60" i="18" s="1"/>
  <c r="AI60" i="18"/>
  <c r="AJ60" i="18" s="1"/>
  <c r="AG60" i="18"/>
  <c r="AH60" i="18" s="1"/>
  <c r="BC59" i="18"/>
  <c r="BD59" i="18" s="1"/>
  <c r="BA59" i="18"/>
  <c r="BB59" i="18" s="1"/>
  <c r="AY59" i="18"/>
  <c r="AZ59" i="18" s="1"/>
  <c r="AW59" i="18"/>
  <c r="AX59" i="18" s="1"/>
  <c r="AU59" i="18"/>
  <c r="AV59" i="18" s="1"/>
  <c r="AS59" i="18"/>
  <c r="AT59" i="18" s="1"/>
  <c r="AQ59" i="18"/>
  <c r="AR59" i="18" s="1"/>
  <c r="AO59" i="18"/>
  <c r="AP59" i="18" s="1"/>
  <c r="AM59" i="18"/>
  <c r="AN59" i="18" s="1"/>
  <c r="AK59" i="18"/>
  <c r="AL59" i="18" s="1"/>
  <c r="AI59" i="18"/>
  <c r="AJ59" i="18" s="1"/>
  <c r="AG59" i="18"/>
  <c r="AH59" i="18" s="1"/>
  <c r="BC58" i="18"/>
  <c r="BD58" i="18" s="1"/>
  <c r="BA58" i="18"/>
  <c r="BB58" i="18" s="1"/>
  <c r="AY58" i="18"/>
  <c r="AZ58" i="18" s="1"/>
  <c r="AW58" i="18"/>
  <c r="AX58" i="18" s="1"/>
  <c r="AU58" i="18"/>
  <c r="AV58" i="18" s="1"/>
  <c r="AS58" i="18"/>
  <c r="AT58" i="18" s="1"/>
  <c r="AQ58" i="18"/>
  <c r="AR58" i="18" s="1"/>
  <c r="AO58" i="18"/>
  <c r="AP58" i="18" s="1"/>
  <c r="AM58" i="18"/>
  <c r="AN58" i="18" s="1"/>
  <c r="AK58" i="18"/>
  <c r="AL58" i="18" s="1"/>
  <c r="AI58" i="18"/>
  <c r="AJ58" i="18" s="1"/>
  <c r="AG58" i="18"/>
  <c r="AH58" i="18" s="1"/>
  <c r="BC57" i="18"/>
  <c r="BD57" i="18" s="1"/>
  <c r="BA57" i="18"/>
  <c r="BB57" i="18" s="1"/>
  <c r="AY57" i="18"/>
  <c r="AZ57" i="18" s="1"/>
  <c r="AW57" i="18"/>
  <c r="AX57" i="18" s="1"/>
  <c r="AU57" i="18"/>
  <c r="AV57" i="18" s="1"/>
  <c r="AS57" i="18"/>
  <c r="AT57" i="18" s="1"/>
  <c r="AQ57" i="18"/>
  <c r="AR57" i="18" s="1"/>
  <c r="AO57" i="18"/>
  <c r="AP57" i="18" s="1"/>
  <c r="AM57" i="18"/>
  <c r="AN57" i="18" s="1"/>
  <c r="AK57" i="18"/>
  <c r="AL57" i="18" s="1"/>
  <c r="AI57" i="18"/>
  <c r="AJ57" i="18" s="1"/>
  <c r="AG57" i="18"/>
  <c r="AH57" i="18" s="1"/>
  <c r="BC56" i="18"/>
  <c r="BD56" i="18" s="1"/>
  <c r="BA56" i="18"/>
  <c r="BB56" i="18" s="1"/>
  <c r="AZ56" i="18"/>
  <c r="AY56" i="18"/>
  <c r="AW56" i="18"/>
  <c r="AX56" i="18" s="1"/>
  <c r="AU56" i="18"/>
  <c r="AV56" i="18" s="1"/>
  <c r="AS56" i="18"/>
  <c r="AT56" i="18" s="1"/>
  <c r="AQ56" i="18"/>
  <c r="AR56" i="18" s="1"/>
  <c r="AO56" i="18"/>
  <c r="AP56" i="18" s="1"/>
  <c r="AM56" i="18"/>
  <c r="AN56" i="18" s="1"/>
  <c r="AK56" i="18"/>
  <c r="AL56" i="18" s="1"/>
  <c r="AJ56" i="18"/>
  <c r="AI56" i="18"/>
  <c r="AG56" i="18"/>
  <c r="AH56" i="18" s="1"/>
  <c r="BC55" i="18"/>
  <c r="BD55" i="18" s="1"/>
  <c r="BA55" i="18"/>
  <c r="BB55" i="18" s="1"/>
  <c r="AY55" i="18"/>
  <c r="AZ55" i="18" s="1"/>
  <c r="AW55" i="18"/>
  <c r="AX55" i="18" s="1"/>
  <c r="AU55" i="18"/>
  <c r="AV55" i="18" s="1"/>
  <c r="AS55" i="18"/>
  <c r="AT55" i="18" s="1"/>
  <c r="AQ55" i="18"/>
  <c r="AR55" i="18" s="1"/>
  <c r="AO55" i="18"/>
  <c r="AP55" i="18" s="1"/>
  <c r="AM55" i="18"/>
  <c r="AN55" i="18" s="1"/>
  <c r="AK55" i="18"/>
  <c r="AL55" i="18" s="1"/>
  <c r="AI55" i="18"/>
  <c r="AJ55" i="18" s="1"/>
  <c r="AG55" i="18"/>
  <c r="AH55" i="18" s="1"/>
  <c r="BC54" i="18"/>
  <c r="BD54" i="18" s="1"/>
  <c r="BA54" i="18"/>
  <c r="BB54" i="18" s="1"/>
  <c r="AY54" i="18"/>
  <c r="AZ54" i="18" s="1"/>
  <c r="AW54" i="18"/>
  <c r="AX54" i="18" s="1"/>
  <c r="AU54" i="18"/>
  <c r="AV54" i="18" s="1"/>
  <c r="AS54" i="18"/>
  <c r="AT54" i="18" s="1"/>
  <c r="AQ54" i="18"/>
  <c r="AR54" i="18" s="1"/>
  <c r="AO54" i="18"/>
  <c r="AP54" i="18" s="1"/>
  <c r="AM54" i="18"/>
  <c r="AN54" i="18" s="1"/>
  <c r="AK54" i="18"/>
  <c r="AL54" i="18" s="1"/>
  <c r="AI54" i="18"/>
  <c r="AJ54" i="18" s="1"/>
  <c r="AG54" i="18"/>
  <c r="AH54" i="18" s="1"/>
  <c r="BC53" i="18"/>
  <c r="BD53" i="18" s="1"/>
  <c r="BA53" i="18"/>
  <c r="BB53" i="18" s="1"/>
  <c r="AY53" i="18"/>
  <c r="AZ53" i="18" s="1"/>
  <c r="AW53" i="18"/>
  <c r="AX53" i="18" s="1"/>
  <c r="AU53" i="18"/>
  <c r="AV53" i="18" s="1"/>
  <c r="AS53" i="18"/>
  <c r="AT53" i="18" s="1"/>
  <c r="AQ53" i="18"/>
  <c r="AR53" i="18" s="1"/>
  <c r="AO53" i="18"/>
  <c r="AP53" i="18" s="1"/>
  <c r="AM53" i="18"/>
  <c r="AN53" i="18" s="1"/>
  <c r="AK53" i="18"/>
  <c r="AL53" i="18" s="1"/>
  <c r="AI53" i="18"/>
  <c r="AJ53" i="18" s="1"/>
  <c r="AG53" i="18"/>
  <c r="AH53" i="18" s="1"/>
  <c r="BC52" i="18"/>
  <c r="BD52" i="18" s="1"/>
  <c r="BA52" i="18"/>
  <c r="BB52" i="18" s="1"/>
  <c r="AY52" i="18"/>
  <c r="AZ52" i="18" s="1"/>
  <c r="AW52" i="18"/>
  <c r="AX52" i="18" s="1"/>
  <c r="AU52" i="18"/>
  <c r="AV52" i="18" s="1"/>
  <c r="AS52" i="18"/>
  <c r="AT52" i="18" s="1"/>
  <c r="AQ52" i="18"/>
  <c r="AR52" i="18" s="1"/>
  <c r="AO52" i="18"/>
  <c r="AP52" i="18" s="1"/>
  <c r="AM52" i="18"/>
  <c r="AN52" i="18" s="1"/>
  <c r="AK52" i="18"/>
  <c r="AL52" i="18" s="1"/>
  <c r="AI52" i="18"/>
  <c r="AJ52" i="18" s="1"/>
  <c r="AG52" i="18"/>
  <c r="AH52" i="18" s="1"/>
  <c r="BC51" i="18"/>
  <c r="BD51" i="18" s="1"/>
  <c r="BA51" i="18"/>
  <c r="BB51" i="18" s="1"/>
  <c r="AZ51" i="18"/>
  <c r="AY51" i="18"/>
  <c r="AW51" i="18"/>
  <c r="AX51" i="18" s="1"/>
  <c r="AU51" i="18"/>
  <c r="AV51" i="18" s="1"/>
  <c r="AS51" i="18"/>
  <c r="AT51" i="18" s="1"/>
  <c r="AR51" i="18"/>
  <c r="AQ51" i="18"/>
  <c r="AO51" i="18"/>
  <c r="AP51" i="18" s="1"/>
  <c r="AM51" i="18"/>
  <c r="AN51" i="18" s="1"/>
  <c r="AK51" i="18"/>
  <c r="AL51" i="18" s="1"/>
  <c r="AI51" i="18"/>
  <c r="AJ51" i="18" s="1"/>
  <c r="AG51" i="18"/>
  <c r="AH51" i="18" s="1"/>
  <c r="BC50" i="18"/>
  <c r="BD50" i="18" s="1"/>
  <c r="BA50" i="18"/>
  <c r="BB50" i="18" s="1"/>
  <c r="AZ50" i="18"/>
  <c r="AY50" i="18"/>
  <c r="AW50" i="18"/>
  <c r="AX50" i="18" s="1"/>
  <c r="AU50" i="18"/>
  <c r="AV50" i="18" s="1"/>
  <c r="AS50" i="18"/>
  <c r="AT50" i="18" s="1"/>
  <c r="AQ50" i="18"/>
  <c r="AR50" i="18" s="1"/>
  <c r="AO50" i="18"/>
  <c r="AP50" i="18" s="1"/>
  <c r="AM50" i="18"/>
  <c r="AN50" i="18" s="1"/>
  <c r="AK50" i="18"/>
  <c r="AL50" i="18" s="1"/>
  <c r="AI50" i="18"/>
  <c r="AJ50" i="18" s="1"/>
  <c r="AG50" i="18"/>
  <c r="AH50" i="18" s="1"/>
  <c r="BC49" i="18"/>
  <c r="BD49" i="18" s="1"/>
  <c r="BA49" i="18"/>
  <c r="BB49" i="18" s="1"/>
  <c r="AY49" i="18"/>
  <c r="AZ49" i="18" s="1"/>
  <c r="AW49" i="18"/>
  <c r="AX49" i="18" s="1"/>
  <c r="AU49" i="18"/>
  <c r="AV49" i="18" s="1"/>
  <c r="AS49" i="18"/>
  <c r="AT49" i="18" s="1"/>
  <c r="AQ49" i="18"/>
  <c r="AR49" i="18" s="1"/>
  <c r="AO49" i="18"/>
  <c r="AP49" i="18" s="1"/>
  <c r="AM49" i="18"/>
  <c r="AN49" i="18" s="1"/>
  <c r="AK49" i="18"/>
  <c r="AL49" i="18" s="1"/>
  <c r="AI49" i="18"/>
  <c r="AJ49" i="18" s="1"/>
  <c r="AG49" i="18"/>
  <c r="AH49" i="18" s="1"/>
  <c r="BC48" i="18"/>
  <c r="BD48" i="18" s="1"/>
  <c r="BA48" i="18"/>
  <c r="BB48" i="18" s="1"/>
  <c r="AY48" i="18"/>
  <c r="AZ48" i="18" s="1"/>
  <c r="AW48" i="18"/>
  <c r="AX48" i="18" s="1"/>
  <c r="AU48" i="18"/>
  <c r="AV48" i="18" s="1"/>
  <c r="AS48" i="18"/>
  <c r="AT48" i="18" s="1"/>
  <c r="AQ48" i="18"/>
  <c r="AR48" i="18" s="1"/>
  <c r="AO48" i="18"/>
  <c r="AP48" i="18" s="1"/>
  <c r="AN48" i="18"/>
  <c r="AM48" i="18"/>
  <c r="AK48" i="18"/>
  <c r="AL48" i="18" s="1"/>
  <c r="AI48" i="18"/>
  <c r="AJ48" i="18" s="1"/>
  <c r="AG48" i="18"/>
  <c r="AH48" i="18" s="1"/>
  <c r="BC47" i="18"/>
  <c r="BD47" i="18" s="1"/>
  <c r="BA47" i="18"/>
  <c r="BB47" i="18" s="1"/>
  <c r="AZ47" i="18"/>
  <c r="AY47" i="18"/>
  <c r="AW47" i="18"/>
  <c r="AX47" i="18" s="1"/>
  <c r="AU47" i="18"/>
  <c r="AV47" i="18" s="1"/>
  <c r="AS47" i="18"/>
  <c r="AT47" i="18" s="1"/>
  <c r="AQ47" i="18"/>
  <c r="AR47" i="18" s="1"/>
  <c r="AO47" i="18"/>
  <c r="AP47" i="18" s="1"/>
  <c r="AM47" i="18"/>
  <c r="AN47" i="18" s="1"/>
  <c r="AK47" i="18"/>
  <c r="AL47" i="18" s="1"/>
  <c r="AI47" i="18"/>
  <c r="AJ47" i="18" s="1"/>
  <c r="AG47" i="18"/>
  <c r="AH47" i="18" s="1"/>
  <c r="AC41" i="18"/>
  <c r="AB41" i="18"/>
  <c r="AA41" i="18"/>
  <c r="Z41" i="18"/>
  <c r="Y41" i="18"/>
  <c r="X41" i="18"/>
  <c r="W41" i="18"/>
  <c r="V41" i="18"/>
  <c r="U41" i="18"/>
  <c r="T41" i="18"/>
  <c r="S41" i="18"/>
  <c r="R41" i="18"/>
  <c r="N41" i="18"/>
  <c r="M41" i="18"/>
  <c r="L41" i="18"/>
  <c r="K41" i="18"/>
  <c r="J41" i="18"/>
  <c r="AU41" i="18" s="1"/>
  <c r="AV41" i="18" s="1"/>
  <c r="I41" i="18"/>
  <c r="AS41" i="18" s="1"/>
  <c r="AT41" i="18" s="1"/>
  <c r="H41" i="18"/>
  <c r="G41" i="18"/>
  <c r="AO41" i="18" s="1"/>
  <c r="AP41" i="18" s="1"/>
  <c r="F41" i="18"/>
  <c r="E41" i="18"/>
  <c r="D41" i="18"/>
  <c r="C41" i="18"/>
  <c r="BC40" i="18"/>
  <c r="BD40" i="18" s="1"/>
  <c r="BA40" i="18"/>
  <c r="BB40" i="18" s="1"/>
  <c r="AZ40" i="18"/>
  <c r="AY40" i="18"/>
  <c r="AW40" i="18"/>
  <c r="AX40" i="18" s="1"/>
  <c r="AU40" i="18"/>
  <c r="AV40" i="18" s="1"/>
  <c r="AS40" i="18"/>
  <c r="AT40" i="18" s="1"/>
  <c r="AQ40" i="18"/>
  <c r="AR40" i="18" s="1"/>
  <c r="AO40" i="18"/>
  <c r="AP40" i="18" s="1"/>
  <c r="AM40" i="18"/>
  <c r="AN40" i="18" s="1"/>
  <c r="AK40" i="18"/>
  <c r="AL40" i="18" s="1"/>
  <c r="AI40" i="18"/>
  <c r="AJ40" i="18" s="1"/>
  <c r="AG40" i="18"/>
  <c r="AH40" i="18" s="1"/>
  <c r="BC39" i="18"/>
  <c r="BD39" i="18" s="1"/>
  <c r="BA39" i="18"/>
  <c r="BB39" i="18" s="1"/>
  <c r="AZ39" i="18"/>
  <c r="AY39" i="18"/>
  <c r="AW39" i="18"/>
  <c r="AX39" i="18" s="1"/>
  <c r="AU39" i="18"/>
  <c r="AV39" i="18" s="1"/>
  <c r="AS39" i="18"/>
  <c r="AT39" i="18" s="1"/>
  <c r="AR39" i="18"/>
  <c r="AQ39" i="18"/>
  <c r="AO39" i="18"/>
  <c r="AP39" i="18" s="1"/>
  <c r="AM39" i="18"/>
  <c r="AN39" i="18" s="1"/>
  <c r="AK39" i="18"/>
  <c r="AL39" i="18" s="1"/>
  <c r="AI39" i="18"/>
  <c r="AJ39" i="18" s="1"/>
  <c r="AG39" i="18"/>
  <c r="AH39" i="18" s="1"/>
  <c r="BC38" i="18"/>
  <c r="BD38" i="18" s="1"/>
  <c r="BA38" i="18"/>
  <c r="BB38" i="18" s="1"/>
  <c r="AY38" i="18"/>
  <c r="AZ38" i="18" s="1"/>
  <c r="AW38" i="18"/>
  <c r="AX38" i="18" s="1"/>
  <c r="AU38" i="18"/>
  <c r="AV38" i="18" s="1"/>
  <c r="AS38" i="18"/>
  <c r="AT38" i="18" s="1"/>
  <c r="AQ38" i="18"/>
  <c r="AR38" i="18" s="1"/>
  <c r="AO38" i="18"/>
  <c r="AP38" i="18" s="1"/>
  <c r="AM38" i="18"/>
  <c r="AN38" i="18" s="1"/>
  <c r="AK38" i="18"/>
  <c r="AL38" i="18" s="1"/>
  <c r="AI38" i="18"/>
  <c r="AJ38" i="18" s="1"/>
  <c r="AG38" i="18"/>
  <c r="AH38" i="18" s="1"/>
  <c r="BC37" i="18"/>
  <c r="BD37" i="18" s="1"/>
  <c r="BA37" i="18"/>
  <c r="BB37" i="18" s="1"/>
  <c r="AY37" i="18"/>
  <c r="AZ37" i="18" s="1"/>
  <c r="AW37" i="18"/>
  <c r="AX37" i="18" s="1"/>
  <c r="AU37" i="18"/>
  <c r="AV37" i="18" s="1"/>
  <c r="AT37" i="18"/>
  <c r="AS37" i="18"/>
  <c r="AQ37" i="18"/>
  <c r="AR37" i="18" s="1"/>
  <c r="AO37" i="18"/>
  <c r="AP37" i="18" s="1"/>
  <c r="AM37" i="18"/>
  <c r="AN37" i="18" s="1"/>
  <c r="AK37" i="18"/>
  <c r="AL37" i="18" s="1"/>
  <c r="AJ37" i="18"/>
  <c r="AI37" i="18"/>
  <c r="AG37" i="18"/>
  <c r="AH37" i="18" s="1"/>
  <c r="BC36" i="18"/>
  <c r="BD36" i="18" s="1"/>
  <c r="BA36" i="18"/>
  <c r="BB36" i="18" s="1"/>
  <c r="AY36" i="18"/>
  <c r="AZ36" i="18" s="1"/>
  <c r="AW36" i="18"/>
  <c r="AX36" i="18" s="1"/>
  <c r="AU36" i="18"/>
  <c r="AV36" i="18" s="1"/>
  <c r="AS36" i="18"/>
  <c r="AT36" i="18" s="1"/>
  <c r="AQ36" i="18"/>
  <c r="AR36" i="18" s="1"/>
  <c r="AO36" i="18"/>
  <c r="AP36" i="18" s="1"/>
  <c r="AM36" i="18"/>
  <c r="AN36" i="18" s="1"/>
  <c r="AL36" i="18"/>
  <c r="AK36" i="18"/>
  <c r="AI36" i="18"/>
  <c r="AJ36" i="18" s="1"/>
  <c r="AG36" i="18"/>
  <c r="AH36" i="18" s="1"/>
  <c r="BC35" i="18"/>
  <c r="BD35" i="18" s="1"/>
  <c r="BB35" i="18"/>
  <c r="BA35" i="18"/>
  <c r="AZ35" i="18"/>
  <c r="AY35" i="18"/>
  <c r="AW35" i="18"/>
  <c r="AX35" i="18" s="1"/>
  <c r="AU35" i="18"/>
  <c r="AV35" i="18" s="1"/>
  <c r="AS35" i="18"/>
  <c r="AT35" i="18" s="1"/>
  <c r="AR35" i="18"/>
  <c r="AQ35" i="18"/>
  <c r="AO35" i="18"/>
  <c r="AP35" i="18" s="1"/>
  <c r="AM35" i="18"/>
  <c r="AN35" i="18" s="1"/>
  <c r="AK35" i="18"/>
  <c r="AL35" i="18" s="1"/>
  <c r="AI35" i="18"/>
  <c r="AJ35" i="18" s="1"/>
  <c r="AG35" i="18"/>
  <c r="AH35" i="18" s="1"/>
  <c r="BC34" i="18"/>
  <c r="BD34" i="18" s="1"/>
  <c r="BA34" i="18"/>
  <c r="BB34" i="18" s="1"/>
  <c r="AY34" i="18"/>
  <c r="AZ34" i="18" s="1"/>
  <c r="AW34" i="18"/>
  <c r="AX34" i="18" s="1"/>
  <c r="AU34" i="18"/>
  <c r="AV34" i="18" s="1"/>
  <c r="AS34" i="18"/>
  <c r="AT34" i="18" s="1"/>
  <c r="AR34" i="18"/>
  <c r="AQ34" i="18"/>
  <c r="AO34" i="18"/>
  <c r="AP34" i="18" s="1"/>
  <c r="AM34" i="18"/>
  <c r="AN34" i="18" s="1"/>
  <c r="AK34" i="18"/>
  <c r="AL34" i="18" s="1"/>
  <c r="AJ34" i="18"/>
  <c r="AI34" i="18"/>
  <c r="AG34" i="18"/>
  <c r="AH34" i="18" s="1"/>
  <c r="BC33" i="18"/>
  <c r="BD33" i="18" s="1"/>
  <c r="BA33" i="18"/>
  <c r="BB33" i="18" s="1"/>
  <c r="AY33" i="18"/>
  <c r="AZ33" i="18" s="1"/>
  <c r="AW33" i="18"/>
  <c r="AX33" i="18" s="1"/>
  <c r="AU33" i="18"/>
  <c r="AV33" i="18" s="1"/>
  <c r="AS33" i="18"/>
  <c r="AT33" i="18" s="1"/>
  <c r="AQ33" i="18"/>
  <c r="AR33" i="18" s="1"/>
  <c r="AO33" i="18"/>
  <c r="AP33" i="18" s="1"/>
  <c r="AM33" i="18"/>
  <c r="AN33" i="18" s="1"/>
  <c r="AK33" i="18"/>
  <c r="AL33" i="18" s="1"/>
  <c r="AJ33" i="18"/>
  <c r="AI33" i="18"/>
  <c r="AG33" i="18"/>
  <c r="AH33" i="18" s="1"/>
  <c r="BC32" i="18"/>
  <c r="BD32" i="18" s="1"/>
  <c r="BA32" i="18"/>
  <c r="BB32" i="18" s="1"/>
  <c r="AZ32" i="18"/>
  <c r="AY32" i="18"/>
  <c r="AW32" i="18"/>
  <c r="AX32" i="18" s="1"/>
  <c r="AU32" i="18"/>
  <c r="AV32" i="18" s="1"/>
  <c r="AS32" i="18"/>
  <c r="AT32" i="18" s="1"/>
  <c r="AQ32" i="18"/>
  <c r="AR32" i="18" s="1"/>
  <c r="AO32" i="18"/>
  <c r="AP32" i="18" s="1"/>
  <c r="AM32" i="18"/>
  <c r="AN32" i="18" s="1"/>
  <c r="AK32" i="18"/>
  <c r="AL32" i="18" s="1"/>
  <c r="AI32" i="18"/>
  <c r="AJ32" i="18" s="1"/>
  <c r="AG32" i="18"/>
  <c r="AH32" i="18" s="1"/>
  <c r="BC31" i="18"/>
  <c r="BD31" i="18" s="1"/>
  <c r="BA31" i="18"/>
  <c r="BB31" i="18" s="1"/>
  <c r="AY31" i="18"/>
  <c r="AZ31" i="18" s="1"/>
  <c r="AW31" i="18"/>
  <c r="AX31" i="18" s="1"/>
  <c r="AU31" i="18"/>
  <c r="AV31" i="18" s="1"/>
  <c r="AS31" i="18"/>
  <c r="AT31" i="18" s="1"/>
  <c r="AQ31" i="18"/>
  <c r="AR31" i="18" s="1"/>
  <c r="AO31" i="18"/>
  <c r="AP31" i="18" s="1"/>
  <c r="AM31" i="18"/>
  <c r="AN31" i="18" s="1"/>
  <c r="AK31" i="18"/>
  <c r="AL31" i="18" s="1"/>
  <c r="AI31" i="18"/>
  <c r="AJ31" i="18" s="1"/>
  <c r="AG31" i="18"/>
  <c r="AH31" i="18" s="1"/>
  <c r="BC30" i="18"/>
  <c r="BD30" i="18" s="1"/>
  <c r="BA30" i="18"/>
  <c r="BB30" i="18" s="1"/>
  <c r="AY30" i="18"/>
  <c r="AZ30" i="18" s="1"/>
  <c r="AW30" i="18"/>
  <c r="AX30" i="18" s="1"/>
  <c r="AU30" i="18"/>
  <c r="AV30" i="18" s="1"/>
  <c r="AT30" i="18"/>
  <c r="AS30" i="18"/>
  <c r="AQ30" i="18"/>
  <c r="AR30" i="18" s="1"/>
  <c r="AO30" i="18"/>
  <c r="AP30" i="18" s="1"/>
  <c r="AM30" i="18"/>
  <c r="AN30" i="18" s="1"/>
  <c r="AK30" i="18"/>
  <c r="AL30" i="18" s="1"/>
  <c r="AI30" i="18"/>
  <c r="AJ30" i="18" s="1"/>
  <c r="AG30" i="18"/>
  <c r="AH30" i="18" s="1"/>
  <c r="BC29" i="18"/>
  <c r="BD29" i="18" s="1"/>
  <c r="BA29" i="18"/>
  <c r="BB29" i="18" s="1"/>
  <c r="AY29" i="18"/>
  <c r="AZ29" i="18" s="1"/>
  <c r="AW29" i="18"/>
  <c r="AX29" i="18" s="1"/>
  <c r="AU29" i="18"/>
  <c r="AV29" i="18" s="1"/>
  <c r="AS29" i="18"/>
  <c r="AT29" i="18" s="1"/>
  <c r="AQ29" i="18"/>
  <c r="AR29" i="18" s="1"/>
  <c r="AO29" i="18"/>
  <c r="AP29" i="18" s="1"/>
  <c r="AM29" i="18"/>
  <c r="AN29" i="18" s="1"/>
  <c r="AK29" i="18"/>
  <c r="AL29" i="18" s="1"/>
  <c r="AI29" i="18"/>
  <c r="AJ29" i="18" s="1"/>
  <c r="AG29" i="18"/>
  <c r="AH29" i="18" s="1"/>
  <c r="BC28" i="18"/>
  <c r="BD28" i="18" s="1"/>
  <c r="BA28" i="18"/>
  <c r="BB28" i="18" s="1"/>
  <c r="AY28" i="18"/>
  <c r="AZ28" i="18" s="1"/>
  <c r="AW28" i="18"/>
  <c r="AX28" i="18" s="1"/>
  <c r="AU28" i="18"/>
  <c r="AV28" i="18" s="1"/>
  <c r="AS28" i="18"/>
  <c r="AT28" i="18" s="1"/>
  <c r="AQ28" i="18"/>
  <c r="AR28" i="18" s="1"/>
  <c r="AO28" i="18"/>
  <c r="AP28" i="18" s="1"/>
  <c r="AM28" i="18"/>
  <c r="AN28" i="18" s="1"/>
  <c r="AK28" i="18"/>
  <c r="AL28" i="18" s="1"/>
  <c r="AI28" i="18"/>
  <c r="AJ28" i="18" s="1"/>
  <c r="AG28" i="18"/>
  <c r="AH28" i="18" s="1"/>
  <c r="BC27" i="18"/>
  <c r="BD27" i="18" s="1"/>
  <c r="BB27" i="18"/>
  <c r="BA27" i="18"/>
  <c r="AY27" i="18"/>
  <c r="AZ27" i="18" s="1"/>
  <c r="AW27" i="18"/>
  <c r="AX27" i="18" s="1"/>
  <c r="AU27" i="18"/>
  <c r="AV27" i="18" s="1"/>
  <c r="AS27" i="18"/>
  <c r="AT27" i="18" s="1"/>
  <c r="AR27" i="18"/>
  <c r="AQ27" i="18"/>
  <c r="AO27" i="18"/>
  <c r="AP27" i="18" s="1"/>
  <c r="AM27" i="18"/>
  <c r="AN27" i="18" s="1"/>
  <c r="AK27" i="18"/>
  <c r="AL27" i="18" s="1"/>
  <c r="AI27" i="18"/>
  <c r="AJ27" i="18" s="1"/>
  <c r="AG27" i="18"/>
  <c r="AH27" i="18" s="1"/>
  <c r="AC21" i="18"/>
  <c r="AB21" i="18"/>
  <c r="AA21" i="18"/>
  <c r="Z21" i="18"/>
  <c r="Y21" i="18"/>
  <c r="X21" i="18"/>
  <c r="W21" i="18"/>
  <c r="V21" i="18"/>
  <c r="U21" i="18"/>
  <c r="S21" i="18"/>
  <c r="R21" i="18"/>
  <c r="N21" i="18"/>
  <c r="M21" i="18"/>
  <c r="L21" i="18"/>
  <c r="K21" i="18"/>
  <c r="AW21" i="18" s="1"/>
  <c r="AX21" i="18" s="1"/>
  <c r="J21" i="18"/>
  <c r="AU21" i="18" s="1"/>
  <c r="AV21" i="18" s="1"/>
  <c r="I21" i="18"/>
  <c r="AS21" i="18" s="1"/>
  <c r="AT21" i="18" s="1"/>
  <c r="H21" i="18"/>
  <c r="G21" i="18"/>
  <c r="AO21" i="18" s="1"/>
  <c r="AP21" i="18" s="1"/>
  <c r="D21" i="18"/>
  <c r="C21" i="18"/>
  <c r="BC20" i="18"/>
  <c r="BD20" i="18" s="1"/>
  <c r="BA20" i="18"/>
  <c r="BB20" i="18" s="1"/>
  <c r="AY20" i="18"/>
  <c r="AZ20" i="18" s="1"/>
  <c r="AW20" i="18"/>
  <c r="AX20" i="18" s="1"/>
  <c r="AU20" i="18"/>
  <c r="AV20" i="18" s="1"/>
  <c r="AS20" i="18"/>
  <c r="AT20" i="18" s="1"/>
  <c r="AQ20" i="18"/>
  <c r="AR20" i="18" s="1"/>
  <c r="AO20" i="18"/>
  <c r="AP20" i="18" s="1"/>
  <c r="AI20" i="18"/>
  <c r="AJ20" i="18" s="1"/>
  <c r="AG20" i="18"/>
  <c r="AH20" i="18" s="1"/>
  <c r="AK20" i="18"/>
  <c r="AL20" i="18" s="1"/>
  <c r="BC19" i="18"/>
  <c r="BD19" i="18" s="1"/>
  <c r="BA19" i="18"/>
  <c r="BB19" i="18" s="1"/>
  <c r="AY19" i="18"/>
  <c r="AZ19" i="18" s="1"/>
  <c r="AW19" i="18"/>
  <c r="AX19" i="18" s="1"/>
  <c r="AU19" i="18"/>
  <c r="AV19" i="18" s="1"/>
  <c r="AS19" i="18"/>
  <c r="AT19" i="18" s="1"/>
  <c r="AQ19" i="18"/>
  <c r="AR19" i="18" s="1"/>
  <c r="AO19" i="18"/>
  <c r="AP19" i="18" s="1"/>
  <c r="AI19" i="18"/>
  <c r="AJ19" i="18" s="1"/>
  <c r="AG19" i="18"/>
  <c r="AH19" i="18" s="1"/>
  <c r="AM19" i="18"/>
  <c r="AN19" i="18" s="1"/>
  <c r="AK19" i="18"/>
  <c r="AL19" i="18" s="1"/>
  <c r="BC18" i="18"/>
  <c r="BD18" i="18" s="1"/>
  <c r="BA18" i="18"/>
  <c r="BB18" i="18" s="1"/>
  <c r="AY18" i="18"/>
  <c r="AZ18" i="18" s="1"/>
  <c r="AW18" i="18"/>
  <c r="AX18" i="18" s="1"/>
  <c r="AU18" i="18"/>
  <c r="AV18" i="18" s="1"/>
  <c r="AS18" i="18"/>
  <c r="AT18" i="18" s="1"/>
  <c r="AQ18" i="18"/>
  <c r="AR18" i="18" s="1"/>
  <c r="AO18" i="18"/>
  <c r="AP18" i="18" s="1"/>
  <c r="AI18" i="18"/>
  <c r="AJ18" i="18" s="1"/>
  <c r="AG18" i="18"/>
  <c r="AH18" i="18" s="1"/>
  <c r="AM18" i="18"/>
  <c r="AN18" i="18" s="1"/>
  <c r="AK18" i="18"/>
  <c r="AL18" i="18" s="1"/>
  <c r="BC17" i="18"/>
  <c r="BD17" i="18" s="1"/>
  <c r="BA17" i="18"/>
  <c r="BB17" i="18" s="1"/>
  <c r="AY17" i="18"/>
  <c r="AZ17" i="18" s="1"/>
  <c r="AW17" i="18"/>
  <c r="AX17" i="18" s="1"/>
  <c r="AU17" i="18"/>
  <c r="AV17" i="18" s="1"/>
  <c r="AS17" i="18"/>
  <c r="AT17" i="18" s="1"/>
  <c r="AQ17" i="18"/>
  <c r="AR17" i="18" s="1"/>
  <c r="AO17" i="18"/>
  <c r="AP17" i="18" s="1"/>
  <c r="AI17" i="18"/>
  <c r="AJ17" i="18" s="1"/>
  <c r="AG17" i="18"/>
  <c r="AH17" i="18" s="1"/>
  <c r="T21" i="18"/>
  <c r="E21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N10" i="18"/>
  <c r="M10" i="18"/>
  <c r="L10" i="18"/>
  <c r="K10" i="18"/>
  <c r="AW10" i="18" s="1"/>
  <c r="AX10" i="18" s="1"/>
  <c r="J10" i="18"/>
  <c r="I10" i="18"/>
  <c r="H10" i="18"/>
  <c r="G10" i="18"/>
  <c r="F10" i="18"/>
  <c r="E10" i="18"/>
  <c r="D10" i="18"/>
  <c r="C10" i="18"/>
  <c r="BC9" i="18"/>
  <c r="BD9" i="18" s="1"/>
  <c r="BA9" i="18"/>
  <c r="BB9" i="18" s="1"/>
  <c r="AY9" i="18"/>
  <c r="AZ9" i="18" s="1"/>
  <c r="AW9" i="18"/>
  <c r="AX9" i="18" s="1"/>
  <c r="AU9" i="18"/>
  <c r="AV9" i="18" s="1"/>
  <c r="AS9" i="18"/>
  <c r="AT9" i="18" s="1"/>
  <c r="AQ9" i="18"/>
  <c r="AR9" i="18" s="1"/>
  <c r="AO9" i="18"/>
  <c r="AP9" i="18" s="1"/>
  <c r="AM9" i="18"/>
  <c r="AN9" i="18" s="1"/>
  <c r="AK9" i="18"/>
  <c r="AL9" i="18" s="1"/>
  <c r="AI9" i="18"/>
  <c r="AJ9" i="18" s="1"/>
  <c r="AG9" i="18"/>
  <c r="AH9" i="18" s="1"/>
  <c r="BC8" i="18"/>
  <c r="BD8" i="18" s="1"/>
  <c r="BA8" i="18"/>
  <c r="BB8" i="18" s="1"/>
  <c r="AY8" i="18"/>
  <c r="AZ8" i="18" s="1"/>
  <c r="AW8" i="18"/>
  <c r="AX8" i="18" s="1"/>
  <c r="AU8" i="18"/>
  <c r="AV8" i="18" s="1"/>
  <c r="AS8" i="18"/>
  <c r="AT8" i="18" s="1"/>
  <c r="AQ8" i="18"/>
  <c r="AR8" i="18" s="1"/>
  <c r="AO8" i="18"/>
  <c r="AP8" i="18" s="1"/>
  <c r="AM8" i="18"/>
  <c r="AN8" i="18" s="1"/>
  <c r="AK8" i="18"/>
  <c r="AL8" i="18" s="1"/>
  <c r="AI8" i="18"/>
  <c r="AJ8" i="18" s="1"/>
  <c r="AG8" i="18"/>
  <c r="AH8" i="18" s="1"/>
  <c r="BC7" i="18"/>
  <c r="BD7" i="18" s="1"/>
  <c r="BA7" i="18"/>
  <c r="BB7" i="18" s="1"/>
  <c r="AY7" i="18"/>
  <c r="AZ7" i="18" s="1"/>
  <c r="AW7" i="18"/>
  <c r="AX7" i="18" s="1"/>
  <c r="AU7" i="18"/>
  <c r="AV7" i="18" s="1"/>
  <c r="AS7" i="18"/>
  <c r="AT7" i="18" s="1"/>
  <c r="AQ7" i="18"/>
  <c r="AR7" i="18" s="1"/>
  <c r="AO7" i="18"/>
  <c r="AP7" i="18" s="1"/>
  <c r="AM7" i="18"/>
  <c r="AN7" i="18" s="1"/>
  <c r="AK7" i="18"/>
  <c r="AL7" i="18" s="1"/>
  <c r="AI7" i="18"/>
  <c r="AJ7" i="18" s="1"/>
  <c r="AG7" i="18"/>
  <c r="AH7" i="18" s="1"/>
  <c r="BC6" i="18"/>
  <c r="BD6" i="18" s="1"/>
  <c r="BA6" i="18"/>
  <c r="BB6" i="18" s="1"/>
  <c r="AY6" i="18"/>
  <c r="AZ6" i="18" s="1"/>
  <c r="AW6" i="18"/>
  <c r="AX6" i="18" s="1"/>
  <c r="AU6" i="18"/>
  <c r="AV6" i="18" s="1"/>
  <c r="AS6" i="18"/>
  <c r="AT6" i="18" s="1"/>
  <c r="AQ6" i="18"/>
  <c r="AR6" i="18" s="1"/>
  <c r="AO6" i="18"/>
  <c r="AP6" i="18" s="1"/>
  <c r="AM6" i="18"/>
  <c r="AN6" i="18" s="1"/>
  <c r="AK6" i="18"/>
  <c r="AL6" i="18" s="1"/>
  <c r="AI6" i="18"/>
  <c r="AJ6" i="18" s="1"/>
  <c r="AG6" i="18"/>
  <c r="AH6" i="18" s="1"/>
  <c r="BC5" i="18"/>
  <c r="BD5" i="18" s="1"/>
  <c r="BA5" i="18"/>
  <c r="BB5" i="18" s="1"/>
  <c r="AY5" i="18"/>
  <c r="AZ5" i="18" s="1"/>
  <c r="AW5" i="18"/>
  <c r="AX5" i="18" s="1"/>
  <c r="AU5" i="18"/>
  <c r="AV5" i="18" s="1"/>
  <c r="AS5" i="18"/>
  <c r="AT5" i="18" s="1"/>
  <c r="AQ5" i="18"/>
  <c r="AR5" i="18" s="1"/>
  <c r="AO5" i="18"/>
  <c r="AP5" i="18" s="1"/>
  <c r="AM5" i="18"/>
  <c r="AN5" i="18" s="1"/>
  <c r="AK5" i="18"/>
  <c r="AL5" i="18" s="1"/>
  <c r="AI5" i="18"/>
  <c r="AJ5" i="18" s="1"/>
  <c r="AG5" i="18"/>
  <c r="AH5" i="18" s="1"/>
  <c r="AC61" i="17"/>
  <c r="AB61" i="17"/>
  <c r="AA61" i="17"/>
  <c r="Z61" i="17"/>
  <c r="Y61" i="17"/>
  <c r="X61" i="17"/>
  <c r="W61" i="17"/>
  <c r="V61" i="17"/>
  <c r="U61" i="17"/>
  <c r="T61" i="17"/>
  <c r="S61" i="17"/>
  <c r="R61" i="17"/>
  <c r="N61" i="17"/>
  <c r="M61" i="17"/>
  <c r="L61" i="17"/>
  <c r="AY61" i="17" s="1"/>
  <c r="AZ61" i="17" s="1"/>
  <c r="K61" i="17"/>
  <c r="AW61" i="17" s="1"/>
  <c r="AX61" i="17" s="1"/>
  <c r="J61" i="17"/>
  <c r="AU61" i="17" s="1"/>
  <c r="AV61" i="17" s="1"/>
  <c r="I61" i="17"/>
  <c r="H61" i="17"/>
  <c r="G61" i="17"/>
  <c r="F61" i="17"/>
  <c r="E61" i="17"/>
  <c r="D61" i="17"/>
  <c r="C61" i="17"/>
  <c r="AG61" i="17" s="1"/>
  <c r="AH61" i="17" s="1"/>
  <c r="BC60" i="17"/>
  <c r="BD60" i="17" s="1"/>
  <c r="BA60" i="17"/>
  <c r="BB60" i="17" s="1"/>
  <c r="AY60" i="17"/>
  <c r="AZ60" i="17" s="1"/>
  <c r="AW60" i="17"/>
  <c r="AX60" i="17" s="1"/>
  <c r="AU60" i="17"/>
  <c r="AV60" i="17" s="1"/>
  <c r="AS60" i="17"/>
  <c r="AT60" i="17" s="1"/>
  <c r="AQ60" i="17"/>
  <c r="AR60" i="17" s="1"/>
  <c r="AO60" i="17"/>
  <c r="AP60" i="17" s="1"/>
  <c r="AM60" i="17"/>
  <c r="AN60" i="17" s="1"/>
  <c r="AK60" i="17"/>
  <c r="AL60" i="17" s="1"/>
  <c r="AI60" i="17"/>
  <c r="AJ60" i="17" s="1"/>
  <c r="AG60" i="17"/>
  <c r="AH60" i="17" s="1"/>
  <c r="BC59" i="17"/>
  <c r="BD59" i="17" s="1"/>
  <c r="BA59" i="17"/>
  <c r="BB59" i="17" s="1"/>
  <c r="AY59" i="17"/>
  <c r="AZ59" i="17" s="1"/>
  <c r="AW59" i="17"/>
  <c r="AX59" i="17" s="1"/>
  <c r="AU59" i="17"/>
  <c r="AV59" i="17" s="1"/>
  <c r="AS59" i="17"/>
  <c r="AT59" i="17" s="1"/>
  <c r="AQ59" i="17"/>
  <c r="AR59" i="17" s="1"/>
  <c r="AO59" i="17"/>
  <c r="AP59" i="17" s="1"/>
  <c r="AM59" i="17"/>
  <c r="AN59" i="17" s="1"/>
  <c r="AK59" i="17"/>
  <c r="AL59" i="17" s="1"/>
  <c r="AI59" i="17"/>
  <c r="AJ59" i="17" s="1"/>
  <c r="AG59" i="17"/>
  <c r="AH59" i="17" s="1"/>
  <c r="BC58" i="17"/>
  <c r="BD58" i="17" s="1"/>
  <c r="BA58" i="17"/>
  <c r="BB58" i="17" s="1"/>
  <c r="AY58" i="17"/>
  <c r="AZ58" i="17" s="1"/>
  <c r="AW58" i="17"/>
  <c r="AX58" i="17" s="1"/>
  <c r="AU58" i="17"/>
  <c r="AV58" i="17" s="1"/>
  <c r="AS58" i="17"/>
  <c r="AT58" i="17" s="1"/>
  <c r="AQ58" i="17"/>
  <c r="AR58" i="17" s="1"/>
  <c r="AO58" i="17"/>
  <c r="AP58" i="17" s="1"/>
  <c r="AM58" i="17"/>
  <c r="AN58" i="17" s="1"/>
  <c r="AK58" i="17"/>
  <c r="AL58" i="17" s="1"/>
  <c r="AI58" i="17"/>
  <c r="AJ58" i="17" s="1"/>
  <c r="AG58" i="17"/>
  <c r="AH58" i="17" s="1"/>
  <c r="BC57" i="17"/>
  <c r="BD57" i="17" s="1"/>
  <c r="BA57" i="17"/>
  <c r="BB57" i="17" s="1"/>
  <c r="AY57" i="17"/>
  <c r="AZ57" i="17" s="1"/>
  <c r="AW57" i="17"/>
  <c r="AX57" i="17" s="1"/>
  <c r="AU57" i="17"/>
  <c r="AV57" i="17" s="1"/>
  <c r="AS57" i="17"/>
  <c r="AT57" i="17" s="1"/>
  <c r="AQ57" i="17"/>
  <c r="AR57" i="17" s="1"/>
  <c r="AO57" i="17"/>
  <c r="AP57" i="17" s="1"/>
  <c r="AM57" i="17"/>
  <c r="AN57" i="17" s="1"/>
  <c r="AK57" i="17"/>
  <c r="AL57" i="17" s="1"/>
  <c r="AI57" i="17"/>
  <c r="AJ57" i="17" s="1"/>
  <c r="AG57" i="17"/>
  <c r="AH57" i="17" s="1"/>
  <c r="BC56" i="17"/>
  <c r="BD56" i="17" s="1"/>
  <c r="BA56" i="17"/>
  <c r="BB56" i="17" s="1"/>
  <c r="AY56" i="17"/>
  <c r="AZ56" i="17" s="1"/>
  <c r="AW56" i="17"/>
  <c r="AX56" i="17" s="1"/>
  <c r="AU56" i="17"/>
  <c r="AV56" i="17" s="1"/>
  <c r="AS56" i="17"/>
  <c r="AT56" i="17" s="1"/>
  <c r="AQ56" i="17"/>
  <c r="AR56" i="17" s="1"/>
  <c r="AO56" i="17"/>
  <c r="AP56" i="17" s="1"/>
  <c r="AM56" i="17"/>
  <c r="AN56" i="17" s="1"/>
  <c r="AK56" i="17"/>
  <c r="AL56" i="17" s="1"/>
  <c r="AI56" i="17"/>
  <c r="AJ56" i="17" s="1"/>
  <c r="AG56" i="17"/>
  <c r="AH56" i="17" s="1"/>
  <c r="BC55" i="17"/>
  <c r="BD55" i="17" s="1"/>
  <c r="BA55" i="17"/>
  <c r="BB55" i="17" s="1"/>
  <c r="AY55" i="17"/>
  <c r="AZ55" i="17" s="1"/>
  <c r="AW55" i="17"/>
  <c r="AX55" i="17" s="1"/>
  <c r="AU55" i="17"/>
  <c r="AV55" i="17" s="1"/>
  <c r="AS55" i="17"/>
  <c r="AT55" i="17" s="1"/>
  <c r="AQ55" i="17"/>
  <c r="AR55" i="17" s="1"/>
  <c r="AO55" i="17"/>
  <c r="AP55" i="17" s="1"/>
  <c r="AM55" i="17"/>
  <c r="AN55" i="17" s="1"/>
  <c r="AK55" i="17"/>
  <c r="AL55" i="17" s="1"/>
  <c r="AI55" i="17"/>
  <c r="AJ55" i="17" s="1"/>
  <c r="AG55" i="17"/>
  <c r="AH55" i="17" s="1"/>
  <c r="BC54" i="17"/>
  <c r="BD54" i="17" s="1"/>
  <c r="BA54" i="17"/>
  <c r="BB54" i="17" s="1"/>
  <c r="AY54" i="17"/>
  <c r="AZ54" i="17" s="1"/>
  <c r="AW54" i="17"/>
  <c r="AX54" i="17" s="1"/>
  <c r="AU54" i="17"/>
  <c r="AV54" i="17" s="1"/>
  <c r="AS54" i="17"/>
  <c r="AT54" i="17" s="1"/>
  <c r="AQ54" i="17"/>
  <c r="AR54" i="17" s="1"/>
  <c r="AO54" i="17"/>
  <c r="AP54" i="17" s="1"/>
  <c r="AM54" i="17"/>
  <c r="AN54" i="17" s="1"/>
  <c r="AK54" i="17"/>
  <c r="AL54" i="17" s="1"/>
  <c r="AI54" i="17"/>
  <c r="AJ54" i="17" s="1"/>
  <c r="AG54" i="17"/>
  <c r="AH54" i="17" s="1"/>
  <c r="BD53" i="17"/>
  <c r="BC53" i="17"/>
  <c r="BA53" i="17"/>
  <c r="BB53" i="17" s="1"/>
  <c r="AY53" i="17"/>
  <c r="AZ53" i="17" s="1"/>
  <c r="AW53" i="17"/>
  <c r="AX53" i="17" s="1"/>
  <c r="AU53" i="17"/>
  <c r="AV53" i="17" s="1"/>
  <c r="AS53" i="17"/>
  <c r="AT53" i="17" s="1"/>
  <c r="AQ53" i="17"/>
  <c r="AR53" i="17" s="1"/>
  <c r="AO53" i="17"/>
  <c r="AP53" i="17" s="1"/>
  <c r="AM53" i="17"/>
  <c r="AN53" i="17" s="1"/>
  <c r="AK53" i="17"/>
  <c r="AL53" i="17" s="1"/>
  <c r="AI53" i="17"/>
  <c r="AJ53" i="17" s="1"/>
  <c r="AG53" i="17"/>
  <c r="AH53" i="17" s="1"/>
  <c r="BC52" i="17"/>
  <c r="BD52" i="17" s="1"/>
  <c r="BA52" i="17"/>
  <c r="BB52" i="17" s="1"/>
  <c r="AY52" i="17"/>
  <c r="AZ52" i="17" s="1"/>
  <c r="AW52" i="17"/>
  <c r="AX52" i="17" s="1"/>
  <c r="AU52" i="17"/>
  <c r="AV52" i="17" s="1"/>
  <c r="AS52" i="17"/>
  <c r="AT52" i="17" s="1"/>
  <c r="AQ52" i="17"/>
  <c r="AR52" i="17" s="1"/>
  <c r="AO52" i="17"/>
  <c r="AP52" i="17" s="1"/>
  <c r="AM52" i="17"/>
  <c r="AN52" i="17" s="1"/>
  <c r="AK52" i="17"/>
  <c r="AL52" i="17" s="1"/>
  <c r="AI52" i="17"/>
  <c r="AJ52" i="17" s="1"/>
  <c r="AG52" i="17"/>
  <c r="AH52" i="17" s="1"/>
  <c r="BC51" i="17"/>
  <c r="BD51" i="17" s="1"/>
  <c r="BA51" i="17"/>
  <c r="BB51" i="17" s="1"/>
  <c r="AY51" i="17"/>
  <c r="AZ51" i="17" s="1"/>
  <c r="AW51" i="17"/>
  <c r="AX51" i="17" s="1"/>
  <c r="AU51" i="17"/>
  <c r="AV51" i="17" s="1"/>
  <c r="AS51" i="17"/>
  <c r="AT51" i="17" s="1"/>
  <c r="AQ51" i="17"/>
  <c r="AR51" i="17" s="1"/>
  <c r="AO51" i="17"/>
  <c r="AP51" i="17" s="1"/>
  <c r="AN51" i="17"/>
  <c r="AM51" i="17"/>
  <c r="AK51" i="17"/>
  <c r="AL51" i="17" s="1"/>
  <c r="AI51" i="17"/>
  <c r="AJ51" i="17" s="1"/>
  <c r="AG51" i="17"/>
  <c r="AH51" i="17" s="1"/>
  <c r="BC50" i="17"/>
  <c r="BD50" i="17" s="1"/>
  <c r="BA50" i="17"/>
  <c r="BB50" i="17" s="1"/>
  <c r="AY50" i="17"/>
  <c r="AZ50" i="17" s="1"/>
  <c r="AW50" i="17"/>
  <c r="AX50" i="17" s="1"/>
  <c r="AU50" i="17"/>
  <c r="AV50" i="17" s="1"/>
  <c r="AS50" i="17"/>
  <c r="AT50" i="17" s="1"/>
  <c r="AQ50" i="17"/>
  <c r="AR50" i="17" s="1"/>
  <c r="AO50" i="17"/>
  <c r="AP50" i="17" s="1"/>
  <c r="AM50" i="17"/>
  <c r="AN50" i="17" s="1"/>
  <c r="AK50" i="17"/>
  <c r="AL50" i="17" s="1"/>
  <c r="AI50" i="17"/>
  <c r="AJ50" i="17" s="1"/>
  <c r="AG50" i="17"/>
  <c r="AH50" i="17" s="1"/>
  <c r="BC49" i="17"/>
  <c r="BD49" i="17" s="1"/>
  <c r="BA49" i="17"/>
  <c r="BB49" i="17" s="1"/>
  <c r="AY49" i="17"/>
  <c r="AZ49" i="17" s="1"/>
  <c r="AW49" i="17"/>
  <c r="AX49" i="17" s="1"/>
  <c r="AU49" i="17"/>
  <c r="AV49" i="17" s="1"/>
  <c r="AS49" i="17"/>
  <c r="AT49" i="17" s="1"/>
  <c r="AQ49" i="17"/>
  <c r="AR49" i="17" s="1"/>
  <c r="AO49" i="17"/>
  <c r="AP49" i="17" s="1"/>
  <c r="AM49" i="17"/>
  <c r="AN49" i="17" s="1"/>
  <c r="AK49" i="17"/>
  <c r="AL49" i="17" s="1"/>
  <c r="AI49" i="17"/>
  <c r="AJ49" i="17" s="1"/>
  <c r="AG49" i="17"/>
  <c r="AH49" i="17" s="1"/>
  <c r="BC48" i="17"/>
  <c r="BD48" i="17" s="1"/>
  <c r="BA48" i="17"/>
  <c r="BB48" i="17" s="1"/>
  <c r="AY48" i="17"/>
  <c r="AZ48" i="17" s="1"/>
  <c r="AW48" i="17"/>
  <c r="AX48" i="17" s="1"/>
  <c r="AU48" i="17"/>
  <c r="AV48" i="17" s="1"/>
  <c r="AS48" i="17"/>
  <c r="AT48" i="17" s="1"/>
  <c r="AQ48" i="17"/>
  <c r="AR48" i="17" s="1"/>
  <c r="AO48" i="17"/>
  <c r="AP48" i="17" s="1"/>
  <c r="AM48" i="17"/>
  <c r="AN48" i="17" s="1"/>
  <c r="AK48" i="17"/>
  <c r="AL48" i="17" s="1"/>
  <c r="AI48" i="17"/>
  <c r="AJ48" i="17" s="1"/>
  <c r="AG48" i="17"/>
  <c r="AH48" i="17" s="1"/>
  <c r="BC47" i="17"/>
  <c r="BD47" i="17" s="1"/>
  <c r="BA47" i="17"/>
  <c r="BB47" i="17" s="1"/>
  <c r="AY47" i="17"/>
  <c r="AZ47" i="17" s="1"/>
  <c r="AW47" i="17"/>
  <c r="AX47" i="17" s="1"/>
  <c r="AU47" i="17"/>
  <c r="AV47" i="17" s="1"/>
  <c r="AS47" i="17"/>
  <c r="AT47" i="17" s="1"/>
  <c r="AQ47" i="17"/>
  <c r="AR47" i="17" s="1"/>
  <c r="AO47" i="17"/>
  <c r="AP47" i="17" s="1"/>
  <c r="AM47" i="17"/>
  <c r="AN47" i="17" s="1"/>
  <c r="AK47" i="17"/>
  <c r="AL47" i="17" s="1"/>
  <c r="AI47" i="17"/>
  <c r="AJ47" i="17" s="1"/>
  <c r="AG47" i="17"/>
  <c r="AH47" i="17" s="1"/>
  <c r="AC41" i="17"/>
  <c r="AB41" i="17"/>
  <c r="AA41" i="17"/>
  <c r="Z41" i="17"/>
  <c r="Y41" i="17"/>
  <c r="X41" i="17"/>
  <c r="W41" i="17"/>
  <c r="V41" i="17"/>
  <c r="U41" i="17"/>
  <c r="T41" i="17"/>
  <c r="S41" i="17"/>
  <c r="R41" i="17"/>
  <c r="N41" i="17"/>
  <c r="M41" i="17"/>
  <c r="BA41" i="17" s="1"/>
  <c r="BB41" i="17" s="1"/>
  <c r="L41" i="17"/>
  <c r="AY41" i="17" s="1"/>
  <c r="AZ41" i="17" s="1"/>
  <c r="K41" i="17"/>
  <c r="AW41" i="17" s="1"/>
  <c r="AX41" i="17" s="1"/>
  <c r="J41" i="17"/>
  <c r="I41" i="17"/>
  <c r="H41" i="17"/>
  <c r="G41" i="17"/>
  <c r="F41" i="17"/>
  <c r="E41" i="17"/>
  <c r="D41" i="17"/>
  <c r="C41" i="17"/>
  <c r="BC40" i="17"/>
  <c r="BD40" i="17" s="1"/>
  <c r="BA40" i="17"/>
  <c r="BB40" i="17" s="1"/>
  <c r="AY40" i="17"/>
  <c r="AZ40" i="17" s="1"/>
  <c r="AW40" i="17"/>
  <c r="AX40" i="17" s="1"/>
  <c r="AU40" i="17"/>
  <c r="AV40" i="17" s="1"/>
  <c r="AS40" i="17"/>
  <c r="AT40" i="17" s="1"/>
  <c r="AQ40" i="17"/>
  <c r="AR40" i="17" s="1"/>
  <c r="AO40" i="17"/>
  <c r="AP40" i="17" s="1"/>
  <c r="AM40" i="17"/>
  <c r="AN40" i="17" s="1"/>
  <c r="AK40" i="17"/>
  <c r="AL40" i="17" s="1"/>
  <c r="AI40" i="17"/>
  <c r="AJ40" i="17" s="1"/>
  <c r="AG40" i="17"/>
  <c r="AH40" i="17" s="1"/>
  <c r="BC39" i="17"/>
  <c r="BD39" i="17" s="1"/>
  <c r="BA39" i="17"/>
  <c r="BB39" i="17" s="1"/>
  <c r="AY39" i="17"/>
  <c r="AZ39" i="17" s="1"/>
  <c r="AW39" i="17"/>
  <c r="AX39" i="17" s="1"/>
  <c r="AU39" i="17"/>
  <c r="AV39" i="17" s="1"/>
  <c r="AS39" i="17"/>
  <c r="AT39" i="17" s="1"/>
  <c r="AQ39" i="17"/>
  <c r="AR39" i="17" s="1"/>
  <c r="AO39" i="17"/>
  <c r="AP39" i="17" s="1"/>
  <c r="AM39" i="17"/>
  <c r="AN39" i="17" s="1"/>
  <c r="AK39" i="17"/>
  <c r="AL39" i="17" s="1"/>
  <c r="AI39" i="17"/>
  <c r="AJ39" i="17" s="1"/>
  <c r="AG39" i="17"/>
  <c r="AH39" i="17" s="1"/>
  <c r="BC38" i="17"/>
  <c r="BD38" i="17" s="1"/>
  <c r="BA38" i="17"/>
  <c r="BB38" i="17" s="1"/>
  <c r="AY38" i="17"/>
  <c r="AZ38" i="17" s="1"/>
  <c r="AW38" i="17"/>
  <c r="AX38" i="17" s="1"/>
  <c r="AU38" i="17"/>
  <c r="AV38" i="17" s="1"/>
  <c r="AS38" i="17"/>
  <c r="AT38" i="17" s="1"/>
  <c r="AQ38" i="17"/>
  <c r="AR38" i="17" s="1"/>
  <c r="AO38" i="17"/>
  <c r="AP38" i="17" s="1"/>
  <c r="AN38" i="17"/>
  <c r="AM38" i="17"/>
  <c r="AK38" i="17"/>
  <c r="AL38" i="17" s="1"/>
  <c r="AI38" i="17"/>
  <c r="AJ38" i="17" s="1"/>
  <c r="AG38" i="17"/>
  <c r="AH38" i="17" s="1"/>
  <c r="BC37" i="17"/>
  <c r="BD37" i="17" s="1"/>
  <c r="BA37" i="17"/>
  <c r="BB37" i="17" s="1"/>
  <c r="AY37" i="17"/>
  <c r="AZ37" i="17" s="1"/>
  <c r="AW37" i="17"/>
  <c r="AX37" i="17" s="1"/>
  <c r="AU37" i="17"/>
  <c r="AV37" i="17" s="1"/>
  <c r="AS37" i="17"/>
  <c r="AT37" i="17" s="1"/>
  <c r="AQ37" i="17"/>
  <c r="AR37" i="17" s="1"/>
  <c r="AO37" i="17"/>
  <c r="AP37" i="17" s="1"/>
  <c r="AM37" i="17"/>
  <c r="AN37" i="17" s="1"/>
  <c r="AK37" i="17"/>
  <c r="AL37" i="17" s="1"/>
  <c r="AI37" i="17"/>
  <c r="AJ37" i="17" s="1"/>
  <c r="AG37" i="17"/>
  <c r="AH37" i="17" s="1"/>
  <c r="BC36" i="17"/>
  <c r="BD36" i="17" s="1"/>
  <c r="BA36" i="17"/>
  <c r="BB36" i="17" s="1"/>
  <c r="AY36" i="17"/>
  <c r="AZ36" i="17" s="1"/>
  <c r="AW36" i="17"/>
  <c r="AX36" i="17" s="1"/>
  <c r="AU36" i="17"/>
  <c r="AV36" i="17" s="1"/>
  <c r="AS36" i="17"/>
  <c r="AT36" i="17" s="1"/>
  <c r="AQ36" i="17"/>
  <c r="AR36" i="17" s="1"/>
  <c r="AO36" i="17"/>
  <c r="AP36" i="17" s="1"/>
  <c r="AM36" i="17"/>
  <c r="AN36" i="17" s="1"/>
  <c r="AK36" i="17"/>
  <c r="AL36" i="17" s="1"/>
  <c r="AI36" i="17"/>
  <c r="AJ36" i="17" s="1"/>
  <c r="AG36" i="17"/>
  <c r="AH36" i="17" s="1"/>
  <c r="BC35" i="17"/>
  <c r="BD35" i="17" s="1"/>
  <c r="BA35" i="17"/>
  <c r="BB35" i="17" s="1"/>
  <c r="AY35" i="17"/>
  <c r="AZ35" i="17" s="1"/>
  <c r="AW35" i="17"/>
  <c r="AX35" i="17" s="1"/>
  <c r="AV35" i="17"/>
  <c r="AU35" i="17"/>
  <c r="AS35" i="17"/>
  <c r="AT35" i="17" s="1"/>
  <c r="AQ35" i="17"/>
  <c r="AR35" i="17" s="1"/>
  <c r="AO35" i="17"/>
  <c r="AP35" i="17" s="1"/>
  <c r="AM35" i="17"/>
  <c r="AN35" i="17" s="1"/>
  <c r="AK35" i="17"/>
  <c r="AL35" i="17" s="1"/>
  <c r="AI35" i="17"/>
  <c r="AJ35" i="17" s="1"/>
  <c r="AG35" i="17"/>
  <c r="AH35" i="17" s="1"/>
  <c r="BC34" i="17"/>
  <c r="BD34" i="17" s="1"/>
  <c r="BA34" i="17"/>
  <c r="BB34" i="17" s="1"/>
  <c r="AY34" i="17"/>
  <c r="AZ34" i="17" s="1"/>
  <c r="AW34" i="17"/>
  <c r="AX34" i="17" s="1"/>
  <c r="AU34" i="17"/>
  <c r="AV34" i="17" s="1"/>
  <c r="AS34" i="17"/>
  <c r="AT34" i="17" s="1"/>
  <c r="AQ34" i="17"/>
  <c r="AR34" i="17" s="1"/>
  <c r="AO34" i="17"/>
  <c r="AP34" i="17" s="1"/>
  <c r="AM34" i="17"/>
  <c r="AN34" i="17" s="1"/>
  <c r="AK34" i="17"/>
  <c r="AL34" i="17" s="1"/>
  <c r="AI34" i="17"/>
  <c r="AJ34" i="17" s="1"/>
  <c r="AG34" i="17"/>
  <c r="AH34" i="17" s="1"/>
  <c r="BC33" i="17"/>
  <c r="BD33" i="17" s="1"/>
  <c r="BA33" i="17"/>
  <c r="BB33" i="17" s="1"/>
  <c r="AY33" i="17"/>
  <c r="AZ33" i="17" s="1"/>
  <c r="AW33" i="17"/>
  <c r="AX33" i="17" s="1"/>
  <c r="AU33" i="17"/>
  <c r="AV33" i="17" s="1"/>
  <c r="AS33" i="17"/>
  <c r="AT33" i="17" s="1"/>
  <c r="AQ33" i="17"/>
  <c r="AR33" i="17" s="1"/>
  <c r="AO33" i="17"/>
  <c r="AP33" i="17" s="1"/>
  <c r="AM33" i="17"/>
  <c r="AN33" i="17" s="1"/>
  <c r="AK33" i="17"/>
  <c r="AL33" i="17" s="1"/>
  <c r="AI33" i="17"/>
  <c r="AJ33" i="17" s="1"/>
  <c r="AG33" i="17"/>
  <c r="AH33" i="17" s="1"/>
  <c r="BC32" i="17"/>
  <c r="BD32" i="17" s="1"/>
  <c r="BA32" i="17"/>
  <c r="BB32" i="17" s="1"/>
  <c r="AY32" i="17"/>
  <c r="AZ32" i="17" s="1"/>
  <c r="AW32" i="17"/>
  <c r="AX32" i="17" s="1"/>
  <c r="AU32" i="17"/>
  <c r="AV32" i="17" s="1"/>
  <c r="AS32" i="17"/>
  <c r="AT32" i="17" s="1"/>
  <c r="AQ32" i="17"/>
  <c r="AR32" i="17" s="1"/>
  <c r="AO32" i="17"/>
  <c r="AP32" i="17" s="1"/>
  <c r="AM32" i="17"/>
  <c r="AN32" i="17" s="1"/>
  <c r="AK32" i="17"/>
  <c r="AL32" i="17" s="1"/>
  <c r="AI32" i="17"/>
  <c r="AJ32" i="17" s="1"/>
  <c r="AG32" i="17"/>
  <c r="AH32" i="17" s="1"/>
  <c r="BC31" i="17"/>
  <c r="BD31" i="17" s="1"/>
  <c r="BA31" i="17"/>
  <c r="BB31" i="17" s="1"/>
  <c r="AY31" i="17"/>
  <c r="AZ31" i="17" s="1"/>
  <c r="AW31" i="17"/>
  <c r="AX31" i="17" s="1"/>
  <c r="AU31" i="17"/>
  <c r="AV31" i="17" s="1"/>
  <c r="AS31" i="17"/>
  <c r="AT31" i="17" s="1"/>
  <c r="AQ31" i="17"/>
  <c r="AR31" i="17" s="1"/>
  <c r="AO31" i="17"/>
  <c r="AP31" i="17" s="1"/>
  <c r="AM31" i="17"/>
  <c r="AN31" i="17" s="1"/>
  <c r="AK31" i="17"/>
  <c r="AL31" i="17" s="1"/>
  <c r="AI31" i="17"/>
  <c r="AJ31" i="17" s="1"/>
  <c r="AG31" i="17"/>
  <c r="AH31" i="17" s="1"/>
  <c r="BC30" i="17"/>
  <c r="BD30" i="17" s="1"/>
  <c r="BA30" i="17"/>
  <c r="BB30" i="17" s="1"/>
  <c r="AY30" i="17"/>
  <c r="AZ30" i="17" s="1"/>
  <c r="AW30" i="17"/>
  <c r="AX30" i="17" s="1"/>
  <c r="AU30" i="17"/>
  <c r="AV30" i="17" s="1"/>
  <c r="AS30" i="17"/>
  <c r="AT30" i="17" s="1"/>
  <c r="AQ30" i="17"/>
  <c r="AR30" i="17" s="1"/>
  <c r="AO30" i="17"/>
  <c r="AP30" i="17" s="1"/>
  <c r="AN30" i="17"/>
  <c r="AM30" i="17"/>
  <c r="AK30" i="17"/>
  <c r="AL30" i="17" s="1"/>
  <c r="AI30" i="17"/>
  <c r="AJ30" i="17" s="1"/>
  <c r="AG30" i="17"/>
  <c r="AH30" i="17" s="1"/>
  <c r="BC29" i="17"/>
  <c r="BD29" i="17" s="1"/>
  <c r="BA29" i="17"/>
  <c r="BB29" i="17" s="1"/>
  <c r="AY29" i="17"/>
  <c r="AZ29" i="17" s="1"/>
  <c r="AW29" i="17"/>
  <c r="AX29" i="17" s="1"/>
  <c r="AU29" i="17"/>
  <c r="AV29" i="17" s="1"/>
  <c r="AS29" i="17"/>
  <c r="AT29" i="17" s="1"/>
  <c r="AQ29" i="17"/>
  <c r="AR29" i="17" s="1"/>
  <c r="AO29" i="17"/>
  <c r="AP29" i="17" s="1"/>
  <c r="AM29" i="17"/>
  <c r="AN29" i="17" s="1"/>
  <c r="AK29" i="17"/>
  <c r="AL29" i="17" s="1"/>
  <c r="AI29" i="17"/>
  <c r="AJ29" i="17" s="1"/>
  <c r="AG29" i="17"/>
  <c r="AH29" i="17" s="1"/>
  <c r="BC28" i="17"/>
  <c r="BD28" i="17" s="1"/>
  <c r="BA28" i="17"/>
  <c r="BB28" i="17" s="1"/>
  <c r="AY28" i="17"/>
  <c r="AZ28" i="17" s="1"/>
  <c r="AW28" i="17"/>
  <c r="AX28" i="17" s="1"/>
  <c r="AU28" i="17"/>
  <c r="AV28" i="17" s="1"/>
  <c r="AS28" i="17"/>
  <c r="AT28" i="17" s="1"/>
  <c r="AQ28" i="17"/>
  <c r="AR28" i="17" s="1"/>
  <c r="AO28" i="17"/>
  <c r="AP28" i="17" s="1"/>
  <c r="AM28" i="17"/>
  <c r="AN28" i="17" s="1"/>
  <c r="AK28" i="17"/>
  <c r="AL28" i="17" s="1"/>
  <c r="AI28" i="17"/>
  <c r="AJ28" i="17" s="1"/>
  <c r="AG28" i="17"/>
  <c r="AH28" i="17" s="1"/>
  <c r="BC27" i="17"/>
  <c r="BD27" i="17" s="1"/>
  <c r="BA27" i="17"/>
  <c r="BB27" i="17" s="1"/>
  <c r="AY27" i="17"/>
  <c r="AZ27" i="17" s="1"/>
  <c r="AW27" i="17"/>
  <c r="AX27" i="17" s="1"/>
  <c r="AU27" i="17"/>
  <c r="AV27" i="17" s="1"/>
  <c r="AS27" i="17"/>
  <c r="AT27" i="17" s="1"/>
  <c r="AQ27" i="17"/>
  <c r="AR27" i="17" s="1"/>
  <c r="AO27" i="17"/>
  <c r="AP27" i="17" s="1"/>
  <c r="AM27" i="17"/>
  <c r="AN27" i="17" s="1"/>
  <c r="AK27" i="17"/>
  <c r="AL27" i="17" s="1"/>
  <c r="AI27" i="17"/>
  <c r="AJ27" i="17" s="1"/>
  <c r="AG27" i="17"/>
  <c r="AH27" i="17" s="1"/>
  <c r="AC21" i="17"/>
  <c r="AB21" i="17"/>
  <c r="AA21" i="17"/>
  <c r="Z21" i="17"/>
  <c r="Y21" i="17"/>
  <c r="X21" i="17"/>
  <c r="W21" i="17"/>
  <c r="V21" i="17"/>
  <c r="S21" i="17"/>
  <c r="R21" i="17"/>
  <c r="N21" i="17"/>
  <c r="M21" i="17"/>
  <c r="BA21" i="17" s="1"/>
  <c r="BB21" i="17" s="1"/>
  <c r="L21" i="17"/>
  <c r="K21" i="17"/>
  <c r="J21" i="17"/>
  <c r="I21" i="17"/>
  <c r="H21" i="17"/>
  <c r="G21" i="17"/>
  <c r="AO21" i="17" s="1"/>
  <c r="AP21" i="17" s="1"/>
  <c r="D21" i="17"/>
  <c r="C21" i="17"/>
  <c r="AG21" i="17" s="1"/>
  <c r="AH21" i="17" s="1"/>
  <c r="BC20" i="17"/>
  <c r="BD20" i="17" s="1"/>
  <c r="BA20" i="17"/>
  <c r="BB20" i="17" s="1"/>
  <c r="AY20" i="17"/>
  <c r="AZ20" i="17" s="1"/>
  <c r="AW20" i="17"/>
  <c r="AX20" i="17" s="1"/>
  <c r="AU20" i="17"/>
  <c r="AV20" i="17" s="1"/>
  <c r="AS20" i="17"/>
  <c r="AT20" i="17" s="1"/>
  <c r="AQ20" i="17"/>
  <c r="AR20" i="17" s="1"/>
  <c r="AO20" i="17"/>
  <c r="AP20" i="17" s="1"/>
  <c r="AI20" i="17"/>
  <c r="AJ20" i="17" s="1"/>
  <c r="AG20" i="17"/>
  <c r="AH20" i="17" s="1"/>
  <c r="AM20" i="17"/>
  <c r="AN20" i="17" s="1"/>
  <c r="AK20" i="17"/>
  <c r="AL20" i="17" s="1"/>
  <c r="BC19" i="17"/>
  <c r="BD19" i="17" s="1"/>
  <c r="BA19" i="17"/>
  <c r="BB19" i="17" s="1"/>
  <c r="AY19" i="17"/>
  <c r="AZ19" i="17" s="1"/>
  <c r="AW19" i="17"/>
  <c r="AX19" i="17" s="1"/>
  <c r="AU19" i="17"/>
  <c r="AV19" i="17" s="1"/>
  <c r="AS19" i="17"/>
  <c r="AT19" i="17" s="1"/>
  <c r="AQ19" i="17"/>
  <c r="AR19" i="17" s="1"/>
  <c r="AO19" i="17"/>
  <c r="AP19" i="17" s="1"/>
  <c r="AI19" i="17"/>
  <c r="AJ19" i="17" s="1"/>
  <c r="AG19" i="17"/>
  <c r="AH19" i="17" s="1"/>
  <c r="AM19" i="17"/>
  <c r="AN19" i="17" s="1"/>
  <c r="AK19" i="17"/>
  <c r="AL19" i="17" s="1"/>
  <c r="BC18" i="17"/>
  <c r="BD18" i="17" s="1"/>
  <c r="BA18" i="17"/>
  <c r="BB18" i="17" s="1"/>
  <c r="AY18" i="17"/>
  <c r="AZ18" i="17" s="1"/>
  <c r="AW18" i="17"/>
  <c r="AX18" i="17" s="1"/>
  <c r="AU18" i="17"/>
  <c r="AV18" i="17" s="1"/>
  <c r="AS18" i="17"/>
  <c r="AT18" i="17" s="1"/>
  <c r="AR18" i="17"/>
  <c r="AQ18" i="17"/>
  <c r="AO18" i="17"/>
  <c r="AP18" i="17" s="1"/>
  <c r="AI18" i="17"/>
  <c r="AJ18" i="17" s="1"/>
  <c r="AG18" i="17"/>
  <c r="AH18" i="17" s="1"/>
  <c r="U21" i="17"/>
  <c r="AK18" i="17"/>
  <c r="AL18" i="17" s="1"/>
  <c r="BC17" i="17"/>
  <c r="BD17" i="17" s="1"/>
  <c r="BA17" i="17"/>
  <c r="BB17" i="17" s="1"/>
  <c r="AY17" i="17"/>
  <c r="AZ17" i="17" s="1"/>
  <c r="AW17" i="17"/>
  <c r="AX17" i="17" s="1"/>
  <c r="AU17" i="17"/>
  <c r="AV17" i="17" s="1"/>
  <c r="AS17" i="17"/>
  <c r="AT17" i="17" s="1"/>
  <c r="AQ17" i="17"/>
  <c r="AR17" i="17" s="1"/>
  <c r="AO17" i="17"/>
  <c r="AP17" i="17" s="1"/>
  <c r="AI17" i="17"/>
  <c r="AJ17" i="17" s="1"/>
  <c r="AG17" i="17"/>
  <c r="AH17" i="17" s="1"/>
  <c r="T21" i="17"/>
  <c r="E21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N10" i="17"/>
  <c r="M10" i="17"/>
  <c r="BA10" i="17" s="1"/>
  <c r="BB10" i="17" s="1"/>
  <c r="L10" i="17"/>
  <c r="AY10" i="17" s="1"/>
  <c r="AZ10" i="17" s="1"/>
  <c r="K10" i="17"/>
  <c r="AW10" i="17" s="1"/>
  <c r="AX10" i="17" s="1"/>
  <c r="J10" i="17"/>
  <c r="AU10" i="17" s="1"/>
  <c r="AV10" i="17" s="1"/>
  <c r="I10" i="17"/>
  <c r="H10" i="17"/>
  <c r="G10" i="17"/>
  <c r="F10" i="17"/>
  <c r="E10" i="17"/>
  <c r="D10" i="17"/>
  <c r="C10" i="17"/>
  <c r="AG10" i="17" s="1"/>
  <c r="AH10" i="17" s="1"/>
  <c r="BC9" i="17"/>
  <c r="BD9" i="17" s="1"/>
  <c r="BA9" i="17"/>
  <c r="BB9" i="17" s="1"/>
  <c r="AY9" i="17"/>
  <c r="AZ9" i="17" s="1"/>
  <c r="AW9" i="17"/>
  <c r="AX9" i="17" s="1"/>
  <c r="AU9" i="17"/>
  <c r="AV9" i="17" s="1"/>
  <c r="AS9" i="17"/>
  <c r="AT9" i="17" s="1"/>
  <c r="AQ9" i="17"/>
  <c r="AR9" i="17" s="1"/>
  <c r="AO9" i="17"/>
  <c r="AP9" i="17" s="1"/>
  <c r="AM9" i="17"/>
  <c r="AN9" i="17" s="1"/>
  <c r="AK9" i="17"/>
  <c r="AL9" i="17" s="1"/>
  <c r="AI9" i="17"/>
  <c r="AJ9" i="17" s="1"/>
  <c r="AG9" i="17"/>
  <c r="AH9" i="17" s="1"/>
  <c r="BD8" i="17"/>
  <c r="BC8" i="17"/>
  <c r="BA8" i="17"/>
  <c r="BB8" i="17" s="1"/>
  <c r="AY8" i="17"/>
  <c r="AZ8" i="17" s="1"/>
  <c r="AW8" i="17"/>
  <c r="AX8" i="17" s="1"/>
  <c r="AU8" i="17"/>
  <c r="AV8" i="17" s="1"/>
  <c r="AS8" i="17"/>
  <c r="AT8" i="17" s="1"/>
  <c r="AQ8" i="17"/>
  <c r="AR8" i="17" s="1"/>
  <c r="AO8" i="17"/>
  <c r="AP8" i="17" s="1"/>
  <c r="AM8" i="17"/>
  <c r="AN8" i="17" s="1"/>
  <c r="AK8" i="17"/>
  <c r="AL8" i="17" s="1"/>
  <c r="AI8" i="17"/>
  <c r="AJ8" i="17" s="1"/>
  <c r="AG8" i="17"/>
  <c r="AH8" i="17" s="1"/>
  <c r="BC7" i="17"/>
  <c r="BD7" i="17" s="1"/>
  <c r="BA7" i="17"/>
  <c r="BB7" i="17" s="1"/>
  <c r="AY7" i="17"/>
  <c r="AZ7" i="17" s="1"/>
  <c r="AW7" i="17"/>
  <c r="AX7" i="17" s="1"/>
  <c r="AU7" i="17"/>
  <c r="AV7" i="17" s="1"/>
  <c r="AS7" i="17"/>
  <c r="AT7" i="17" s="1"/>
  <c r="AQ7" i="17"/>
  <c r="AR7" i="17" s="1"/>
  <c r="AO7" i="17"/>
  <c r="AP7" i="17" s="1"/>
  <c r="AM7" i="17"/>
  <c r="AN7" i="17" s="1"/>
  <c r="AK7" i="17"/>
  <c r="AL7" i="17" s="1"/>
  <c r="AI7" i="17"/>
  <c r="AJ7" i="17" s="1"/>
  <c r="AG7" i="17"/>
  <c r="AH7" i="17" s="1"/>
  <c r="BC6" i="17"/>
  <c r="BD6" i="17" s="1"/>
  <c r="BA6" i="17"/>
  <c r="BB6" i="17" s="1"/>
  <c r="AY6" i="17"/>
  <c r="AZ6" i="17" s="1"/>
  <c r="AX6" i="17"/>
  <c r="AW6" i="17"/>
  <c r="AU6" i="17"/>
  <c r="AV6" i="17" s="1"/>
  <c r="AS6" i="17"/>
  <c r="AT6" i="17" s="1"/>
  <c r="AQ6" i="17"/>
  <c r="AR6" i="17" s="1"/>
  <c r="AO6" i="17"/>
  <c r="AP6" i="17" s="1"/>
  <c r="AM6" i="17"/>
  <c r="AN6" i="17" s="1"/>
  <c r="AK6" i="17"/>
  <c r="AL6" i="17" s="1"/>
  <c r="AI6" i="17"/>
  <c r="AJ6" i="17" s="1"/>
  <c r="AG6" i="17"/>
  <c r="AH6" i="17" s="1"/>
  <c r="BC5" i="17"/>
  <c r="BD5" i="17" s="1"/>
  <c r="BA5" i="17"/>
  <c r="BB5" i="17" s="1"/>
  <c r="AY5" i="17"/>
  <c r="AZ5" i="17" s="1"/>
  <c r="AW5" i="17"/>
  <c r="AX5" i="17" s="1"/>
  <c r="AU5" i="17"/>
  <c r="AV5" i="17" s="1"/>
  <c r="AS5" i="17"/>
  <c r="AT5" i="17" s="1"/>
  <c r="AQ5" i="17"/>
  <c r="AR5" i="17" s="1"/>
  <c r="AO5" i="17"/>
  <c r="AP5" i="17" s="1"/>
  <c r="AM5" i="17"/>
  <c r="AN5" i="17" s="1"/>
  <c r="AK5" i="17"/>
  <c r="AL5" i="17" s="1"/>
  <c r="AI5" i="17"/>
  <c r="AJ5" i="17" s="1"/>
  <c r="AG5" i="17"/>
  <c r="AH5" i="17" s="1"/>
  <c r="AC61" i="16"/>
  <c r="AB61" i="16"/>
  <c r="AA61" i="16"/>
  <c r="Z61" i="16"/>
  <c r="Y61" i="16"/>
  <c r="X61" i="16"/>
  <c r="W61" i="16"/>
  <c r="V61" i="16"/>
  <c r="U61" i="16"/>
  <c r="T61" i="16"/>
  <c r="S61" i="16"/>
  <c r="R61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BC60" i="16"/>
  <c r="BD60" i="16" s="1"/>
  <c r="BA60" i="16"/>
  <c r="BB60" i="16" s="1"/>
  <c r="AY60" i="16"/>
  <c r="AZ60" i="16" s="1"/>
  <c r="AW60" i="16"/>
  <c r="AX60" i="16" s="1"/>
  <c r="AU60" i="16"/>
  <c r="AV60" i="16" s="1"/>
  <c r="AS60" i="16"/>
  <c r="AT60" i="16" s="1"/>
  <c r="AQ60" i="16"/>
  <c r="AR60" i="16" s="1"/>
  <c r="AO60" i="16"/>
  <c r="AP60" i="16" s="1"/>
  <c r="AM60" i="16"/>
  <c r="AN60" i="16" s="1"/>
  <c r="AK60" i="16"/>
  <c r="AL60" i="16" s="1"/>
  <c r="AI60" i="16"/>
  <c r="AJ60" i="16" s="1"/>
  <c r="AG60" i="16"/>
  <c r="AH60" i="16" s="1"/>
  <c r="BC59" i="16"/>
  <c r="BD59" i="16" s="1"/>
  <c r="BA59" i="16"/>
  <c r="BB59" i="16" s="1"/>
  <c r="AY59" i="16"/>
  <c r="AZ59" i="16" s="1"/>
  <c r="AW59" i="16"/>
  <c r="AX59" i="16" s="1"/>
  <c r="AU59" i="16"/>
  <c r="AV59" i="16" s="1"/>
  <c r="AS59" i="16"/>
  <c r="AT59" i="16" s="1"/>
  <c r="AQ59" i="16"/>
  <c r="AR59" i="16" s="1"/>
  <c r="AO59" i="16"/>
  <c r="AP59" i="16" s="1"/>
  <c r="AM59" i="16"/>
  <c r="AN59" i="16" s="1"/>
  <c r="AK59" i="16"/>
  <c r="AL59" i="16" s="1"/>
  <c r="AI59" i="16"/>
  <c r="AJ59" i="16" s="1"/>
  <c r="AG59" i="16"/>
  <c r="AH59" i="16" s="1"/>
  <c r="BC58" i="16"/>
  <c r="BD58" i="16" s="1"/>
  <c r="BA58" i="16"/>
  <c r="BB58" i="16" s="1"/>
  <c r="AY58" i="16"/>
  <c r="AZ58" i="16" s="1"/>
  <c r="AW58" i="16"/>
  <c r="AX58" i="16" s="1"/>
  <c r="AU58" i="16"/>
  <c r="AV58" i="16" s="1"/>
  <c r="AS58" i="16"/>
  <c r="AT58" i="16" s="1"/>
  <c r="AQ58" i="16"/>
  <c r="AR58" i="16" s="1"/>
  <c r="AO58" i="16"/>
  <c r="AP58" i="16" s="1"/>
  <c r="AM58" i="16"/>
  <c r="AN58" i="16" s="1"/>
  <c r="AK58" i="16"/>
  <c r="AL58" i="16" s="1"/>
  <c r="AI58" i="16"/>
  <c r="AJ58" i="16" s="1"/>
  <c r="AG58" i="16"/>
  <c r="AH58" i="16" s="1"/>
  <c r="BC57" i="16"/>
  <c r="BD57" i="16" s="1"/>
  <c r="BA57" i="16"/>
  <c r="BB57" i="16" s="1"/>
  <c r="AY57" i="16"/>
  <c r="AZ57" i="16" s="1"/>
  <c r="AW57" i="16"/>
  <c r="AX57" i="16" s="1"/>
  <c r="AU57" i="16"/>
  <c r="AV57" i="16" s="1"/>
  <c r="AS57" i="16"/>
  <c r="AT57" i="16" s="1"/>
  <c r="AQ57" i="16"/>
  <c r="AR57" i="16" s="1"/>
  <c r="AO57" i="16"/>
  <c r="AP57" i="16" s="1"/>
  <c r="AM57" i="16"/>
  <c r="AN57" i="16" s="1"/>
  <c r="AK57" i="16"/>
  <c r="AL57" i="16" s="1"/>
  <c r="AI57" i="16"/>
  <c r="AJ57" i="16" s="1"/>
  <c r="AG57" i="16"/>
  <c r="AH57" i="16" s="1"/>
  <c r="BC56" i="16"/>
  <c r="BD56" i="16" s="1"/>
  <c r="BA56" i="16"/>
  <c r="BB56" i="16" s="1"/>
  <c r="AZ56" i="16"/>
  <c r="AY56" i="16"/>
  <c r="AW56" i="16"/>
  <c r="AX56" i="16" s="1"/>
  <c r="AU56" i="16"/>
  <c r="AV56" i="16" s="1"/>
  <c r="AS56" i="16"/>
  <c r="AT56" i="16" s="1"/>
  <c r="AQ56" i="16"/>
  <c r="AR56" i="16" s="1"/>
  <c r="AO56" i="16"/>
  <c r="AP56" i="16" s="1"/>
  <c r="AM56" i="16"/>
  <c r="AN56" i="16" s="1"/>
  <c r="AK56" i="16"/>
  <c r="AL56" i="16" s="1"/>
  <c r="AI56" i="16"/>
  <c r="AJ56" i="16" s="1"/>
  <c r="AG56" i="16"/>
  <c r="AH56" i="16" s="1"/>
  <c r="BC55" i="16"/>
  <c r="BD55" i="16" s="1"/>
  <c r="BA55" i="16"/>
  <c r="BB55" i="16" s="1"/>
  <c r="AY55" i="16"/>
  <c r="AZ55" i="16" s="1"/>
  <c r="AW55" i="16"/>
  <c r="AX55" i="16" s="1"/>
  <c r="AU55" i="16"/>
  <c r="AV55" i="16" s="1"/>
  <c r="AS55" i="16"/>
  <c r="AT55" i="16" s="1"/>
  <c r="AQ55" i="16"/>
  <c r="AR55" i="16" s="1"/>
  <c r="AO55" i="16"/>
  <c r="AP55" i="16" s="1"/>
  <c r="AM55" i="16"/>
  <c r="AN55" i="16" s="1"/>
  <c r="AK55" i="16"/>
  <c r="AL55" i="16" s="1"/>
  <c r="AI55" i="16"/>
  <c r="AJ55" i="16" s="1"/>
  <c r="AG55" i="16"/>
  <c r="AH55" i="16" s="1"/>
  <c r="BC54" i="16"/>
  <c r="BD54" i="16" s="1"/>
  <c r="BA54" i="16"/>
  <c r="BB54" i="16" s="1"/>
  <c r="AY54" i="16"/>
  <c r="AZ54" i="16" s="1"/>
  <c r="AW54" i="16"/>
  <c r="AX54" i="16" s="1"/>
  <c r="AU54" i="16"/>
  <c r="AV54" i="16" s="1"/>
  <c r="AS54" i="16"/>
  <c r="AT54" i="16" s="1"/>
  <c r="AQ54" i="16"/>
  <c r="AR54" i="16" s="1"/>
  <c r="AO54" i="16"/>
  <c r="AP54" i="16" s="1"/>
  <c r="AM54" i="16"/>
  <c r="AN54" i="16" s="1"/>
  <c r="AK54" i="16"/>
  <c r="AL54" i="16" s="1"/>
  <c r="AI54" i="16"/>
  <c r="AJ54" i="16" s="1"/>
  <c r="AG54" i="16"/>
  <c r="AH54" i="16" s="1"/>
  <c r="BC53" i="16"/>
  <c r="BD53" i="16" s="1"/>
  <c r="BA53" i="16"/>
  <c r="BB53" i="16" s="1"/>
  <c r="AY53" i="16"/>
  <c r="AZ53" i="16" s="1"/>
  <c r="AW53" i="16"/>
  <c r="AX53" i="16" s="1"/>
  <c r="AU53" i="16"/>
  <c r="AV53" i="16" s="1"/>
  <c r="AS53" i="16"/>
  <c r="AT53" i="16" s="1"/>
  <c r="AQ53" i="16"/>
  <c r="AR53" i="16" s="1"/>
  <c r="AO53" i="16"/>
  <c r="AP53" i="16" s="1"/>
  <c r="AM53" i="16"/>
  <c r="AN53" i="16" s="1"/>
  <c r="AK53" i="16"/>
  <c r="AL53" i="16" s="1"/>
  <c r="AI53" i="16"/>
  <c r="AJ53" i="16" s="1"/>
  <c r="AG53" i="16"/>
  <c r="AH53" i="16" s="1"/>
  <c r="BC52" i="16"/>
  <c r="BD52" i="16" s="1"/>
  <c r="BA52" i="16"/>
  <c r="BB52" i="16" s="1"/>
  <c r="AY52" i="16"/>
  <c r="AZ52" i="16" s="1"/>
  <c r="AW52" i="16"/>
  <c r="AX52" i="16" s="1"/>
  <c r="AU52" i="16"/>
  <c r="AV52" i="16" s="1"/>
  <c r="AS52" i="16"/>
  <c r="AT52" i="16" s="1"/>
  <c r="AQ52" i="16"/>
  <c r="AR52" i="16" s="1"/>
  <c r="AO52" i="16"/>
  <c r="AP52" i="16" s="1"/>
  <c r="AM52" i="16"/>
  <c r="AN52" i="16" s="1"/>
  <c r="AK52" i="16"/>
  <c r="AL52" i="16" s="1"/>
  <c r="AI52" i="16"/>
  <c r="AJ52" i="16" s="1"/>
  <c r="AG52" i="16"/>
  <c r="AH52" i="16" s="1"/>
  <c r="BC51" i="16"/>
  <c r="BD51" i="16" s="1"/>
  <c r="BA51" i="16"/>
  <c r="BB51" i="16" s="1"/>
  <c r="AY51" i="16"/>
  <c r="AZ51" i="16" s="1"/>
  <c r="AW51" i="16"/>
  <c r="AX51" i="16" s="1"/>
  <c r="AU51" i="16"/>
  <c r="AV51" i="16" s="1"/>
  <c r="AS51" i="16"/>
  <c r="AT51" i="16" s="1"/>
  <c r="AQ51" i="16"/>
  <c r="AR51" i="16" s="1"/>
  <c r="AO51" i="16"/>
  <c r="AP51" i="16" s="1"/>
  <c r="AM51" i="16"/>
  <c r="AN51" i="16" s="1"/>
  <c r="AK51" i="16"/>
  <c r="AL51" i="16" s="1"/>
  <c r="AI51" i="16"/>
  <c r="AJ51" i="16" s="1"/>
  <c r="AG51" i="16"/>
  <c r="AH51" i="16" s="1"/>
  <c r="BC50" i="16"/>
  <c r="BD50" i="16" s="1"/>
  <c r="BA50" i="16"/>
  <c r="BB50" i="16" s="1"/>
  <c r="AY50" i="16"/>
  <c r="AZ50" i="16" s="1"/>
  <c r="AW50" i="16"/>
  <c r="AX50" i="16" s="1"/>
  <c r="AU50" i="16"/>
  <c r="AV50" i="16" s="1"/>
  <c r="AS50" i="16"/>
  <c r="AT50" i="16" s="1"/>
  <c r="AQ50" i="16"/>
  <c r="AR50" i="16" s="1"/>
  <c r="AO50" i="16"/>
  <c r="AP50" i="16" s="1"/>
  <c r="AM50" i="16"/>
  <c r="AN50" i="16" s="1"/>
  <c r="AK50" i="16"/>
  <c r="AL50" i="16" s="1"/>
  <c r="AI50" i="16"/>
  <c r="AJ50" i="16" s="1"/>
  <c r="AG50" i="16"/>
  <c r="AH50" i="16" s="1"/>
  <c r="BC49" i="16"/>
  <c r="BD49" i="16" s="1"/>
  <c r="BA49" i="16"/>
  <c r="BB49" i="16" s="1"/>
  <c r="AZ49" i="16"/>
  <c r="AY49" i="16"/>
  <c r="AW49" i="16"/>
  <c r="AX49" i="16" s="1"/>
  <c r="AU49" i="16"/>
  <c r="AV49" i="16" s="1"/>
  <c r="AS49" i="16"/>
  <c r="AT49" i="16" s="1"/>
  <c r="AQ49" i="16"/>
  <c r="AR49" i="16" s="1"/>
  <c r="AO49" i="16"/>
  <c r="AP49" i="16" s="1"/>
  <c r="AM49" i="16"/>
  <c r="AN49" i="16" s="1"/>
  <c r="AK49" i="16"/>
  <c r="AL49" i="16" s="1"/>
  <c r="AI49" i="16"/>
  <c r="AJ49" i="16" s="1"/>
  <c r="AG49" i="16"/>
  <c r="AH49" i="16" s="1"/>
  <c r="BC48" i="16"/>
  <c r="BD48" i="16" s="1"/>
  <c r="BA48" i="16"/>
  <c r="BB48" i="16" s="1"/>
  <c r="AY48" i="16"/>
  <c r="AZ48" i="16" s="1"/>
  <c r="AW48" i="16"/>
  <c r="AX48" i="16" s="1"/>
  <c r="AU48" i="16"/>
  <c r="AV48" i="16" s="1"/>
  <c r="AS48" i="16"/>
  <c r="AT48" i="16" s="1"/>
  <c r="AQ48" i="16"/>
  <c r="AR48" i="16" s="1"/>
  <c r="AO48" i="16"/>
  <c r="AP48" i="16" s="1"/>
  <c r="AM48" i="16"/>
  <c r="AN48" i="16" s="1"/>
  <c r="AK48" i="16"/>
  <c r="AL48" i="16" s="1"/>
  <c r="AI48" i="16"/>
  <c r="AJ48" i="16" s="1"/>
  <c r="AG48" i="16"/>
  <c r="AH48" i="16" s="1"/>
  <c r="BC47" i="16"/>
  <c r="BD47" i="16" s="1"/>
  <c r="BA47" i="16"/>
  <c r="BB47" i="16" s="1"/>
  <c r="AY47" i="16"/>
  <c r="AZ47" i="16" s="1"/>
  <c r="AW47" i="16"/>
  <c r="AX47" i="16" s="1"/>
  <c r="AU47" i="16"/>
  <c r="AV47" i="16" s="1"/>
  <c r="AS47" i="16"/>
  <c r="AT47" i="16" s="1"/>
  <c r="AQ47" i="16"/>
  <c r="AR47" i="16" s="1"/>
  <c r="AO47" i="16"/>
  <c r="AP47" i="16" s="1"/>
  <c r="AM47" i="16"/>
  <c r="AN47" i="16" s="1"/>
  <c r="AK47" i="16"/>
  <c r="AL47" i="16" s="1"/>
  <c r="AI47" i="16"/>
  <c r="AJ47" i="16" s="1"/>
  <c r="AG47" i="16"/>
  <c r="AH47" i="16" s="1"/>
  <c r="AC41" i="16"/>
  <c r="AB41" i="16"/>
  <c r="AA41" i="16"/>
  <c r="Z41" i="16"/>
  <c r="Y41" i="16"/>
  <c r="X41" i="16"/>
  <c r="W41" i="16"/>
  <c r="V41" i="16"/>
  <c r="U41" i="16"/>
  <c r="T41" i="16"/>
  <c r="S41" i="16"/>
  <c r="R41" i="16"/>
  <c r="N41" i="16"/>
  <c r="M41" i="16"/>
  <c r="L41" i="16"/>
  <c r="K41" i="16"/>
  <c r="J41" i="16"/>
  <c r="I41" i="16"/>
  <c r="H41" i="16"/>
  <c r="G41" i="16"/>
  <c r="AO41" i="16" s="1"/>
  <c r="AP41" i="16" s="1"/>
  <c r="F41" i="16"/>
  <c r="E41" i="16"/>
  <c r="D41" i="16"/>
  <c r="C41" i="16"/>
  <c r="BC40" i="16"/>
  <c r="BD40" i="16" s="1"/>
  <c r="BA40" i="16"/>
  <c r="BB40" i="16" s="1"/>
  <c r="AY40" i="16"/>
  <c r="AZ40" i="16" s="1"/>
  <c r="AW40" i="16"/>
  <c r="AX40" i="16" s="1"/>
  <c r="AU40" i="16"/>
  <c r="AV40" i="16" s="1"/>
  <c r="AS40" i="16"/>
  <c r="AT40" i="16" s="1"/>
  <c r="AQ40" i="16"/>
  <c r="AR40" i="16" s="1"/>
  <c r="AO40" i="16"/>
  <c r="AP40" i="16" s="1"/>
  <c r="AM40" i="16"/>
  <c r="AN40" i="16" s="1"/>
  <c r="AL40" i="16"/>
  <c r="AK40" i="16"/>
  <c r="AI40" i="16"/>
  <c r="AJ40" i="16" s="1"/>
  <c r="AG40" i="16"/>
  <c r="AH40" i="16" s="1"/>
  <c r="BC39" i="16"/>
  <c r="BD39" i="16" s="1"/>
  <c r="BA39" i="16"/>
  <c r="BB39" i="16" s="1"/>
  <c r="AY39" i="16"/>
  <c r="AZ39" i="16" s="1"/>
  <c r="AW39" i="16"/>
  <c r="AX39" i="16" s="1"/>
  <c r="AU39" i="16"/>
  <c r="AV39" i="16" s="1"/>
  <c r="AS39" i="16"/>
  <c r="AT39" i="16" s="1"/>
  <c r="AQ39" i="16"/>
  <c r="AR39" i="16" s="1"/>
  <c r="AO39" i="16"/>
  <c r="AP39" i="16" s="1"/>
  <c r="AM39" i="16"/>
  <c r="AN39" i="16" s="1"/>
  <c r="AK39" i="16"/>
  <c r="AL39" i="16" s="1"/>
  <c r="AI39" i="16"/>
  <c r="AJ39" i="16" s="1"/>
  <c r="AG39" i="16"/>
  <c r="AH39" i="16" s="1"/>
  <c r="BC38" i="16"/>
  <c r="BD38" i="16" s="1"/>
  <c r="BA38" i="16"/>
  <c r="BB38" i="16" s="1"/>
  <c r="AY38" i="16"/>
  <c r="AZ38" i="16" s="1"/>
  <c r="AW38" i="16"/>
  <c r="AX38" i="16" s="1"/>
  <c r="AU38" i="16"/>
  <c r="AV38" i="16" s="1"/>
  <c r="AS38" i="16"/>
  <c r="AT38" i="16" s="1"/>
  <c r="AQ38" i="16"/>
  <c r="AR38" i="16" s="1"/>
  <c r="AO38" i="16"/>
  <c r="AP38" i="16" s="1"/>
  <c r="AM38" i="16"/>
  <c r="AN38" i="16" s="1"/>
  <c r="AK38" i="16"/>
  <c r="AL38" i="16" s="1"/>
  <c r="AI38" i="16"/>
  <c r="AJ38" i="16" s="1"/>
  <c r="AG38" i="16"/>
  <c r="AH38" i="16" s="1"/>
  <c r="BC37" i="16"/>
  <c r="BD37" i="16" s="1"/>
  <c r="BA37" i="16"/>
  <c r="BB37" i="16" s="1"/>
  <c r="AY37" i="16"/>
  <c r="AZ37" i="16" s="1"/>
  <c r="AW37" i="16"/>
  <c r="AX37" i="16" s="1"/>
  <c r="AU37" i="16"/>
  <c r="AV37" i="16" s="1"/>
  <c r="AT37" i="16"/>
  <c r="AS37" i="16"/>
  <c r="AQ37" i="16"/>
  <c r="AR37" i="16" s="1"/>
  <c r="AO37" i="16"/>
  <c r="AP37" i="16" s="1"/>
  <c r="AM37" i="16"/>
  <c r="AN37" i="16" s="1"/>
  <c r="AK37" i="16"/>
  <c r="AL37" i="16" s="1"/>
  <c r="AI37" i="16"/>
  <c r="AJ37" i="16" s="1"/>
  <c r="AG37" i="16"/>
  <c r="AH37" i="16" s="1"/>
  <c r="BC36" i="16"/>
  <c r="BD36" i="16" s="1"/>
  <c r="BB36" i="16"/>
  <c r="BA36" i="16"/>
  <c r="AY36" i="16"/>
  <c r="AZ36" i="16" s="1"/>
  <c r="AW36" i="16"/>
  <c r="AX36" i="16" s="1"/>
  <c r="AU36" i="16"/>
  <c r="AV36" i="16" s="1"/>
  <c r="AS36" i="16"/>
  <c r="AT36" i="16" s="1"/>
  <c r="AQ36" i="16"/>
  <c r="AR36" i="16" s="1"/>
  <c r="AO36" i="16"/>
  <c r="AP36" i="16" s="1"/>
  <c r="AM36" i="16"/>
  <c r="AN36" i="16" s="1"/>
  <c r="AK36" i="16"/>
  <c r="AL36" i="16" s="1"/>
  <c r="AI36" i="16"/>
  <c r="AJ36" i="16" s="1"/>
  <c r="AG36" i="16"/>
  <c r="AH36" i="16" s="1"/>
  <c r="BC35" i="16"/>
  <c r="BD35" i="16" s="1"/>
  <c r="BA35" i="16"/>
  <c r="BB35" i="16" s="1"/>
  <c r="AY35" i="16"/>
  <c r="AZ35" i="16" s="1"/>
  <c r="AW35" i="16"/>
  <c r="AX35" i="16" s="1"/>
  <c r="AU35" i="16"/>
  <c r="AV35" i="16" s="1"/>
  <c r="AS35" i="16"/>
  <c r="AT35" i="16" s="1"/>
  <c r="AQ35" i="16"/>
  <c r="AR35" i="16" s="1"/>
  <c r="AO35" i="16"/>
  <c r="AP35" i="16" s="1"/>
  <c r="AM35" i="16"/>
  <c r="AN35" i="16" s="1"/>
  <c r="AK35" i="16"/>
  <c r="AL35" i="16" s="1"/>
  <c r="AI35" i="16"/>
  <c r="AJ35" i="16" s="1"/>
  <c r="AG35" i="16"/>
  <c r="AH35" i="16" s="1"/>
  <c r="BC34" i="16"/>
  <c r="BD34" i="16" s="1"/>
  <c r="BA34" i="16"/>
  <c r="BB34" i="16" s="1"/>
  <c r="AY34" i="16"/>
  <c r="AZ34" i="16" s="1"/>
  <c r="AW34" i="16"/>
  <c r="AX34" i="16" s="1"/>
  <c r="AU34" i="16"/>
  <c r="AV34" i="16" s="1"/>
  <c r="AS34" i="16"/>
  <c r="AT34" i="16" s="1"/>
  <c r="AQ34" i="16"/>
  <c r="AR34" i="16" s="1"/>
  <c r="AO34" i="16"/>
  <c r="AP34" i="16" s="1"/>
  <c r="AM34" i="16"/>
  <c r="AN34" i="16" s="1"/>
  <c r="AK34" i="16"/>
  <c r="AL34" i="16" s="1"/>
  <c r="AI34" i="16"/>
  <c r="AJ34" i="16" s="1"/>
  <c r="AG34" i="16"/>
  <c r="AH34" i="16" s="1"/>
  <c r="BC33" i="16"/>
  <c r="BD33" i="16" s="1"/>
  <c r="BA33" i="16"/>
  <c r="BB33" i="16" s="1"/>
  <c r="AY33" i="16"/>
  <c r="AZ33" i="16" s="1"/>
  <c r="AW33" i="16"/>
  <c r="AX33" i="16" s="1"/>
  <c r="AU33" i="16"/>
  <c r="AV33" i="16" s="1"/>
  <c r="AS33" i="16"/>
  <c r="AT33" i="16" s="1"/>
  <c r="AQ33" i="16"/>
  <c r="AR33" i="16" s="1"/>
  <c r="AO33" i="16"/>
  <c r="AP33" i="16" s="1"/>
  <c r="AM33" i="16"/>
  <c r="AN33" i="16" s="1"/>
  <c r="AK33" i="16"/>
  <c r="AL33" i="16" s="1"/>
  <c r="AI33" i="16"/>
  <c r="AJ33" i="16" s="1"/>
  <c r="AG33" i="16"/>
  <c r="AH33" i="16" s="1"/>
  <c r="BC32" i="16"/>
  <c r="BD32" i="16" s="1"/>
  <c r="BA32" i="16"/>
  <c r="BB32" i="16" s="1"/>
  <c r="AY32" i="16"/>
  <c r="AZ32" i="16" s="1"/>
  <c r="AW32" i="16"/>
  <c r="AX32" i="16" s="1"/>
  <c r="AU32" i="16"/>
  <c r="AV32" i="16" s="1"/>
  <c r="AS32" i="16"/>
  <c r="AT32" i="16" s="1"/>
  <c r="AQ32" i="16"/>
  <c r="AR32" i="16" s="1"/>
  <c r="AO32" i="16"/>
  <c r="AP32" i="16" s="1"/>
  <c r="AM32" i="16"/>
  <c r="AN32" i="16" s="1"/>
  <c r="AK32" i="16"/>
  <c r="AL32" i="16" s="1"/>
  <c r="AI32" i="16"/>
  <c r="AJ32" i="16" s="1"/>
  <c r="AG32" i="16"/>
  <c r="AH32" i="16" s="1"/>
  <c r="BC31" i="16"/>
  <c r="BD31" i="16" s="1"/>
  <c r="BA31" i="16"/>
  <c r="BB31" i="16" s="1"/>
  <c r="AY31" i="16"/>
  <c r="AZ31" i="16" s="1"/>
  <c r="AW31" i="16"/>
  <c r="AX31" i="16" s="1"/>
  <c r="AU31" i="16"/>
  <c r="AV31" i="16" s="1"/>
  <c r="AT31" i="16"/>
  <c r="AS31" i="16"/>
  <c r="AQ31" i="16"/>
  <c r="AR31" i="16" s="1"/>
  <c r="AO31" i="16"/>
  <c r="AP31" i="16" s="1"/>
  <c r="AM31" i="16"/>
  <c r="AN31" i="16" s="1"/>
  <c r="AK31" i="16"/>
  <c r="AL31" i="16" s="1"/>
  <c r="AI31" i="16"/>
  <c r="AJ31" i="16" s="1"/>
  <c r="AG31" i="16"/>
  <c r="AH31" i="16" s="1"/>
  <c r="BC30" i="16"/>
  <c r="BD30" i="16" s="1"/>
  <c r="BA30" i="16"/>
  <c r="BB30" i="16" s="1"/>
  <c r="AY30" i="16"/>
  <c r="AZ30" i="16" s="1"/>
  <c r="AW30" i="16"/>
  <c r="AX30" i="16" s="1"/>
  <c r="AU30" i="16"/>
  <c r="AV30" i="16" s="1"/>
  <c r="AS30" i="16"/>
  <c r="AT30" i="16" s="1"/>
  <c r="AQ30" i="16"/>
  <c r="AR30" i="16" s="1"/>
  <c r="AO30" i="16"/>
  <c r="AP30" i="16" s="1"/>
  <c r="AM30" i="16"/>
  <c r="AN30" i="16" s="1"/>
  <c r="AK30" i="16"/>
  <c r="AL30" i="16" s="1"/>
  <c r="AI30" i="16"/>
  <c r="AJ30" i="16" s="1"/>
  <c r="AG30" i="16"/>
  <c r="AH30" i="16" s="1"/>
  <c r="BC29" i="16"/>
  <c r="BD29" i="16" s="1"/>
  <c r="BA29" i="16"/>
  <c r="BB29" i="16" s="1"/>
  <c r="AY29" i="16"/>
  <c r="AZ29" i="16" s="1"/>
  <c r="AW29" i="16"/>
  <c r="AX29" i="16" s="1"/>
  <c r="AU29" i="16"/>
  <c r="AV29" i="16" s="1"/>
  <c r="AS29" i="16"/>
  <c r="AT29" i="16" s="1"/>
  <c r="AQ29" i="16"/>
  <c r="AR29" i="16" s="1"/>
  <c r="AO29" i="16"/>
  <c r="AP29" i="16" s="1"/>
  <c r="AM29" i="16"/>
  <c r="AN29" i="16" s="1"/>
  <c r="AK29" i="16"/>
  <c r="AL29" i="16" s="1"/>
  <c r="AI29" i="16"/>
  <c r="AJ29" i="16" s="1"/>
  <c r="AG29" i="16"/>
  <c r="AH29" i="16" s="1"/>
  <c r="BC28" i="16"/>
  <c r="BD28" i="16" s="1"/>
  <c r="BB28" i="16"/>
  <c r="BA28" i="16"/>
  <c r="AY28" i="16"/>
  <c r="AZ28" i="16" s="1"/>
  <c r="AW28" i="16"/>
  <c r="AX28" i="16" s="1"/>
  <c r="AU28" i="16"/>
  <c r="AV28" i="16" s="1"/>
  <c r="AS28" i="16"/>
  <c r="AT28" i="16" s="1"/>
  <c r="AQ28" i="16"/>
  <c r="AR28" i="16" s="1"/>
  <c r="AO28" i="16"/>
  <c r="AP28" i="16" s="1"/>
  <c r="AM28" i="16"/>
  <c r="AN28" i="16" s="1"/>
  <c r="AK28" i="16"/>
  <c r="AL28" i="16" s="1"/>
  <c r="AI28" i="16"/>
  <c r="AJ28" i="16" s="1"/>
  <c r="AG28" i="16"/>
  <c r="AH28" i="16" s="1"/>
  <c r="BC27" i="16"/>
  <c r="BD27" i="16" s="1"/>
  <c r="BA27" i="16"/>
  <c r="BB27" i="16" s="1"/>
  <c r="AY27" i="16"/>
  <c r="AZ27" i="16" s="1"/>
  <c r="AW27" i="16"/>
  <c r="AX27" i="16" s="1"/>
  <c r="AU27" i="16"/>
  <c r="AV27" i="16" s="1"/>
  <c r="AS27" i="16"/>
  <c r="AT27" i="16" s="1"/>
  <c r="AQ27" i="16"/>
  <c r="AR27" i="16" s="1"/>
  <c r="AO27" i="16"/>
  <c r="AP27" i="16" s="1"/>
  <c r="AM27" i="16"/>
  <c r="AN27" i="16" s="1"/>
  <c r="AK27" i="16"/>
  <c r="AL27" i="16" s="1"/>
  <c r="AI27" i="16"/>
  <c r="AJ27" i="16" s="1"/>
  <c r="AG27" i="16"/>
  <c r="AH27" i="16" s="1"/>
  <c r="AC21" i="16"/>
  <c r="AB21" i="16"/>
  <c r="AA21" i="16"/>
  <c r="Z21" i="16"/>
  <c r="Y21" i="16"/>
  <c r="X21" i="16"/>
  <c r="W21" i="16"/>
  <c r="V21" i="16"/>
  <c r="S21" i="16"/>
  <c r="R21" i="16"/>
  <c r="N21" i="16"/>
  <c r="M21" i="16"/>
  <c r="BA21" i="16" s="1"/>
  <c r="BB21" i="16" s="1"/>
  <c r="L21" i="16"/>
  <c r="K21" i="16"/>
  <c r="J21" i="16"/>
  <c r="I21" i="16"/>
  <c r="H21" i="16"/>
  <c r="G21" i="16"/>
  <c r="D21" i="16"/>
  <c r="C21" i="16"/>
  <c r="BC20" i="16"/>
  <c r="BD20" i="16" s="1"/>
  <c r="BA20" i="16"/>
  <c r="BB20" i="16" s="1"/>
  <c r="AY20" i="16"/>
  <c r="AZ20" i="16" s="1"/>
  <c r="AW20" i="16"/>
  <c r="AX20" i="16" s="1"/>
  <c r="AU20" i="16"/>
  <c r="AV20" i="16" s="1"/>
  <c r="AS20" i="16"/>
  <c r="AT20" i="16" s="1"/>
  <c r="AQ20" i="16"/>
  <c r="AR20" i="16" s="1"/>
  <c r="AO20" i="16"/>
  <c r="AP20" i="16" s="1"/>
  <c r="AI20" i="16"/>
  <c r="AJ20" i="16" s="1"/>
  <c r="AG20" i="16"/>
  <c r="AH20" i="16" s="1"/>
  <c r="AM20" i="16"/>
  <c r="AN20" i="16" s="1"/>
  <c r="AK20" i="16"/>
  <c r="AL20" i="16" s="1"/>
  <c r="BC19" i="16"/>
  <c r="BD19" i="16" s="1"/>
  <c r="BA19" i="16"/>
  <c r="BB19" i="16" s="1"/>
  <c r="AY19" i="16"/>
  <c r="AZ19" i="16" s="1"/>
  <c r="AW19" i="16"/>
  <c r="AX19" i="16" s="1"/>
  <c r="AU19" i="16"/>
  <c r="AV19" i="16" s="1"/>
  <c r="AS19" i="16"/>
  <c r="AT19" i="16" s="1"/>
  <c r="AQ19" i="16"/>
  <c r="AR19" i="16" s="1"/>
  <c r="AO19" i="16"/>
  <c r="AP19" i="16" s="1"/>
  <c r="AI19" i="16"/>
  <c r="AJ19" i="16" s="1"/>
  <c r="AG19" i="16"/>
  <c r="AH19" i="16" s="1"/>
  <c r="AM19" i="16"/>
  <c r="AN19" i="16" s="1"/>
  <c r="AK19" i="16"/>
  <c r="AL19" i="16" s="1"/>
  <c r="BC18" i="16"/>
  <c r="BD18" i="16" s="1"/>
  <c r="BA18" i="16"/>
  <c r="BB18" i="16" s="1"/>
  <c r="AY18" i="16"/>
  <c r="AZ18" i="16" s="1"/>
  <c r="AW18" i="16"/>
  <c r="AX18" i="16" s="1"/>
  <c r="AU18" i="16"/>
  <c r="AV18" i="16" s="1"/>
  <c r="AS18" i="16"/>
  <c r="AT18" i="16" s="1"/>
  <c r="AQ18" i="16"/>
  <c r="AR18" i="16" s="1"/>
  <c r="AO18" i="16"/>
  <c r="AP18" i="16" s="1"/>
  <c r="AI18" i="16"/>
  <c r="AJ18" i="16" s="1"/>
  <c r="AG18" i="16"/>
  <c r="AH18" i="16" s="1"/>
  <c r="AK18" i="16"/>
  <c r="AL18" i="16" s="1"/>
  <c r="BD17" i="16"/>
  <c r="BC17" i="16"/>
  <c r="BA17" i="16"/>
  <c r="BB17" i="16" s="1"/>
  <c r="AY17" i="16"/>
  <c r="AZ17" i="16" s="1"/>
  <c r="AW17" i="16"/>
  <c r="AX17" i="16" s="1"/>
  <c r="AU17" i="16"/>
  <c r="AV17" i="16" s="1"/>
  <c r="AS17" i="16"/>
  <c r="AT17" i="16" s="1"/>
  <c r="AQ17" i="16"/>
  <c r="AR17" i="16" s="1"/>
  <c r="AO17" i="16"/>
  <c r="AP17" i="16" s="1"/>
  <c r="AI17" i="16"/>
  <c r="AJ17" i="16" s="1"/>
  <c r="AG17" i="16"/>
  <c r="AH17" i="16" s="1"/>
  <c r="U21" i="16"/>
  <c r="T21" i="16"/>
  <c r="E21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N10" i="16"/>
  <c r="M10" i="16"/>
  <c r="BA10" i="16" s="1"/>
  <c r="BB10" i="16" s="1"/>
  <c r="L10" i="16"/>
  <c r="AY10" i="16" s="1"/>
  <c r="AZ10" i="16" s="1"/>
  <c r="K10" i="16"/>
  <c r="AW10" i="16" s="1"/>
  <c r="AX10" i="16" s="1"/>
  <c r="J10" i="16"/>
  <c r="I10" i="16"/>
  <c r="H10" i="16"/>
  <c r="G10" i="16"/>
  <c r="F10" i="16"/>
  <c r="E10" i="16"/>
  <c r="D10" i="16"/>
  <c r="C10" i="16"/>
  <c r="BC9" i="16"/>
  <c r="BD9" i="16" s="1"/>
  <c r="BA9" i="16"/>
  <c r="BB9" i="16" s="1"/>
  <c r="AY9" i="16"/>
  <c r="AZ9" i="16" s="1"/>
  <c r="AW9" i="16"/>
  <c r="AX9" i="16" s="1"/>
  <c r="AU9" i="16"/>
  <c r="AV9" i="16" s="1"/>
  <c r="AS9" i="16"/>
  <c r="AT9" i="16" s="1"/>
  <c r="AQ9" i="16"/>
  <c r="AR9" i="16" s="1"/>
  <c r="AP9" i="16"/>
  <c r="AO9" i="16"/>
  <c r="AM9" i="16"/>
  <c r="AN9" i="16" s="1"/>
  <c r="AK9" i="16"/>
  <c r="AL9" i="16" s="1"/>
  <c r="AI9" i="16"/>
  <c r="AJ9" i="16" s="1"/>
  <c r="AG9" i="16"/>
  <c r="AH9" i="16" s="1"/>
  <c r="BC8" i="16"/>
  <c r="BD8" i="16" s="1"/>
  <c r="BA8" i="16"/>
  <c r="BB8" i="16" s="1"/>
  <c r="AY8" i="16"/>
  <c r="AZ8" i="16" s="1"/>
  <c r="AW8" i="16"/>
  <c r="AX8" i="16" s="1"/>
  <c r="AU8" i="16"/>
  <c r="AV8" i="16" s="1"/>
  <c r="AS8" i="16"/>
  <c r="AT8" i="16" s="1"/>
  <c r="AQ8" i="16"/>
  <c r="AR8" i="16" s="1"/>
  <c r="AO8" i="16"/>
  <c r="AP8" i="16" s="1"/>
  <c r="AM8" i="16"/>
  <c r="AN8" i="16" s="1"/>
  <c r="AK8" i="16"/>
  <c r="AL8" i="16" s="1"/>
  <c r="AI8" i="16"/>
  <c r="AJ8" i="16" s="1"/>
  <c r="AG8" i="16"/>
  <c r="AH8" i="16" s="1"/>
  <c r="BC7" i="16"/>
  <c r="BD7" i="16" s="1"/>
  <c r="BA7" i="16"/>
  <c r="BB7" i="16" s="1"/>
  <c r="AY7" i="16"/>
  <c r="AZ7" i="16" s="1"/>
  <c r="AX7" i="16"/>
  <c r="AW7" i="16"/>
  <c r="AU7" i="16"/>
  <c r="AV7" i="16" s="1"/>
  <c r="AS7" i="16"/>
  <c r="AT7" i="16" s="1"/>
  <c r="AQ7" i="16"/>
  <c r="AR7" i="16" s="1"/>
  <c r="AO7" i="16"/>
  <c r="AP7" i="16" s="1"/>
  <c r="AM7" i="16"/>
  <c r="AN7" i="16" s="1"/>
  <c r="AK7" i="16"/>
  <c r="AL7" i="16" s="1"/>
  <c r="AI7" i="16"/>
  <c r="AJ7" i="16" s="1"/>
  <c r="AG7" i="16"/>
  <c r="AH7" i="16" s="1"/>
  <c r="BC6" i="16"/>
  <c r="BD6" i="16" s="1"/>
  <c r="BA6" i="16"/>
  <c r="BB6" i="16" s="1"/>
  <c r="AY6" i="16"/>
  <c r="AZ6" i="16" s="1"/>
  <c r="AX6" i="16"/>
  <c r="AW6" i="16"/>
  <c r="AU6" i="16"/>
  <c r="AV6" i="16" s="1"/>
  <c r="AS6" i="16"/>
  <c r="AT6" i="16" s="1"/>
  <c r="AQ6" i="16"/>
  <c r="AR6" i="16" s="1"/>
  <c r="AO6" i="16"/>
  <c r="AP6" i="16" s="1"/>
  <c r="AM6" i="16"/>
  <c r="AN6" i="16" s="1"/>
  <c r="AK6" i="16"/>
  <c r="AL6" i="16" s="1"/>
  <c r="AI6" i="16"/>
  <c r="AJ6" i="16" s="1"/>
  <c r="AG6" i="16"/>
  <c r="AH6" i="16" s="1"/>
  <c r="BC5" i="16"/>
  <c r="BD5" i="16" s="1"/>
  <c r="BA5" i="16"/>
  <c r="BB5" i="16" s="1"/>
  <c r="AY5" i="16"/>
  <c r="AZ5" i="16" s="1"/>
  <c r="AW5" i="16"/>
  <c r="AX5" i="16" s="1"/>
  <c r="AU5" i="16"/>
  <c r="AV5" i="16" s="1"/>
  <c r="AS5" i="16"/>
  <c r="AT5" i="16" s="1"/>
  <c r="AQ5" i="16"/>
  <c r="AR5" i="16" s="1"/>
  <c r="AO5" i="16"/>
  <c r="AP5" i="16" s="1"/>
  <c r="AM5" i="16"/>
  <c r="AN5" i="16" s="1"/>
  <c r="AK5" i="16"/>
  <c r="AL5" i="16" s="1"/>
  <c r="AI5" i="16"/>
  <c r="AJ5" i="16" s="1"/>
  <c r="AG5" i="16"/>
  <c r="AH5" i="16" s="1"/>
  <c r="AC61" i="15"/>
  <c r="AB61" i="15"/>
  <c r="AA61" i="15"/>
  <c r="Z61" i="15"/>
  <c r="Y61" i="15"/>
  <c r="X61" i="15"/>
  <c r="W61" i="15"/>
  <c r="V61" i="15"/>
  <c r="U61" i="15"/>
  <c r="T61" i="15"/>
  <c r="S61" i="15"/>
  <c r="R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AG61" i="15" s="1"/>
  <c r="AH61" i="15" s="1"/>
  <c r="BC60" i="15"/>
  <c r="BD60" i="15" s="1"/>
  <c r="BA60" i="15"/>
  <c r="BB60" i="15" s="1"/>
  <c r="AY60" i="15"/>
  <c r="AZ60" i="15" s="1"/>
  <c r="AW60" i="15"/>
  <c r="AX60" i="15" s="1"/>
  <c r="AU60" i="15"/>
  <c r="AV60" i="15" s="1"/>
  <c r="AS60" i="15"/>
  <c r="AT60" i="15" s="1"/>
  <c r="AQ60" i="15"/>
  <c r="AR60" i="15" s="1"/>
  <c r="AO60" i="15"/>
  <c r="AP60" i="15" s="1"/>
  <c r="AM60" i="15"/>
  <c r="AN60" i="15" s="1"/>
  <c r="AK60" i="15"/>
  <c r="AL60" i="15" s="1"/>
  <c r="AI60" i="15"/>
  <c r="AJ60" i="15" s="1"/>
  <c r="AG60" i="15"/>
  <c r="AH60" i="15" s="1"/>
  <c r="BC59" i="15"/>
  <c r="BD59" i="15" s="1"/>
  <c r="BA59" i="15"/>
  <c r="BB59" i="15" s="1"/>
  <c r="AY59" i="15"/>
  <c r="AZ59" i="15" s="1"/>
  <c r="AW59" i="15"/>
  <c r="AX59" i="15" s="1"/>
  <c r="AU59" i="15"/>
  <c r="AV59" i="15" s="1"/>
  <c r="AS59" i="15"/>
  <c r="AT59" i="15" s="1"/>
  <c r="AQ59" i="15"/>
  <c r="AR59" i="15" s="1"/>
  <c r="AO59" i="15"/>
  <c r="AP59" i="15" s="1"/>
  <c r="AM59" i="15"/>
  <c r="AN59" i="15" s="1"/>
  <c r="AK59" i="15"/>
  <c r="AL59" i="15" s="1"/>
  <c r="AI59" i="15"/>
  <c r="AJ59" i="15" s="1"/>
  <c r="AG59" i="15"/>
  <c r="AH59" i="15" s="1"/>
  <c r="BC58" i="15"/>
  <c r="BD58" i="15" s="1"/>
  <c r="BA58" i="15"/>
  <c r="BB58" i="15" s="1"/>
  <c r="AY58" i="15"/>
  <c r="AZ58" i="15" s="1"/>
  <c r="AW58" i="15"/>
  <c r="AX58" i="15" s="1"/>
  <c r="AU58" i="15"/>
  <c r="AV58" i="15" s="1"/>
  <c r="AS58" i="15"/>
  <c r="AT58" i="15" s="1"/>
  <c r="AQ58" i="15"/>
  <c r="AR58" i="15" s="1"/>
  <c r="AO58" i="15"/>
  <c r="AP58" i="15" s="1"/>
  <c r="AM58" i="15"/>
  <c r="AN58" i="15" s="1"/>
  <c r="AK58" i="15"/>
  <c r="AL58" i="15" s="1"/>
  <c r="AI58" i="15"/>
  <c r="AJ58" i="15" s="1"/>
  <c r="AG58" i="15"/>
  <c r="AH58" i="15" s="1"/>
  <c r="BC57" i="15"/>
  <c r="BD57" i="15" s="1"/>
  <c r="BA57" i="15"/>
  <c r="BB57" i="15" s="1"/>
  <c r="AY57" i="15"/>
  <c r="AZ57" i="15" s="1"/>
  <c r="AW57" i="15"/>
  <c r="AX57" i="15" s="1"/>
  <c r="AU57" i="15"/>
  <c r="AV57" i="15" s="1"/>
  <c r="AS57" i="15"/>
  <c r="AT57" i="15" s="1"/>
  <c r="AQ57" i="15"/>
  <c r="AR57" i="15" s="1"/>
  <c r="AO57" i="15"/>
  <c r="AP57" i="15" s="1"/>
  <c r="AM57" i="15"/>
  <c r="AN57" i="15" s="1"/>
  <c r="AK57" i="15"/>
  <c r="AL57" i="15" s="1"/>
  <c r="AI57" i="15"/>
  <c r="AJ57" i="15" s="1"/>
  <c r="AG57" i="15"/>
  <c r="AH57" i="15" s="1"/>
  <c r="BC56" i="15"/>
  <c r="BD56" i="15" s="1"/>
  <c r="BA56" i="15"/>
  <c r="BB56" i="15" s="1"/>
  <c r="AY56" i="15"/>
  <c r="AZ56" i="15" s="1"/>
  <c r="AW56" i="15"/>
  <c r="AX56" i="15" s="1"/>
  <c r="AU56" i="15"/>
  <c r="AV56" i="15" s="1"/>
  <c r="AS56" i="15"/>
  <c r="AT56" i="15" s="1"/>
  <c r="AQ56" i="15"/>
  <c r="AR56" i="15" s="1"/>
  <c r="AO56" i="15"/>
  <c r="AP56" i="15" s="1"/>
  <c r="AM56" i="15"/>
  <c r="AN56" i="15" s="1"/>
  <c r="AK56" i="15"/>
  <c r="AL56" i="15" s="1"/>
  <c r="AI56" i="15"/>
  <c r="AJ56" i="15" s="1"/>
  <c r="AG56" i="15"/>
  <c r="AH56" i="15" s="1"/>
  <c r="BC55" i="15"/>
  <c r="BD55" i="15" s="1"/>
  <c r="BA55" i="15"/>
  <c r="BB55" i="15" s="1"/>
  <c r="AY55" i="15"/>
  <c r="AZ55" i="15" s="1"/>
  <c r="AW55" i="15"/>
  <c r="AX55" i="15" s="1"/>
  <c r="AU55" i="15"/>
  <c r="AV55" i="15" s="1"/>
  <c r="AS55" i="15"/>
  <c r="AT55" i="15" s="1"/>
  <c r="AQ55" i="15"/>
  <c r="AR55" i="15" s="1"/>
  <c r="AO55" i="15"/>
  <c r="AP55" i="15" s="1"/>
  <c r="AM55" i="15"/>
  <c r="AN55" i="15" s="1"/>
  <c r="AK55" i="15"/>
  <c r="AL55" i="15" s="1"/>
  <c r="AI55" i="15"/>
  <c r="AJ55" i="15" s="1"/>
  <c r="AG55" i="15"/>
  <c r="AH55" i="15" s="1"/>
  <c r="BC54" i="15"/>
  <c r="BD54" i="15" s="1"/>
  <c r="BA54" i="15"/>
  <c r="BB54" i="15" s="1"/>
  <c r="AY54" i="15"/>
  <c r="AZ54" i="15" s="1"/>
  <c r="AW54" i="15"/>
  <c r="AX54" i="15" s="1"/>
  <c r="AU54" i="15"/>
  <c r="AV54" i="15" s="1"/>
  <c r="AS54" i="15"/>
  <c r="AT54" i="15" s="1"/>
  <c r="AQ54" i="15"/>
  <c r="AR54" i="15" s="1"/>
  <c r="AO54" i="15"/>
  <c r="AP54" i="15" s="1"/>
  <c r="AM54" i="15"/>
  <c r="AN54" i="15" s="1"/>
  <c r="AK54" i="15"/>
  <c r="AL54" i="15" s="1"/>
  <c r="AI54" i="15"/>
  <c r="AJ54" i="15" s="1"/>
  <c r="AG54" i="15"/>
  <c r="AH54" i="15" s="1"/>
  <c r="BC53" i="15"/>
  <c r="BD53" i="15" s="1"/>
  <c r="BA53" i="15"/>
  <c r="BB53" i="15" s="1"/>
  <c r="AY53" i="15"/>
  <c r="AZ53" i="15" s="1"/>
  <c r="AW53" i="15"/>
  <c r="AX53" i="15" s="1"/>
  <c r="AU53" i="15"/>
  <c r="AV53" i="15" s="1"/>
  <c r="AS53" i="15"/>
  <c r="AT53" i="15" s="1"/>
  <c r="AQ53" i="15"/>
  <c r="AR53" i="15" s="1"/>
  <c r="AO53" i="15"/>
  <c r="AP53" i="15" s="1"/>
  <c r="AM53" i="15"/>
  <c r="AN53" i="15" s="1"/>
  <c r="AK53" i="15"/>
  <c r="AL53" i="15" s="1"/>
  <c r="AI53" i="15"/>
  <c r="AJ53" i="15" s="1"/>
  <c r="AG53" i="15"/>
  <c r="AH53" i="15" s="1"/>
  <c r="BC52" i="15"/>
  <c r="BD52" i="15" s="1"/>
  <c r="BA52" i="15"/>
  <c r="BB52" i="15" s="1"/>
  <c r="AY52" i="15"/>
  <c r="AZ52" i="15" s="1"/>
  <c r="AW52" i="15"/>
  <c r="AX52" i="15" s="1"/>
  <c r="AU52" i="15"/>
  <c r="AV52" i="15" s="1"/>
  <c r="AS52" i="15"/>
  <c r="AT52" i="15" s="1"/>
  <c r="AQ52" i="15"/>
  <c r="AR52" i="15" s="1"/>
  <c r="AO52" i="15"/>
  <c r="AP52" i="15" s="1"/>
  <c r="AM52" i="15"/>
  <c r="AN52" i="15" s="1"/>
  <c r="AK52" i="15"/>
  <c r="AL52" i="15" s="1"/>
  <c r="AI52" i="15"/>
  <c r="AJ52" i="15" s="1"/>
  <c r="AG52" i="15"/>
  <c r="AH52" i="15" s="1"/>
  <c r="BC51" i="15"/>
  <c r="BD51" i="15" s="1"/>
  <c r="BA51" i="15"/>
  <c r="BB51" i="15" s="1"/>
  <c r="AY51" i="15"/>
  <c r="AZ51" i="15" s="1"/>
  <c r="AW51" i="15"/>
  <c r="AX51" i="15" s="1"/>
  <c r="AU51" i="15"/>
  <c r="AV51" i="15" s="1"/>
  <c r="AS51" i="15"/>
  <c r="AT51" i="15" s="1"/>
  <c r="AQ51" i="15"/>
  <c r="AR51" i="15" s="1"/>
  <c r="AO51" i="15"/>
  <c r="AP51" i="15" s="1"/>
  <c r="AM51" i="15"/>
  <c r="AN51" i="15" s="1"/>
  <c r="AK51" i="15"/>
  <c r="AL51" i="15" s="1"/>
  <c r="AI51" i="15"/>
  <c r="AJ51" i="15" s="1"/>
  <c r="AG51" i="15"/>
  <c r="AH51" i="15" s="1"/>
  <c r="BC50" i="15"/>
  <c r="BD50" i="15" s="1"/>
  <c r="BA50" i="15"/>
  <c r="BB50" i="15" s="1"/>
  <c r="AY50" i="15"/>
  <c r="AZ50" i="15" s="1"/>
  <c r="AW50" i="15"/>
  <c r="AX50" i="15" s="1"/>
  <c r="AU50" i="15"/>
  <c r="AV50" i="15" s="1"/>
  <c r="AS50" i="15"/>
  <c r="AT50" i="15" s="1"/>
  <c r="AQ50" i="15"/>
  <c r="AR50" i="15" s="1"/>
  <c r="AO50" i="15"/>
  <c r="AP50" i="15" s="1"/>
  <c r="AM50" i="15"/>
  <c r="AN50" i="15" s="1"/>
  <c r="AK50" i="15"/>
  <c r="AL50" i="15" s="1"/>
  <c r="AI50" i="15"/>
  <c r="AJ50" i="15" s="1"/>
  <c r="AG50" i="15"/>
  <c r="AH50" i="15" s="1"/>
  <c r="BC49" i="15"/>
  <c r="BD49" i="15" s="1"/>
  <c r="BA49" i="15"/>
  <c r="BB49" i="15" s="1"/>
  <c r="AY49" i="15"/>
  <c r="AZ49" i="15" s="1"/>
  <c r="AW49" i="15"/>
  <c r="AX49" i="15" s="1"/>
  <c r="AU49" i="15"/>
  <c r="AV49" i="15" s="1"/>
  <c r="AS49" i="15"/>
  <c r="AT49" i="15" s="1"/>
  <c r="AQ49" i="15"/>
  <c r="AR49" i="15" s="1"/>
  <c r="AO49" i="15"/>
  <c r="AP49" i="15" s="1"/>
  <c r="AM49" i="15"/>
  <c r="AN49" i="15" s="1"/>
  <c r="AK49" i="15"/>
  <c r="AL49" i="15" s="1"/>
  <c r="AI49" i="15"/>
  <c r="AJ49" i="15" s="1"/>
  <c r="AG49" i="15"/>
  <c r="AH49" i="15" s="1"/>
  <c r="BC48" i="15"/>
  <c r="BD48" i="15" s="1"/>
  <c r="BA48" i="15"/>
  <c r="BB48" i="15" s="1"/>
  <c r="AY48" i="15"/>
  <c r="AZ48" i="15" s="1"/>
  <c r="AW48" i="15"/>
  <c r="AX48" i="15" s="1"/>
  <c r="AU48" i="15"/>
  <c r="AV48" i="15" s="1"/>
  <c r="AS48" i="15"/>
  <c r="AT48" i="15" s="1"/>
  <c r="AQ48" i="15"/>
  <c r="AR48" i="15" s="1"/>
  <c r="AO48" i="15"/>
  <c r="AP48" i="15" s="1"/>
  <c r="AM48" i="15"/>
  <c r="AN48" i="15" s="1"/>
  <c r="AK48" i="15"/>
  <c r="AL48" i="15" s="1"/>
  <c r="AI48" i="15"/>
  <c r="AJ48" i="15" s="1"/>
  <c r="AG48" i="15"/>
  <c r="AH48" i="15" s="1"/>
  <c r="BC47" i="15"/>
  <c r="BD47" i="15" s="1"/>
  <c r="BA47" i="15"/>
  <c r="BB47" i="15" s="1"/>
  <c r="AY47" i="15"/>
  <c r="AZ47" i="15" s="1"/>
  <c r="AW47" i="15"/>
  <c r="AX47" i="15" s="1"/>
  <c r="AU47" i="15"/>
  <c r="AV47" i="15" s="1"/>
  <c r="AS47" i="15"/>
  <c r="AT47" i="15" s="1"/>
  <c r="AQ47" i="15"/>
  <c r="AR47" i="15" s="1"/>
  <c r="AO47" i="15"/>
  <c r="AP47" i="15" s="1"/>
  <c r="AM47" i="15"/>
  <c r="AN47" i="15" s="1"/>
  <c r="AK47" i="15"/>
  <c r="AL47" i="15" s="1"/>
  <c r="AI47" i="15"/>
  <c r="AJ47" i="15" s="1"/>
  <c r="AG47" i="15"/>
  <c r="AH47" i="15" s="1"/>
  <c r="AC41" i="15"/>
  <c r="AB41" i="15"/>
  <c r="AA41" i="15"/>
  <c r="Z41" i="15"/>
  <c r="Y41" i="15"/>
  <c r="X41" i="15"/>
  <c r="W41" i="15"/>
  <c r="V41" i="15"/>
  <c r="U41" i="15"/>
  <c r="T41" i="15"/>
  <c r="S41" i="15"/>
  <c r="R41" i="15"/>
  <c r="N41" i="15"/>
  <c r="M41" i="15"/>
  <c r="BA41" i="15" s="1"/>
  <c r="BB41" i="15" s="1"/>
  <c r="L41" i="15"/>
  <c r="K41" i="15"/>
  <c r="J41" i="15"/>
  <c r="I41" i="15"/>
  <c r="H41" i="15"/>
  <c r="G41" i="15"/>
  <c r="F41" i="15"/>
  <c r="E41" i="15"/>
  <c r="D41" i="15"/>
  <c r="C41" i="15"/>
  <c r="AG41" i="15" s="1"/>
  <c r="AH41" i="15" s="1"/>
  <c r="BC40" i="15"/>
  <c r="BD40" i="15" s="1"/>
  <c r="BA40" i="15"/>
  <c r="BB40" i="15" s="1"/>
  <c r="AY40" i="15"/>
  <c r="AZ40" i="15" s="1"/>
  <c r="AW40" i="15"/>
  <c r="AX40" i="15" s="1"/>
  <c r="AU40" i="15"/>
  <c r="AV40" i="15" s="1"/>
  <c r="AS40" i="15"/>
  <c r="AT40" i="15" s="1"/>
  <c r="AQ40" i="15"/>
  <c r="AR40" i="15" s="1"/>
  <c r="AO40" i="15"/>
  <c r="AP40" i="15" s="1"/>
  <c r="AM40" i="15"/>
  <c r="AN40" i="15" s="1"/>
  <c r="AK40" i="15"/>
  <c r="AL40" i="15" s="1"/>
  <c r="AI40" i="15"/>
  <c r="AJ40" i="15" s="1"/>
  <c r="AG40" i="15"/>
  <c r="AH40" i="15" s="1"/>
  <c r="BD39" i="15"/>
  <c r="BC39" i="15"/>
  <c r="BA39" i="15"/>
  <c r="BB39" i="15" s="1"/>
  <c r="AY39" i="15"/>
  <c r="AZ39" i="15" s="1"/>
  <c r="AW39" i="15"/>
  <c r="AX39" i="15" s="1"/>
  <c r="AU39" i="15"/>
  <c r="AV39" i="15" s="1"/>
  <c r="AS39" i="15"/>
  <c r="AT39" i="15" s="1"/>
  <c r="AQ39" i="15"/>
  <c r="AR39" i="15" s="1"/>
  <c r="AO39" i="15"/>
  <c r="AP39" i="15" s="1"/>
  <c r="AM39" i="15"/>
  <c r="AN39" i="15" s="1"/>
  <c r="AK39" i="15"/>
  <c r="AL39" i="15" s="1"/>
  <c r="AI39" i="15"/>
  <c r="AJ39" i="15" s="1"/>
  <c r="AG39" i="15"/>
  <c r="AH39" i="15" s="1"/>
  <c r="BC38" i="15"/>
  <c r="BD38" i="15" s="1"/>
  <c r="BA38" i="15"/>
  <c r="BB38" i="15" s="1"/>
  <c r="AY38" i="15"/>
  <c r="AZ38" i="15" s="1"/>
  <c r="AW38" i="15"/>
  <c r="AX38" i="15" s="1"/>
  <c r="AV38" i="15"/>
  <c r="AU38" i="15"/>
  <c r="AS38" i="15"/>
  <c r="AT38" i="15" s="1"/>
  <c r="AQ38" i="15"/>
  <c r="AR38" i="15" s="1"/>
  <c r="AO38" i="15"/>
  <c r="AP38" i="15" s="1"/>
  <c r="AM38" i="15"/>
  <c r="AN38" i="15" s="1"/>
  <c r="AK38" i="15"/>
  <c r="AL38" i="15" s="1"/>
  <c r="AI38" i="15"/>
  <c r="AJ38" i="15" s="1"/>
  <c r="AG38" i="15"/>
  <c r="AH38" i="15" s="1"/>
  <c r="BC37" i="15"/>
  <c r="BD37" i="15" s="1"/>
  <c r="BA37" i="15"/>
  <c r="BB37" i="15" s="1"/>
  <c r="AY37" i="15"/>
  <c r="AZ37" i="15" s="1"/>
  <c r="AW37" i="15"/>
  <c r="AX37" i="15" s="1"/>
  <c r="AU37" i="15"/>
  <c r="AV37" i="15" s="1"/>
  <c r="AS37" i="15"/>
  <c r="AT37" i="15" s="1"/>
  <c r="AQ37" i="15"/>
  <c r="AR37" i="15" s="1"/>
  <c r="AO37" i="15"/>
  <c r="AP37" i="15" s="1"/>
  <c r="AN37" i="15"/>
  <c r="AM37" i="15"/>
  <c r="AK37" i="15"/>
  <c r="AL37" i="15" s="1"/>
  <c r="AI37" i="15"/>
  <c r="AJ37" i="15" s="1"/>
  <c r="AG37" i="15"/>
  <c r="AH37" i="15" s="1"/>
  <c r="BC36" i="15"/>
  <c r="BD36" i="15" s="1"/>
  <c r="BA36" i="15"/>
  <c r="BB36" i="15" s="1"/>
  <c r="AY36" i="15"/>
  <c r="AZ36" i="15" s="1"/>
  <c r="AW36" i="15"/>
  <c r="AX36" i="15" s="1"/>
  <c r="AU36" i="15"/>
  <c r="AV36" i="15" s="1"/>
  <c r="AS36" i="15"/>
  <c r="AT36" i="15" s="1"/>
  <c r="AQ36" i="15"/>
  <c r="AR36" i="15" s="1"/>
  <c r="AP36" i="15"/>
  <c r="AO36" i="15"/>
  <c r="AM36" i="15"/>
  <c r="AN36" i="15" s="1"/>
  <c r="AK36" i="15"/>
  <c r="AL36" i="15" s="1"/>
  <c r="AI36" i="15"/>
  <c r="AJ36" i="15" s="1"/>
  <c r="AG36" i="15"/>
  <c r="AH36" i="15" s="1"/>
  <c r="BD35" i="15"/>
  <c r="BC35" i="15"/>
  <c r="BA35" i="15"/>
  <c r="BB35" i="15" s="1"/>
  <c r="AY35" i="15"/>
  <c r="AZ35" i="15" s="1"/>
  <c r="AW35" i="15"/>
  <c r="AX35" i="15" s="1"/>
  <c r="AU35" i="15"/>
  <c r="AV35" i="15" s="1"/>
  <c r="AS35" i="15"/>
  <c r="AT35" i="15" s="1"/>
  <c r="AQ35" i="15"/>
  <c r="AR35" i="15" s="1"/>
  <c r="AO35" i="15"/>
  <c r="AP35" i="15" s="1"/>
  <c r="AM35" i="15"/>
  <c r="AN35" i="15" s="1"/>
  <c r="AK35" i="15"/>
  <c r="AL35" i="15" s="1"/>
  <c r="AI35" i="15"/>
  <c r="AJ35" i="15" s="1"/>
  <c r="AH35" i="15"/>
  <c r="AG35" i="15"/>
  <c r="BC34" i="15"/>
  <c r="BD34" i="15" s="1"/>
  <c r="BA34" i="15"/>
  <c r="BB34" i="15" s="1"/>
  <c r="AY34" i="15"/>
  <c r="AZ34" i="15" s="1"/>
  <c r="AW34" i="15"/>
  <c r="AX34" i="15" s="1"/>
  <c r="AV34" i="15"/>
  <c r="AU34" i="15"/>
  <c r="AS34" i="15"/>
  <c r="AT34" i="15" s="1"/>
  <c r="AQ34" i="15"/>
  <c r="AR34" i="15" s="1"/>
  <c r="AO34" i="15"/>
  <c r="AP34" i="15" s="1"/>
  <c r="AM34" i="15"/>
  <c r="AN34" i="15" s="1"/>
  <c r="AK34" i="15"/>
  <c r="AL34" i="15" s="1"/>
  <c r="AI34" i="15"/>
  <c r="AJ34" i="15" s="1"/>
  <c r="AG34" i="15"/>
  <c r="AH34" i="15" s="1"/>
  <c r="BC33" i="15"/>
  <c r="BD33" i="15" s="1"/>
  <c r="BA33" i="15"/>
  <c r="BB33" i="15" s="1"/>
  <c r="AY33" i="15"/>
  <c r="AZ33" i="15" s="1"/>
  <c r="AX33" i="15"/>
  <c r="AW33" i="15"/>
  <c r="AU33" i="15"/>
  <c r="AV33" i="15" s="1"/>
  <c r="AS33" i="15"/>
  <c r="AT33" i="15" s="1"/>
  <c r="AQ33" i="15"/>
  <c r="AR33" i="15" s="1"/>
  <c r="AO33" i="15"/>
  <c r="AP33" i="15" s="1"/>
  <c r="AM33" i="15"/>
  <c r="AN33" i="15" s="1"/>
  <c r="AK33" i="15"/>
  <c r="AL33" i="15" s="1"/>
  <c r="AI33" i="15"/>
  <c r="AJ33" i="15" s="1"/>
  <c r="AG33" i="15"/>
  <c r="AH33" i="15" s="1"/>
  <c r="BC32" i="15"/>
  <c r="BD32" i="15" s="1"/>
  <c r="BA32" i="15"/>
  <c r="BB32" i="15" s="1"/>
  <c r="AY32" i="15"/>
  <c r="AZ32" i="15" s="1"/>
  <c r="AW32" i="15"/>
  <c r="AX32" i="15" s="1"/>
  <c r="AU32" i="15"/>
  <c r="AV32" i="15" s="1"/>
  <c r="AS32" i="15"/>
  <c r="AT32" i="15" s="1"/>
  <c r="AQ32" i="15"/>
  <c r="AR32" i="15" s="1"/>
  <c r="AP32" i="15"/>
  <c r="AO32" i="15"/>
  <c r="AM32" i="15"/>
  <c r="AN32" i="15" s="1"/>
  <c r="AK32" i="15"/>
  <c r="AL32" i="15" s="1"/>
  <c r="AI32" i="15"/>
  <c r="AJ32" i="15" s="1"/>
  <c r="AG32" i="15"/>
  <c r="AH32" i="15" s="1"/>
  <c r="BC31" i="15"/>
  <c r="BD31" i="15" s="1"/>
  <c r="BA31" i="15"/>
  <c r="BB31" i="15" s="1"/>
  <c r="AY31" i="15"/>
  <c r="AZ31" i="15" s="1"/>
  <c r="AW31" i="15"/>
  <c r="AX31" i="15" s="1"/>
  <c r="AU31" i="15"/>
  <c r="AV31" i="15" s="1"/>
  <c r="AS31" i="15"/>
  <c r="AT31" i="15" s="1"/>
  <c r="AQ31" i="15"/>
  <c r="AR31" i="15" s="1"/>
  <c r="AO31" i="15"/>
  <c r="AP31" i="15" s="1"/>
  <c r="AM31" i="15"/>
  <c r="AN31" i="15" s="1"/>
  <c r="AK31" i="15"/>
  <c r="AL31" i="15" s="1"/>
  <c r="AI31" i="15"/>
  <c r="AJ31" i="15" s="1"/>
  <c r="AH31" i="15"/>
  <c r="AG31" i="15"/>
  <c r="BC30" i="15"/>
  <c r="BD30" i="15" s="1"/>
  <c r="BA30" i="15"/>
  <c r="BB30" i="15" s="1"/>
  <c r="AY30" i="15"/>
  <c r="AZ30" i="15" s="1"/>
  <c r="AW30" i="15"/>
  <c r="AX30" i="15" s="1"/>
  <c r="AU30" i="15"/>
  <c r="AV30" i="15" s="1"/>
  <c r="AS30" i="15"/>
  <c r="AT30" i="15" s="1"/>
  <c r="AQ30" i="15"/>
  <c r="AR30" i="15" s="1"/>
  <c r="AO30" i="15"/>
  <c r="AP30" i="15" s="1"/>
  <c r="AM30" i="15"/>
  <c r="AN30" i="15" s="1"/>
  <c r="AK30" i="15"/>
  <c r="AL30" i="15" s="1"/>
  <c r="AI30" i="15"/>
  <c r="AJ30" i="15" s="1"/>
  <c r="AG30" i="15"/>
  <c r="AH30" i="15" s="1"/>
  <c r="BC29" i="15"/>
  <c r="BD29" i="15" s="1"/>
  <c r="BA29" i="15"/>
  <c r="BB29" i="15" s="1"/>
  <c r="AY29" i="15"/>
  <c r="AZ29" i="15" s="1"/>
  <c r="AW29" i="15"/>
  <c r="AX29" i="15" s="1"/>
  <c r="AU29" i="15"/>
  <c r="AV29" i="15" s="1"/>
  <c r="AS29" i="15"/>
  <c r="AT29" i="15" s="1"/>
  <c r="AQ29" i="15"/>
  <c r="AR29" i="15" s="1"/>
  <c r="AO29" i="15"/>
  <c r="AP29" i="15" s="1"/>
  <c r="AN29" i="15"/>
  <c r="AM29" i="15"/>
  <c r="AK29" i="15"/>
  <c r="AL29" i="15" s="1"/>
  <c r="AI29" i="15"/>
  <c r="AJ29" i="15" s="1"/>
  <c r="AG29" i="15"/>
  <c r="AH29" i="15" s="1"/>
  <c r="BC28" i="15"/>
  <c r="BD28" i="15" s="1"/>
  <c r="BA28" i="15"/>
  <c r="BB28" i="15" s="1"/>
  <c r="AY28" i="15"/>
  <c r="AZ28" i="15" s="1"/>
  <c r="AW28" i="15"/>
  <c r="AX28" i="15" s="1"/>
  <c r="AU28" i="15"/>
  <c r="AV28" i="15" s="1"/>
  <c r="AS28" i="15"/>
  <c r="AT28" i="15" s="1"/>
  <c r="AQ28" i="15"/>
  <c r="AR28" i="15" s="1"/>
  <c r="AO28" i="15"/>
  <c r="AP28" i="15" s="1"/>
  <c r="AM28" i="15"/>
  <c r="AN28" i="15" s="1"/>
  <c r="AK28" i="15"/>
  <c r="AL28" i="15" s="1"/>
  <c r="AI28" i="15"/>
  <c r="AJ28" i="15" s="1"/>
  <c r="AG28" i="15"/>
  <c r="AH28" i="15" s="1"/>
  <c r="BD27" i="15"/>
  <c r="BC27" i="15"/>
  <c r="BA27" i="15"/>
  <c r="BB27" i="15" s="1"/>
  <c r="AY27" i="15"/>
  <c r="AZ27" i="15" s="1"/>
  <c r="AW27" i="15"/>
  <c r="AX27" i="15" s="1"/>
  <c r="AU27" i="15"/>
  <c r="AV27" i="15" s="1"/>
  <c r="AS27" i="15"/>
  <c r="AT27" i="15" s="1"/>
  <c r="AQ27" i="15"/>
  <c r="AR27" i="15" s="1"/>
  <c r="AO27" i="15"/>
  <c r="AP27" i="15" s="1"/>
  <c r="AM27" i="15"/>
  <c r="AN27" i="15" s="1"/>
  <c r="AK27" i="15"/>
  <c r="AL27" i="15" s="1"/>
  <c r="AI27" i="15"/>
  <c r="AJ27" i="15" s="1"/>
  <c r="AG27" i="15"/>
  <c r="AH27" i="15" s="1"/>
  <c r="AC21" i="15"/>
  <c r="AB21" i="15"/>
  <c r="AA21" i="15"/>
  <c r="Z21" i="15"/>
  <c r="Y21" i="15"/>
  <c r="X21" i="15"/>
  <c r="W21" i="15"/>
  <c r="V21" i="15"/>
  <c r="S21" i="15"/>
  <c r="R21" i="15"/>
  <c r="N21" i="15"/>
  <c r="M21" i="15"/>
  <c r="L21" i="15"/>
  <c r="K21" i="15"/>
  <c r="J21" i="15"/>
  <c r="AU21" i="15" s="1"/>
  <c r="AV21" i="15" s="1"/>
  <c r="I21" i="15"/>
  <c r="H21" i="15"/>
  <c r="G21" i="15"/>
  <c r="AO21" i="15" s="1"/>
  <c r="AP21" i="15" s="1"/>
  <c r="F21" i="15"/>
  <c r="E21" i="15"/>
  <c r="D21" i="15"/>
  <c r="C21" i="15"/>
  <c r="BC20" i="15"/>
  <c r="BD20" i="15" s="1"/>
  <c r="BA20" i="15"/>
  <c r="BB20" i="15" s="1"/>
  <c r="AY20" i="15"/>
  <c r="AZ20" i="15" s="1"/>
  <c r="AW20" i="15"/>
  <c r="AX20" i="15" s="1"/>
  <c r="AU20" i="15"/>
  <c r="AV20" i="15" s="1"/>
  <c r="AS20" i="15"/>
  <c r="AT20" i="15" s="1"/>
  <c r="AQ20" i="15"/>
  <c r="AR20" i="15" s="1"/>
  <c r="AO20" i="15"/>
  <c r="AP20" i="15" s="1"/>
  <c r="AK20" i="15"/>
  <c r="AL20" i="15" s="1"/>
  <c r="AI20" i="15"/>
  <c r="AJ20" i="15" s="1"/>
  <c r="AG20" i="15"/>
  <c r="AH20" i="15" s="1"/>
  <c r="BC19" i="15"/>
  <c r="BD19" i="15" s="1"/>
  <c r="BA19" i="15"/>
  <c r="BB19" i="15" s="1"/>
  <c r="AY19" i="15"/>
  <c r="AZ19" i="15" s="1"/>
  <c r="AW19" i="15"/>
  <c r="AX19" i="15" s="1"/>
  <c r="AU19" i="15"/>
  <c r="AV19" i="15" s="1"/>
  <c r="AS19" i="15"/>
  <c r="AT19" i="15" s="1"/>
  <c r="AQ19" i="15"/>
  <c r="AR19" i="15" s="1"/>
  <c r="AO19" i="15"/>
  <c r="AP19" i="15" s="1"/>
  <c r="AI19" i="15"/>
  <c r="AJ19" i="15" s="1"/>
  <c r="AG19" i="15"/>
  <c r="AH19" i="15" s="1"/>
  <c r="AM19" i="15"/>
  <c r="AN19" i="15" s="1"/>
  <c r="BC18" i="15"/>
  <c r="BD18" i="15" s="1"/>
  <c r="BA18" i="15"/>
  <c r="BB18" i="15" s="1"/>
  <c r="AY18" i="15"/>
  <c r="AZ18" i="15" s="1"/>
  <c r="AW18" i="15"/>
  <c r="AX18" i="15" s="1"/>
  <c r="AU18" i="15"/>
  <c r="AV18" i="15" s="1"/>
  <c r="AS18" i="15"/>
  <c r="AT18" i="15" s="1"/>
  <c r="AQ18" i="15"/>
  <c r="AR18" i="15" s="1"/>
  <c r="AO18" i="15"/>
  <c r="AP18" i="15" s="1"/>
  <c r="AK18" i="15"/>
  <c r="AL18" i="15" s="1"/>
  <c r="AI18" i="15"/>
  <c r="AJ18" i="15" s="1"/>
  <c r="AG18" i="15"/>
  <c r="AH18" i="15" s="1"/>
  <c r="BC17" i="15"/>
  <c r="BD17" i="15" s="1"/>
  <c r="BA17" i="15"/>
  <c r="BB17" i="15" s="1"/>
  <c r="AY17" i="15"/>
  <c r="AZ17" i="15" s="1"/>
  <c r="AW17" i="15"/>
  <c r="AX17" i="15" s="1"/>
  <c r="AU17" i="15"/>
  <c r="AV17" i="15" s="1"/>
  <c r="AS17" i="15"/>
  <c r="AT17" i="15" s="1"/>
  <c r="AQ17" i="15"/>
  <c r="AR17" i="15" s="1"/>
  <c r="AO17" i="15"/>
  <c r="AP17" i="15" s="1"/>
  <c r="AI17" i="15"/>
  <c r="AJ17" i="15" s="1"/>
  <c r="AG17" i="15"/>
  <c r="AH17" i="15" s="1"/>
  <c r="AC10" i="15"/>
  <c r="AB10" i="15"/>
  <c r="AA10" i="15"/>
  <c r="Z10" i="15"/>
  <c r="Y10" i="15"/>
  <c r="X10" i="15"/>
  <c r="W10" i="15"/>
  <c r="AQ10" i="15" s="1"/>
  <c r="AR10" i="15" s="1"/>
  <c r="V10" i="15"/>
  <c r="U10" i="15"/>
  <c r="T10" i="15"/>
  <c r="S10" i="15"/>
  <c r="R10" i="15"/>
  <c r="N10" i="15"/>
  <c r="M10" i="15"/>
  <c r="L10" i="15"/>
  <c r="AY10" i="15" s="1"/>
  <c r="AZ10" i="15" s="1"/>
  <c r="K10" i="15"/>
  <c r="J10" i="15"/>
  <c r="I10" i="15"/>
  <c r="H10" i="15"/>
  <c r="G10" i="15"/>
  <c r="AO10" i="15" s="1"/>
  <c r="AP10" i="15" s="1"/>
  <c r="F10" i="15"/>
  <c r="E10" i="15"/>
  <c r="D10" i="15"/>
  <c r="C10" i="15"/>
  <c r="BC9" i="15"/>
  <c r="BD9" i="15" s="1"/>
  <c r="BA9" i="15"/>
  <c r="BB9" i="15" s="1"/>
  <c r="AY9" i="15"/>
  <c r="AZ9" i="15" s="1"/>
  <c r="AW9" i="15"/>
  <c r="AX9" i="15" s="1"/>
  <c r="AU9" i="15"/>
  <c r="AV9" i="15" s="1"/>
  <c r="AS9" i="15"/>
  <c r="AT9" i="15" s="1"/>
  <c r="AQ9" i="15"/>
  <c r="AR9" i="15" s="1"/>
  <c r="AO9" i="15"/>
  <c r="AP9" i="15" s="1"/>
  <c r="AM9" i="15"/>
  <c r="AN9" i="15" s="1"/>
  <c r="AK9" i="15"/>
  <c r="AL9" i="15" s="1"/>
  <c r="AI9" i="15"/>
  <c r="AJ9" i="15" s="1"/>
  <c r="AG9" i="15"/>
  <c r="AH9" i="15" s="1"/>
  <c r="BC8" i="15"/>
  <c r="BD8" i="15" s="1"/>
  <c r="BA8" i="15"/>
  <c r="BB8" i="15" s="1"/>
  <c r="AY8" i="15"/>
  <c r="AZ8" i="15" s="1"/>
  <c r="AW8" i="15"/>
  <c r="AX8" i="15" s="1"/>
  <c r="AU8" i="15"/>
  <c r="AV8" i="15" s="1"/>
  <c r="AS8" i="15"/>
  <c r="AT8" i="15" s="1"/>
  <c r="AQ8" i="15"/>
  <c r="AR8" i="15" s="1"/>
  <c r="AO8" i="15"/>
  <c r="AP8" i="15" s="1"/>
  <c r="AM8" i="15"/>
  <c r="AN8" i="15" s="1"/>
  <c r="AK8" i="15"/>
  <c r="AL8" i="15" s="1"/>
  <c r="AI8" i="15"/>
  <c r="AJ8" i="15" s="1"/>
  <c r="AG8" i="15"/>
  <c r="AH8" i="15" s="1"/>
  <c r="BC7" i="15"/>
  <c r="BD7" i="15" s="1"/>
  <c r="BA7" i="15"/>
  <c r="BB7" i="15" s="1"/>
  <c r="AY7" i="15"/>
  <c r="AZ7" i="15" s="1"/>
  <c r="AW7" i="15"/>
  <c r="AX7" i="15" s="1"/>
  <c r="AU7" i="15"/>
  <c r="AV7" i="15" s="1"/>
  <c r="AS7" i="15"/>
  <c r="AT7" i="15" s="1"/>
  <c r="AQ7" i="15"/>
  <c r="AR7" i="15" s="1"/>
  <c r="AO7" i="15"/>
  <c r="AP7" i="15" s="1"/>
  <c r="AM7" i="15"/>
  <c r="AN7" i="15" s="1"/>
  <c r="AK7" i="15"/>
  <c r="AL7" i="15" s="1"/>
  <c r="AI7" i="15"/>
  <c r="AJ7" i="15" s="1"/>
  <c r="AG7" i="15"/>
  <c r="AH7" i="15" s="1"/>
  <c r="BC6" i="15"/>
  <c r="BD6" i="15" s="1"/>
  <c r="BA6" i="15"/>
  <c r="BB6" i="15" s="1"/>
  <c r="AY6" i="15"/>
  <c r="AZ6" i="15" s="1"/>
  <c r="AW6" i="15"/>
  <c r="AX6" i="15" s="1"/>
  <c r="AU6" i="15"/>
  <c r="AV6" i="15" s="1"/>
  <c r="AS6" i="15"/>
  <c r="AT6" i="15" s="1"/>
  <c r="AQ6" i="15"/>
  <c r="AR6" i="15" s="1"/>
  <c r="AO6" i="15"/>
  <c r="AP6" i="15" s="1"/>
  <c r="AM6" i="15"/>
  <c r="AN6" i="15" s="1"/>
  <c r="AK6" i="15"/>
  <c r="AL6" i="15" s="1"/>
  <c r="AI6" i="15"/>
  <c r="AJ6" i="15" s="1"/>
  <c r="AG6" i="15"/>
  <c r="AH6" i="15" s="1"/>
  <c r="BC5" i="15"/>
  <c r="BD5" i="15" s="1"/>
  <c r="BA5" i="15"/>
  <c r="BB5" i="15" s="1"/>
  <c r="AY5" i="15"/>
  <c r="AZ5" i="15" s="1"/>
  <c r="AW5" i="15"/>
  <c r="AX5" i="15" s="1"/>
  <c r="AU5" i="15"/>
  <c r="AV5" i="15" s="1"/>
  <c r="AS5" i="15"/>
  <c r="AT5" i="15" s="1"/>
  <c r="AQ5" i="15"/>
  <c r="AR5" i="15" s="1"/>
  <c r="AO5" i="15"/>
  <c r="AP5" i="15" s="1"/>
  <c r="AM5" i="15"/>
  <c r="AN5" i="15" s="1"/>
  <c r="AK5" i="15"/>
  <c r="AL5" i="15" s="1"/>
  <c r="AI5" i="15"/>
  <c r="AJ5" i="15" s="1"/>
  <c r="AG5" i="15"/>
  <c r="AH5" i="15" s="1"/>
  <c r="AC61" i="14"/>
  <c r="AB61" i="14"/>
  <c r="BA61" i="14" s="1"/>
  <c r="BB61" i="14" s="1"/>
  <c r="AA61" i="14"/>
  <c r="Z61" i="14"/>
  <c r="Y61" i="14"/>
  <c r="X61" i="14"/>
  <c r="W61" i="14"/>
  <c r="V61" i="14"/>
  <c r="U61" i="14"/>
  <c r="T61" i="14"/>
  <c r="S61" i="14"/>
  <c r="R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C60" i="14"/>
  <c r="BD60" i="14" s="1"/>
  <c r="BA60" i="14"/>
  <c r="BB60" i="14" s="1"/>
  <c r="AY60" i="14"/>
  <c r="AZ60" i="14" s="1"/>
  <c r="AW60" i="14"/>
  <c r="AX60" i="14" s="1"/>
  <c r="AU60" i="14"/>
  <c r="AV60" i="14" s="1"/>
  <c r="AS60" i="14"/>
  <c r="AT60" i="14" s="1"/>
  <c r="AQ60" i="14"/>
  <c r="AR60" i="14" s="1"/>
  <c r="AO60" i="14"/>
  <c r="AP60" i="14" s="1"/>
  <c r="AM60" i="14"/>
  <c r="AN60" i="14" s="1"/>
  <c r="AK60" i="14"/>
  <c r="AL60" i="14" s="1"/>
  <c r="AI60" i="14"/>
  <c r="AJ60" i="14" s="1"/>
  <c r="AG60" i="14"/>
  <c r="AH60" i="14" s="1"/>
  <c r="BC59" i="14"/>
  <c r="BD59" i="14" s="1"/>
  <c r="BA59" i="14"/>
  <c r="BB59" i="14" s="1"/>
  <c r="AY59" i="14"/>
  <c r="AZ59" i="14" s="1"/>
  <c r="AW59" i="14"/>
  <c r="AX59" i="14" s="1"/>
  <c r="AU59" i="14"/>
  <c r="AV59" i="14" s="1"/>
  <c r="AS59" i="14"/>
  <c r="AT59" i="14" s="1"/>
  <c r="AQ59" i="14"/>
  <c r="AR59" i="14" s="1"/>
  <c r="AO59" i="14"/>
  <c r="AP59" i="14" s="1"/>
  <c r="AM59" i="14"/>
  <c r="AN59" i="14" s="1"/>
  <c r="AK59" i="14"/>
  <c r="AL59" i="14" s="1"/>
  <c r="AI59" i="14"/>
  <c r="AJ59" i="14" s="1"/>
  <c r="AG59" i="14"/>
  <c r="AH59" i="14" s="1"/>
  <c r="BC58" i="14"/>
  <c r="BD58" i="14" s="1"/>
  <c r="BA58" i="14"/>
  <c r="BB58" i="14" s="1"/>
  <c r="AY58" i="14"/>
  <c r="AZ58" i="14" s="1"/>
  <c r="AW58" i="14"/>
  <c r="AX58" i="14" s="1"/>
  <c r="AU58" i="14"/>
  <c r="AV58" i="14" s="1"/>
  <c r="AS58" i="14"/>
  <c r="AT58" i="14" s="1"/>
  <c r="AQ58" i="14"/>
  <c r="AR58" i="14" s="1"/>
  <c r="AO58" i="14"/>
  <c r="AP58" i="14" s="1"/>
  <c r="AM58" i="14"/>
  <c r="AN58" i="14" s="1"/>
  <c r="AK58" i="14"/>
  <c r="AL58" i="14" s="1"/>
  <c r="AI58" i="14"/>
  <c r="AJ58" i="14" s="1"/>
  <c r="AG58" i="14"/>
  <c r="AH58" i="14" s="1"/>
  <c r="BC57" i="14"/>
  <c r="BD57" i="14" s="1"/>
  <c r="BA57" i="14"/>
  <c r="BB57" i="14" s="1"/>
  <c r="AY57" i="14"/>
  <c r="AZ57" i="14" s="1"/>
  <c r="AW57" i="14"/>
  <c r="AX57" i="14" s="1"/>
  <c r="AU57" i="14"/>
  <c r="AV57" i="14" s="1"/>
  <c r="AS57" i="14"/>
  <c r="AT57" i="14" s="1"/>
  <c r="AQ57" i="14"/>
  <c r="AR57" i="14" s="1"/>
  <c r="AO57" i="14"/>
  <c r="AP57" i="14" s="1"/>
  <c r="AM57" i="14"/>
  <c r="AN57" i="14" s="1"/>
  <c r="AK57" i="14"/>
  <c r="AL57" i="14" s="1"/>
  <c r="AI57" i="14"/>
  <c r="AJ57" i="14" s="1"/>
  <c r="AG57" i="14"/>
  <c r="AH57" i="14" s="1"/>
  <c r="BC56" i="14"/>
  <c r="BD56" i="14" s="1"/>
  <c r="BA56" i="14"/>
  <c r="BB56" i="14" s="1"/>
  <c r="AY56" i="14"/>
  <c r="AZ56" i="14" s="1"/>
  <c r="AW56" i="14"/>
  <c r="AX56" i="14" s="1"/>
  <c r="AU56" i="14"/>
  <c r="AV56" i="14" s="1"/>
  <c r="AS56" i="14"/>
  <c r="AT56" i="14" s="1"/>
  <c r="AQ56" i="14"/>
  <c r="AR56" i="14" s="1"/>
  <c r="AO56" i="14"/>
  <c r="AP56" i="14" s="1"/>
  <c r="AM56" i="14"/>
  <c r="AN56" i="14" s="1"/>
  <c r="AK56" i="14"/>
  <c r="AL56" i="14" s="1"/>
  <c r="AI56" i="14"/>
  <c r="AJ56" i="14" s="1"/>
  <c r="AG56" i="14"/>
  <c r="AH56" i="14" s="1"/>
  <c r="BC55" i="14"/>
  <c r="BD55" i="14" s="1"/>
  <c r="BA55" i="14"/>
  <c r="BB55" i="14" s="1"/>
  <c r="AY55" i="14"/>
  <c r="AZ55" i="14" s="1"/>
  <c r="AW55" i="14"/>
  <c r="AX55" i="14" s="1"/>
  <c r="AU55" i="14"/>
  <c r="AV55" i="14" s="1"/>
  <c r="AS55" i="14"/>
  <c r="AT55" i="14" s="1"/>
  <c r="AQ55" i="14"/>
  <c r="AR55" i="14" s="1"/>
  <c r="AO55" i="14"/>
  <c r="AP55" i="14" s="1"/>
  <c r="AM55" i="14"/>
  <c r="AN55" i="14" s="1"/>
  <c r="AK55" i="14"/>
  <c r="AL55" i="14" s="1"/>
  <c r="AI55" i="14"/>
  <c r="AJ55" i="14" s="1"/>
  <c r="AG55" i="14"/>
  <c r="AH55" i="14" s="1"/>
  <c r="BC54" i="14"/>
  <c r="BD54" i="14" s="1"/>
  <c r="BA54" i="14"/>
  <c r="BB54" i="14" s="1"/>
  <c r="AY54" i="14"/>
  <c r="AZ54" i="14" s="1"/>
  <c r="AW54" i="14"/>
  <c r="AX54" i="14" s="1"/>
  <c r="AU54" i="14"/>
  <c r="AV54" i="14" s="1"/>
  <c r="AS54" i="14"/>
  <c r="AT54" i="14" s="1"/>
  <c r="AQ54" i="14"/>
  <c r="AR54" i="14" s="1"/>
  <c r="AO54" i="14"/>
  <c r="AP54" i="14" s="1"/>
  <c r="AM54" i="14"/>
  <c r="AN54" i="14" s="1"/>
  <c r="AK54" i="14"/>
  <c r="AL54" i="14" s="1"/>
  <c r="AI54" i="14"/>
  <c r="AJ54" i="14" s="1"/>
  <c r="AG54" i="14"/>
  <c r="AH54" i="14" s="1"/>
  <c r="BC53" i="14"/>
  <c r="BD53" i="14" s="1"/>
  <c r="BA53" i="14"/>
  <c r="BB53" i="14" s="1"/>
  <c r="AZ53" i="14"/>
  <c r="AY53" i="14"/>
  <c r="AW53" i="14"/>
  <c r="AX53" i="14" s="1"/>
  <c r="AU53" i="14"/>
  <c r="AV53" i="14" s="1"/>
  <c r="AS53" i="14"/>
  <c r="AT53" i="14" s="1"/>
  <c r="AQ53" i="14"/>
  <c r="AR53" i="14" s="1"/>
  <c r="AO53" i="14"/>
  <c r="AP53" i="14" s="1"/>
  <c r="AM53" i="14"/>
  <c r="AN53" i="14" s="1"/>
  <c r="AK53" i="14"/>
  <c r="AL53" i="14" s="1"/>
  <c r="AI53" i="14"/>
  <c r="AJ53" i="14" s="1"/>
  <c r="AG53" i="14"/>
  <c r="AH53" i="14" s="1"/>
  <c r="BC52" i="14"/>
  <c r="BD52" i="14" s="1"/>
  <c r="BA52" i="14"/>
  <c r="BB52" i="14" s="1"/>
  <c r="AY52" i="14"/>
  <c r="AZ52" i="14" s="1"/>
  <c r="AW52" i="14"/>
  <c r="AX52" i="14" s="1"/>
  <c r="AU52" i="14"/>
  <c r="AV52" i="14" s="1"/>
  <c r="AS52" i="14"/>
  <c r="AT52" i="14" s="1"/>
  <c r="AQ52" i="14"/>
  <c r="AR52" i="14" s="1"/>
  <c r="AO52" i="14"/>
  <c r="AP52" i="14" s="1"/>
  <c r="AM52" i="14"/>
  <c r="AN52" i="14" s="1"/>
  <c r="AK52" i="14"/>
  <c r="AL52" i="14" s="1"/>
  <c r="AI52" i="14"/>
  <c r="AJ52" i="14" s="1"/>
  <c r="AG52" i="14"/>
  <c r="AH52" i="14" s="1"/>
  <c r="BC51" i="14"/>
  <c r="BD51" i="14" s="1"/>
  <c r="BA51" i="14"/>
  <c r="BB51" i="14" s="1"/>
  <c r="AY51" i="14"/>
  <c r="AZ51" i="14" s="1"/>
  <c r="AW51" i="14"/>
  <c r="AX51" i="14" s="1"/>
  <c r="AU51" i="14"/>
  <c r="AV51" i="14" s="1"/>
  <c r="AS51" i="14"/>
  <c r="AT51" i="14" s="1"/>
  <c r="AQ51" i="14"/>
  <c r="AR51" i="14" s="1"/>
  <c r="AO51" i="14"/>
  <c r="AP51" i="14" s="1"/>
  <c r="AM51" i="14"/>
  <c r="AN51" i="14" s="1"/>
  <c r="AK51" i="14"/>
  <c r="AL51" i="14" s="1"/>
  <c r="AI51" i="14"/>
  <c r="AJ51" i="14" s="1"/>
  <c r="AG51" i="14"/>
  <c r="AH51" i="14" s="1"/>
  <c r="BC50" i="14"/>
  <c r="BD50" i="14" s="1"/>
  <c r="BA50" i="14"/>
  <c r="BB50" i="14" s="1"/>
  <c r="AY50" i="14"/>
  <c r="AZ50" i="14" s="1"/>
  <c r="AW50" i="14"/>
  <c r="AX50" i="14" s="1"/>
  <c r="AU50" i="14"/>
  <c r="AV50" i="14" s="1"/>
  <c r="AS50" i="14"/>
  <c r="AT50" i="14" s="1"/>
  <c r="AQ50" i="14"/>
  <c r="AR50" i="14" s="1"/>
  <c r="AO50" i="14"/>
  <c r="AP50" i="14" s="1"/>
  <c r="AM50" i="14"/>
  <c r="AN50" i="14" s="1"/>
  <c r="AK50" i="14"/>
  <c r="AL50" i="14" s="1"/>
  <c r="AI50" i="14"/>
  <c r="AJ50" i="14" s="1"/>
  <c r="AG50" i="14"/>
  <c r="AH50" i="14" s="1"/>
  <c r="BC49" i="14"/>
  <c r="BD49" i="14" s="1"/>
  <c r="BA49" i="14"/>
  <c r="BB49" i="14" s="1"/>
  <c r="AY49" i="14"/>
  <c r="AZ49" i="14" s="1"/>
  <c r="AW49" i="14"/>
  <c r="AX49" i="14" s="1"/>
  <c r="AU49" i="14"/>
  <c r="AV49" i="14" s="1"/>
  <c r="AS49" i="14"/>
  <c r="AT49" i="14" s="1"/>
  <c r="AQ49" i="14"/>
  <c r="AR49" i="14" s="1"/>
  <c r="AO49" i="14"/>
  <c r="AP49" i="14" s="1"/>
  <c r="AM49" i="14"/>
  <c r="AN49" i="14" s="1"/>
  <c r="AK49" i="14"/>
  <c r="AL49" i="14" s="1"/>
  <c r="AI49" i="14"/>
  <c r="AJ49" i="14" s="1"/>
  <c r="AG49" i="14"/>
  <c r="AH49" i="14" s="1"/>
  <c r="BC48" i="14"/>
  <c r="BD48" i="14" s="1"/>
  <c r="BA48" i="14"/>
  <c r="BB48" i="14" s="1"/>
  <c r="AY48" i="14"/>
  <c r="AZ48" i="14" s="1"/>
  <c r="AW48" i="14"/>
  <c r="AX48" i="14" s="1"/>
  <c r="AU48" i="14"/>
  <c r="AV48" i="14" s="1"/>
  <c r="AS48" i="14"/>
  <c r="AT48" i="14" s="1"/>
  <c r="AR48" i="14"/>
  <c r="AQ48" i="14"/>
  <c r="AO48" i="14"/>
  <c r="AP48" i="14" s="1"/>
  <c r="AM48" i="14"/>
  <c r="AN48" i="14" s="1"/>
  <c r="AK48" i="14"/>
  <c r="AL48" i="14" s="1"/>
  <c r="AI48" i="14"/>
  <c r="AJ48" i="14" s="1"/>
  <c r="AG48" i="14"/>
  <c r="AH48" i="14" s="1"/>
  <c r="BC47" i="14"/>
  <c r="BD47" i="14" s="1"/>
  <c r="BA47" i="14"/>
  <c r="BB47" i="14" s="1"/>
  <c r="AY47" i="14"/>
  <c r="AZ47" i="14" s="1"/>
  <c r="AW47" i="14"/>
  <c r="AX47" i="14" s="1"/>
  <c r="AU47" i="14"/>
  <c r="AV47" i="14" s="1"/>
  <c r="AS47" i="14"/>
  <c r="AT47" i="14" s="1"/>
  <c r="AQ47" i="14"/>
  <c r="AR47" i="14" s="1"/>
  <c r="AO47" i="14"/>
  <c r="AP47" i="14" s="1"/>
  <c r="AM47" i="14"/>
  <c r="AN47" i="14" s="1"/>
  <c r="AK47" i="14"/>
  <c r="AL47" i="14" s="1"/>
  <c r="AI47" i="14"/>
  <c r="AJ47" i="14" s="1"/>
  <c r="AG47" i="14"/>
  <c r="AH47" i="14" s="1"/>
  <c r="AC41" i="14"/>
  <c r="AB41" i="14"/>
  <c r="AA41" i="14"/>
  <c r="Z41" i="14"/>
  <c r="Y41" i="14"/>
  <c r="X41" i="14"/>
  <c r="W41" i="14"/>
  <c r="V41" i="14"/>
  <c r="U41" i="14"/>
  <c r="T41" i="14"/>
  <c r="S41" i="14"/>
  <c r="R41" i="14"/>
  <c r="N41" i="14"/>
  <c r="BC41" i="14" s="1"/>
  <c r="BD41" i="14" s="1"/>
  <c r="M41" i="14"/>
  <c r="L41" i="14"/>
  <c r="K41" i="14"/>
  <c r="J41" i="14"/>
  <c r="I41" i="14"/>
  <c r="H41" i="14"/>
  <c r="G41" i="14"/>
  <c r="F41" i="14"/>
  <c r="E41" i="14"/>
  <c r="D41" i="14"/>
  <c r="C41" i="14"/>
  <c r="BC40" i="14"/>
  <c r="BD40" i="14" s="1"/>
  <c r="BA40" i="14"/>
  <c r="BB40" i="14" s="1"/>
  <c r="AY40" i="14"/>
  <c r="AZ40" i="14" s="1"/>
  <c r="AW40" i="14"/>
  <c r="AX40" i="14" s="1"/>
  <c r="AU40" i="14"/>
  <c r="AV40" i="14" s="1"/>
  <c r="AS40" i="14"/>
  <c r="AT40" i="14" s="1"/>
  <c r="AQ40" i="14"/>
  <c r="AR40" i="14" s="1"/>
  <c r="AO40" i="14"/>
  <c r="AP40" i="14" s="1"/>
  <c r="AM40" i="14"/>
  <c r="AN40" i="14" s="1"/>
  <c r="AK40" i="14"/>
  <c r="AL40" i="14" s="1"/>
  <c r="AI40" i="14"/>
  <c r="AJ40" i="14" s="1"/>
  <c r="AG40" i="14"/>
  <c r="AH40" i="14" s="1"/>
  <c r="BC39" i="14"/>
  <c r="BD39" i="14" s="1"/>
  <c r="BA39" i="14"/>
  <c r="BB39" i="14" s="1"/>
  <c r="AY39" i="14"/>
  <c r="AZ39" i="14" s="1"/>
  <c r="AW39" i="14"/>
  <c r="AX39" i="14" s="1"/>
  <c r="AU39" i="14"/>
  <c r="AV39" i="14" s="1"/>
  <c r="AS39" i="14"/>
  <c r="AT39" i="14" s="1"/>
  <c r="AQ39" i="14"/>
  <c r="AR39" i="14" s="1"/>
  <c r="AO39" i="14"/>
  <c r="AP39" i="14" s="1"/>
  <c r="AM39" i="14"/>
  <c r="AN39" i="14" s="1"/>
  <c r="AK39" i="14"/>
  <c r="AL39" i="14" s="1"/>
  <c r="AI39" i="14"/>
  <c r="AJ39" i="14" s="1"/>
  <c r="AG39" i="14"/>
  <c r="AH39" i="14" s="1"/>
  <c r="BC38" i="14"/>
  <c r="BD38" i="14" s="1"/>
  <c r="BA38" i="14"/>
  <c r="BB38" i="14" s="1"/>
  <c r="AY38" i="14"/>
  <c r="AZ38" i="14" s="1"/>
  <c r="AW38" i="14"/>
  <c r="AX38" i="14" s="1"/>
  <c r="AU38" i="14"/>
  <c r="AV38" i="14" s="1"/>
  <c r="AS38" i="14"/>
  <c r="AT38" i="14" s="1"/>
  <c r="AQ38" i="14"/>
  <c r="AR38" i="14" s="1"/>
  <c r="AO38" i="14"/>
  <c r="AP38" i="14" s="1"/>
  <c r="AM38" i="14"/>
  <c r="AN38" i="14" s="1"/>
  <c r="AK38" i="14"/>
  <c r="AL38" i="14" s="1"/>
  <c r="AI38" i="14"/>
  <c r="AJ38" i="14" s="1"/>
  <c r="AG38" i="14"/>
  <c r="AH38" i="14" s="1"/>
  <c r="BC37" i="14"/>
  <c r="BD37" i="14" s="1"/>
  <c r="BA37" i="14"/>
  <c r="BB37" i="14" s="1"/>
  <c r="AY37" i="14"/>
  <c r="AZ37" i="14" s="1"/>
  <c r="AW37" i="14"/>
  <c r="AX37" i="14" s="1"/>
  <c r="AU37" i="14"/>
  <c r="AV37" i="14" s="1"/>
  <c r="AS37" i="14"/>
  <c r="AT37" i="14" s="1"/>
  <c r="AQ37" i="14"/>
  <c r="AR37" i="14" s="1"/>
  <c r="AO37" i="14"/>
  <c r="AP37" i="14" s="1"/>
  <c r="AM37" i="14"/>
  <c r="AN37" i="14" s="1"/>
  <c r="AK37" i="14"/>
  <c r="AL37" i="14" s="1"/>
  <c r="AI37" i="14"/>
  <c r="AJ37" i="14" s="1"/>
  <c r="AG37" i="14"/>
  <c r="AH37" i="14" s="1"/>
  <c r="BC36" i="14"/>
  <c r="BD36" i="14" s="1"/>
  <c r="BA36" i="14"/>
  <c r="BB36" i="14" s="1"/>
  <c r="AY36" i="14"/>
  <c r="AZ36" i="14" s="1"/>
  <c r="AW36" i="14"/>
  <c r="AX36" i="14" s="1"/>
  <c r="AU36" i="14"/>
  <c r="AV36" i="14" s="1"/>
  <c r="AS36" i="14"/>
  <c r="AT36" i="14" s="1"/>
  <c r="AQ36" i="14"/>
  <c r="AR36" i="14" s="1"/>
  <c r="AO36" i="14"/>
  <c r="AP36" i="14" s="1"/>
  <c r="AM36" i="14"/>
  <c r="AN36" i="14" s="1"/>
  <c r="AK36" i="14"/>
  <c r="AL36" i="14" s="1"/>
  <c r="AI36" i="14"/>
  <c r="AJ36" i="14" s="1"/>
  <c r="AG36" i="14"/>
  <c r="AH36" i="14" s="1"/>
  <c r="BC35" i="14"/>
  <c r="BD35" i="14" s="1"/>
  <c r="BA35" i="14"/>
  <c r="BB35" i="14" s="1"/>
  <c r="AY35" i="14"/>
  <c r="AZ35" i="14" s="1"/>
  <c r="AW35" i="14"/>
  <c r="AX35" i="14" s="1"/>
  <c r="AU35" i="14"/>
  <c r="AV35" i="14" s="1"/>
  <c r="AS35" i="14"/>
  <c r="AT35" i="14" s="1"/>
  <c r="AQ35" i="14"/>
  <c r="AR35" i="14" s="1"/>
  <c r="AO35" i="14"/>
  <c r="AP35" i="14" s="1"/>
  <c r="AM35" i="14"/>
  <c r="AN35" i="14" s="1"/>
  <c r="AK35" i="14"/>
  <c r="AL35" i="14" s="1"/>
  <c r="AI35" i="14"/>
  <c r="AJ35" i="14" s="1"/>
  <c r="AG35" i="14"/>
  <c r="AH35" i="14" s="1"/>
  <c r="BC34" i="14"/>
  <c r="BD34" i="14" s="1"/>
  <c r="BA34" i="14"/>
  <c r="BB34" i="14" s="1"/>
  <c r="AY34" i="14"/>
  <c r="AZ34" i="14" s="1"/>
  <c r="AW34" i="14"/>
  <c r="AX34" i="14" s="1"/>
  <c r="AU34" i="14"/>
  <c r="AV34" i="14" s="1"/>
  <c r="AS34" i="14"/>
  <c r="AT34" i="14" s="1"/>
  <c r="AQ34" i="14"/>
  <c r="AR34" i="14" s="1"/>
  <c r="AO34" i="14"/>
  <c r="AP34" i="14" s="1"/>
  <c r="AM34" i="14"/>
  <c r="AN34" i="14" s="1"/>
  <c r="AK34" i="14"/>
  <c r="AL34" i="14" s="1"/>
  <c r="AI34" i="14"/>
  <c r="AJ34" i="14" s="1"/>
  <c r="AG34" i="14"/>
  <c r="AH34" i="14" s="1"/>
  <c r="BC33" i="14"/>
  <c r="BD33" i="14" s="1"/>
  <c r="BA33" i="14"/>
  <c r="BB33" i="14" s="1"/>
  <c r="AY33" i="14"/>
  <c r="AZ33" i="14" s="1"/>
  <c r="AW33" i="14"/>
  <c r="AX33" i="14" s="1"/>
  <c r="AU33" i="14"/>
  <c r="AV33" i="14" s="1"/>
  <c r="AS33" i="14"/>
  <c r="AT33" i="14" s="1"/>
  <c r="AQ33" i="14"/>
  <c r="AR33" i="14" s="1"/>
  <c r="AO33" i="14"/>
  <c r="AP33" i="14" s="1"/>
  <c r="AM33" i="14"/>
  <c r="AN33" i="14" s="1"/>
  <c r="AK33" i="14"/>
  <c r="AL33" i="14" s="1"/>
  <c r="AI33" i="14"/>
  <c r="AJ33" i="14" s="1"/>
  <c r="AG33" i="14"/>
  <c r="AH33" i="14" s="1"/>
  <c r="BC32" i="14"/>
  <c r="BD32" i="14" s="1"/>
  <c r="BA32" i="14"/>
  <c r="BB32" i="14" s="1"/>
  <c r="AY32" i="14"/>
  <c r="AZ32" i="14" s="1"/>
  <c r="AW32" i="14"/>
  <c r="AX32" i="14" s="1"/>
  <c r="AU32" i="14"/>
  <c r="AV32" i="14" s="1"/>
  <c r="AS32" i="14"/>
  <c r="AT32" i="14" s="1"/>
  <c r="AQ32" i="14"/>
  <c r="AR32" i="14" s="1"/>
  <c r="AO32" i="14"/>
  <c r="AP32" i="14" s="1"/>
  <c r="AM32" i="14"/>
  <c r="AN32" i="14" s="1"/>
  <c r="AK32" i="14"/>
  <c r="AL32" i="14" s="1"/>
  <c r="AI32" i="14"/>
  <c r="AJ32" i="14" s="1"/>
  <c r="AG32" i="14"/>
  <c r="AH32" i="14" s="1"/>
  <c r="BC31" i="14"/>
  <c r="BD31" i="14" s="1"/>
  <c r="BA31" i="14"/>
  <c r="BB31" i="14" s="1"/>
  <c r="AY31" i="14"/>
  <c r="AZ31" i="14" s="1"/>
  <c r="AW31" i="14"/>
  <c r="AX31" i="14" s="1"/>
  <c r="AU31" i="14"/>
  <c r="AV31" i="14" s="1"/>
  <c r="AS31" i="14"/>
  <c r="AT31" i="14" s="1"/>
  <c r="AQ31" i="14"/>
  <c r="AR31" i="14" s="1"/>
  <c r="AO31" i="14"/>
  <c r="AP31" i="14" s="1"/>
  <c r="AM31" i="14"/>
  <c r="AN31" i="14" s="1"/>
  <c r="AL31" i="14"/>
  <c r="AK31" i="14"/>
  <c r="AI31" i="14"/>
  <c r="AJ31" i="14" s="1"/>
  <c r="AG31" i="14"/>
  <c r="AH31" i="14" s="1"/>
  <c r="BC30" i="14"/>
  <c r="BD30" i="14" s="1"/>
  <c r="BA30" i="14"/>
  <c r="BB30" i="14" s="1"/>
  <c r="AY30" i="14"/>
  <c r="AZ30" i="14" s="1"/>
  <c r="AW30" i="14"/>
  <c r="AX30" i="14" s="1"/>
  <c r="AU30" i="14"/>
  <c r="AV30" i="14" s="1"/>
  <c r="AS30" i="14"/>
  <c r="AT30" i="14" s="1"/>
  <c r="AQ30" i="14"/>
  <c r="AR30" i="14" s="1"/>
  <c r="AO30" i="14"/>
  <c r="AP30" i="14" s="1"/>
  <c r="AM30" i="14"/>
  <c r="AN30" i="14" s="1"/>
  <c r="AK30" i="14"/>
  <c r="AL30" i="14" s="1"/>
  <c r="AI30" i="14"/>
  <c r="AJ30" i="14" s="1"/>
  <c r="AG30" i="14"/>
  <c r="AH30" i="14" s="1"/>
  <c r="BC29" i="14"/>
  <c r="BD29" i="14" s="1"/>
  <c r="BA29" i="14"/>
  <c r="BB29" i="14" s="1"/>
  <c r="AY29" i="14"/>
  <c r="AZ29" i="14" s="1"/>
  <c r="AX29" i="14"/>
  <c r="AW29" i="14"/>
  <c r="AU29" i="14"/>
  <c r="AV29" i="14" s="1"/>
  <c r="AS29" i="14"/>
  <c r="AT29" i="14" s="1"/>
  <c r="AQ29" i="14"/>
  <c r="AR29" i="14" s="1"/>
  <c r="AO29" i="14"/>
  <c r="AP29" i="14" s="1"/>
  <c r="AM29" i="14"/>
  <c r="AN29" i="14" s="1"/>
  <c r="AK29" i="14"/>
  <c r="AL29" i="14" s="1"/>
  <c r="AI29" i="14"/>
  <c r="AJ29" i="14" s="1"/>
  <c r="AG29" i="14"/>
  <c r="AH29" i="14" s="1"/>
  <c r="BC28" i="14"/>
  <c r="BD28" i="14" s="1"/>
  <c r="BA28" i="14"/>
  <c r="BB28" i="14" s="1"/>
  <c r="AY28" i="14"/>
  <c r="AZ28" i="14" s="1"/>
  <c r="AW28" i="14"/>
  <c r="AX28" i="14" s="1"/>
  <c r="AU28" i="14"/>
  <c r="AV28" i="14" s="1"/>
  <c r="AS28" i="14"/>
  <c r="AT28" i="14" s="1"/>
  <c r="AQ28" i="14"/>
  <c r="AR28" i="14" s="1"/>
  <c r="AO28" i="14"/>
  <c r="AP28" i="14" s="1"/>
  <c r="AM28" i="14"/>
  <c r="AN28" i="14" s="1"/>
  <c r="AK28" i="14"/>
  <c r="AL28" i="14" s="1"/>
  <c r="AI28" i="14"/>
  <c r="AJ28" i="14" s="1"/>
  <c r="AG28" i="14"/>
  <c r="AH28" i="14" s="1"/>
  <c r="BC27" i="14"/>
  <c r="BD27" i="14" s="1"/>
  <c r="BA27" i="14"/>
  <c r="BB27" i="14" s="1"/>
  <c r="AY27" i="14"/>
  <c r="AZ27" i="14" s="1"/>
  <c r="AW27" i="14"/>
  <c r="AX27" i="14" s="1"/>
  <c r="AU27" i="14"/>
  <c r="AV27" i="14" s="1"/>
  <c r="AS27" i="14"/>
  <c r="AT27" i="14" s="1"/>
  <c r="AQ27" i="14"/>
  <c r="AR27" i="14" s="1"/>
  <c r="AO27" i="14"/>
  <c r="AP27" i="14" s="1"/>
  <c r="AM27" i="14"/>
  <c r="AN27" i="14" s="1"/>
  <c r="AK27" i="14"/>
  <c r="AL27" i="14" s="1"/>
  <c r="AJ27" i="14"/>
  <c r="AI27" i="14"/>
  <c r="AG27" i="14"/>
  <c r="AH27" i="14" s="1"/>
  <c r="AC21" i="14"/>
  <c r="AB21" i="14"/>
  <c r="AA21" i="14"/>
  <c r="Z21" i="14"/>
  <c r="Y21" i="14"/>
  <c r="X21" i="14"/>
  <c r="W21" i="14"/>
  <c r="V21" i="14"/>
  <c r="S21" i="14"/>
  <c r="R21" i="14"/>
  <c r="N21" i="14"/>
  <c r="M21" i="14"/>
  <c r="L21" i="14"/>
  <c r="K21" i="14"/>
  <c r="AW21" i="14" s="1"/>
  <c r="AX21" i="14" s="1"/>
  <c r="J21" i="14"/>
  <c r="I21" i="14"/>
  <c r="H21" i="14"/>
  <c r="AQ21" i="14" s="1"/>
  <c r="AR21" i="14" s="1"/>
  <c r="G21" i="14"/>
  <c r="D21" i="14"/>
  <c r="C21" i="14"/>
  <c r="BC20" i="14"/>
  <c r="BD20" i="14" s="1"/>
  <c r="BA20" i="14"/>
  <c r="BB20" i="14" s="1"/>
  <c r="AY20" i="14"/>
  <c r="AZ20" i="14" s="1"/>
  <c r="AW20" i="14"/>
  <c r="AX20" i="14" s="1"/>
  <c r="AU20" i="14"/>
  <c r="AV20" i="14" s="1"/>
  <c r="AS20" i="14"/>
  <c r="AT20" i="14" s="1"/>
  <c r="AQ20" i="14"/>
  <c r="AR20" i="14" s="1"/>
  <c r="AO20" i="14"/>
  <c r="AP20" i="14" s="1"/>
  <c r="AI20" i="14"/>
  <c r="AJ20" i="14" s="1"/>
  <c r="AG20" i="14"/>
  <c r="AH20" i="14" s="1"/>
  <c r="AK20" i="14"/>
  <c r="AL20" i="14" s="1"/>
  <c r="BC19" i="14"/>
  <c r="BD19" i="14" s="1"/>
  <c r="BA19" i="14"/>
  <c r="BB19" i="14" s="1"/>
  <c r="AY19" i="14"/>
  <c r="AZ19" i="14" s="1"/>
  <c r="AW19" i="14"/>
  <c r="AX19" i="14" s="1"/>
  <c r="AU19" i="14"/>
  <c r="AV19" i="14" s="1"/>
  <c r="AS19" i="14"/>
  <c r="AT19" i="14" s="1"/>
  <c r="AQ19" i="14"/>
  <c r="AR19" i="14" s="1"/>
  <c r="AO19" i="14"/>
  <c r="AP19" i="14" s="1"/>
  <c r="AI19" i="14"/>
  <c r="AJ19" i="14" s="1"/>
  <c r="AG19" i="14"/>
  <c r="AH19" i="14" s="1"/>
  <c r="BC18" i="14"/>
  <c r="BD18" i="14" s="1"/>
  <c r="BA18" i="14"/>
  <c r="BB18" i="14" s="1"/>
  <c r="AY18" i="14"/>
  <c r="AZ18" i="14" s="1"/>
  <c r="AW18" i="14"/>
  <c r="AX18" i="14" s="1"/>
  <c r="AV18" i="14"/>
  <c r="AU18" i="14"/>
  <c r="AS18" i="14"/>
  <c r="AT18" i="14" s="1"/>
  <c r="AQ18" i="14"/>
  <c r="AR18" i="14" s="1"/>
  <c r="AO18" i="14"/>
  <c r="AP18" i="14" s="1"/>
  <c r="AK18" i="14"/>
  <c r="AL18" i="14" s="1"/>
  <c r="AI18" i="14"/>
  <c r="AJ18" i="14" s="1"/>
  <c r="AG18" i="14"/>
  <c r="AH18" i="14" s="1"/>
  <c r="BC17" i="14"/>
  <c r="BD17" i="14" s="1"/>
  <c r="BA17" i="14"/>
  <c r="BB17" i="14" s="1"/>
  <c r="AY17" i="14"/>
  <c r="AZ17" i="14" s="1"/>
  <c r="AW17" i="14"/>
  <c r="AX17" i="14" s="1"/>
  <c r="AU17" i="14"/>
  <c r="AV17" i="14" s="1"/>
  <c r="AS17" i="14"/>
  <c r="AT17" i="14" s="1"/>
  <c r="AQ17" i="14"/>
  <c r="AR17" i="14" s="1"/>
  <c r="AO17" i="14"/>
  <c r="AP17" i="14" s="1"/>
  <c r="AI17" i="14"/>
  <c r="AJ17" i="14" s="1"/>
  <c r="AG17" i="14"/>
  <c r="AH17" i="14" s="1"/>
  <c r="F21" i="14"/>
  <c r="AK17" i="14"/>
  <c r="AL17" i="14" s="1"/>
  <c r="AC10" i="14"/>
  <c r="AB10" i="14"/>
  <c r="AA10" i="14"/>
  <c r="Z10" i="14"/>
  <c r="Y10" i="14"/>
  <c r="X10" i="14"/>
  <c r="W10" i="14"/>
  <c r="V10" i="14"/>
  <c r="U10" i="14"/>
  <c r="T10" i="14"/>
  <c r="S10" i="14"/>
  <c r="R10" i="14"/>
  <c r="N10" i="14"/>
  <c r="BC10" i="14" s="1"/>
  <c r="BD10" i="14" s="1"/>
  <c r="M10" i="14"/>
  <c r="L10" i="14"/>
  <c r="K10" i="14"/>
  <c r="J10" i="14"/>
  <c r="I10" i="14"/>
  <c r="H10" i="14"/>
  <c r="AQ10" i="14" s="1"/>
  <c r="AR10" i="14" s="1"/>
  <c r="G10" i="14"/>
  <c r="AO10" i="14" s="1"/>
  <c r="AP10" i="14" s="1"/>
  <c r="F10" i="14"/>
  <c r="AM10" i="14" s="1"/>
  <c r="AN10" i="14" s="1"/>
  <c r="E10" i="14"/>
  <c r="D10" i="14"/>
  <c r="C10" i="14"/>
  <c r="BC9" i="14"/>
  <c r="BD9" i="14" s="1"/>
  <c r="BA9" i="14"/>
  <c r="BB9" i="14" s="1"/>
  <c r="AY9" i="14"/>
  <c r="AZ9" i="14" s="1"/>
  <c r="AW9" i="14"/>
  <c r="AX9" i="14" s="1"/>
  <c r="AU9" i="14"/>
  <c r="AV9" i="14" s="1"/>
  <c r="AS9" i="14"/>
  <c r="AT9" i="14" s="1"/>
  <c r="AQ9" i="14"/>
  <c r="AR9" i="14" s="1"/>
  <c r="AO9" i="14"/>
  <c r="AP9" i="14" s="1"/>
  <c r="AM9" i="14"/>
  <c r="AN9" i="14" s="1"/>
  <c r="AK9" i="14"/>
  <c r="AL9" i="14" s="1"/>
  <c r="AI9" i="14"/>
  <c r="AJ9" i="14" s="1"/>
  <c r="AG9" i="14"/>
  <c r="AH9" i="14" s="1"/>
  <c r="BC8" i="14"/>
  <c r="BD8" i="14" s="1"/>
  <c r="BA8" i="14"/>
  <c r="BB8" i="14" s="1"/>
  <c r="AY8" i="14"/>
  <c r="AZ8" i="14" s="1"/>
  <c r="AW8" i="14"/>
  <c r="AX8" i="14" s="1"/>
  <c r="AU8" i="14"/>
  <c r="AV8" i="14" s="1"/>
  <c r="AS8" i="14"/>
  <c r="AT8" i="14" s="1"/>
  <c r="AQ8" i="14"/>
  <c r="AR8" i="14" s="1"/>
  <c r="AO8" i="14"/>
  <c r="AP8" i="14" s="1"/>
  <c r="AM8" i="14"/>
  <c r="AN8" i="14" s="1"/>
  <c r="AK8" i="14"/>
  <c r="AL8" i="14" s="1"/>
  <c r="AI8" i="14"/>
  <c r="AJ8" i="14" s="1"/>
  <c r="AG8" i="14"/>
  <c r="AH8" i="14" s="1"/>
  <c r="BC7" i="14"/>
  <c r="BD7" i="14" s="1"/>
  <c r="BA7" i="14"/>
  <c r="BB7" i="14" s="1"/>
  <c r="AY7" i="14"/>
  <c r="AZ7" i="14" s="1"/>
  <c r="AW7" i="14"/>
  <c r="AX7" i="14" s="1"/>
  <c r="AU7" i="14"/>
  <c r="AV7" i="14" s="1"/>
  <c r="AS7" i="14"/>
  <c r="AT7" i="14" s="1"/>
  <c r="AQ7" i="14"/>
  <c r="AR7" i="14" s="1"/>
  <c r="AO7" i="14"/>
  <c r="AP7" i="14" s="1"/>
  <c r="AM7" i="14"/>
  <c r="AN7" i="14" s="1"/>
  <c r="AK7" i="14"/>
  <c r="AL7" i="14" s="1"/>
  <c r="AI7" i="14"/>
  <c r="AJ7" i="14" s="1"/>
  <c r="AG7" i="14"/>
  <c r="AH7" i="14" s="1"/>
  <c r="BC6" i="14"/>
  <c r="BD6" i="14" s="1"/>
  <c r="BA6" i="14"/>
  <c r="BB6" i="14" s="1"/>
  <c r="AY6" i="14"/>
  <c r="AZ6" i="14" s="1"/>
  <c r="AW6" i="14"/>
  <c r="AX6" i="14" s="1"/>
  <c r="AU6" i="14"/>
  <c r="AV6" i="14" s="1"/>
  <c r="AS6" i="14"/>
  <c r="AT6" i="14" s="1"/>
  <c r="AQ6" i="14"/>
  <c r="AR6" i="14" s="1"/>
  <c r="AO6" i="14"/>
  <c r="AP6" i="14" s="1"/>
  <c r="AM6" i="14"/>
  <c r="AN6" i="14" s="1"/>
  <c r="AK6" i="14"/>
  <c r="AL6" i="14" s="1"/>
  <c r="AI6" i="14"/>
  <c r="AJ6" i="14" s="1"/>
  <c r="AG6" i="14"/>
  <c r="AH6" i="14" s="1"/>
  <c r="BC5" i="14"/>
  <c r="BD5" i="14" s="1"/>
  <c r="BA5" i="14"/>
  <c r="BB5" i="14" s="1"/>
  <c r="AY5" i="14"/>
  <c r="AZ5" i="14" s="1"/>
  <c r="AW5" i="14"/>
  <c r="AX5" i="14" s="1"/>
  <c r="AU5" i="14"/>
  <c r="AV5" i="14" s="1"/>
  <c r="AS5" i="14"/>
  <c r="AT5" i="14" s="1"/>
  <c r="AQ5" i="14"/>
  <c r="AR5" i="14" s="1"/>
  <c r="AO5" i="14"/>
  <c r="AP5" i="14" s="1"/>
  <c r="AM5" i="14"/>
  <c r="AN5" i="14" s="1"/>
  <c r="AK5" i="14"/>
  <c r="AL5" i="14" s="1"/>
  <c r="AI5" i="14"/>
  <c r="AJ5" i="14" s="1"/>
  <c r="AG5" i="14"/>
  <c r="AH5" i="14" s="1"/>
  <c r="AC61" i="13"/>
  <c r="AB61" i="13"/>
  <c r="AA61" i="13"/>
  <c r="Z61" i="13"/>
  <c r="Y61" i="13"/>
  <c r="X61" i="13"/>
  <c r="AS61" i="13" s="1"/>
  <c r="AT61" i="13" s="1"/>
  <c r="W61" i="13"/>
  <c r="V61" i="13"/>
  <c r="U61" i="13"/>
  <c r="T61" i="13"/>
  <c r="S61" i="13"/>
  <c r="R61" i="13"/>
  <c r="N61" i="13"/>
  <c r="M61" i="13"/>
  <c r="BA61" i="13" s="1"/>
  <c r="BB61" i="13" s="1"/>
  <c r="L61" i="13"/>
  <c r="AY61" i="13" s="1"/>
  <c r="AZ61" i="13" s="1"/>
  <c r="K61" i="13"/>
  <c r="AW61" i="13" s="1"/>
  <c r="AX61" i="13" s="1"/>
  <c r="J61" i="13"/>
  <c r="I61" i="13"/>
  <c r="H61" i="13"/>
  <c r="G61" i="13"/>
  <c r="F61" i="13"/>
  <c r="E61" i="13"/>
  <c r="D61" i="13"/>
  <c r="C61" i="13"/>
  <c r="BC60" i="13"/>
  <c r="BD60" i="13" s="1"/>
  <c r="BA60" i="13"/>
  <c r="BB60" i="13" s="1"/>
  <c r="AY60" i="13"/>
  <c r="AZ60" i="13" s="1"/>
  <c r="AW60" i="13"/>
  <c r="AX60" i="13" s="1"/>
  <c r="AU60" i="13"/>
  <c r="AV60" i="13" s="1"/>
  <c r="AS60" i="13"/>
  <c r="AT60" i="13" s="1"/>
  <c r="AQ60" i="13"/>
  <c r="AR60" i="13" s="1"/>
  <c r="AO60" i="13"/>
  <c r="AP60" i="13" s="1"/>
  <c r="AM60" i="13"/>
  <c r="AN60" i="13" s="1"/>
  <c r="AK60" i="13"/>
  <c r="AL60" i="13" s="1"/>
  <c r="AI60" i="13"/>
  <c r="AJ60" i="13" s="1"/>
  <c r="AG60" i="13"/>
  <c r="AH60" i="13" s="1"/>
  <c r="BC59" i="13"/>
  <c r="BD59" i="13" s="1"/>
  <c r="BA59" i="13"/>
  <c r="BB59" i="13" s="1"/>
  <c r="AY59" i="13"/>
  <c r="AZ59" i="13" s="1"/>
  <c r="AW59" i="13"/>
  <c r="AX59" i="13" s="1"/>
  <c r="AU59" i="13"/>
  <c r="AV59" i="13" s="1"/>
  <c r="AS59" i="13"/>
  <c r="AT59" i="13" s="1"/>
  <c r="AQ59" i="13"/>
  <c r="AR59" i="13" s="1"/>
  <c r="AO59" i="13"/>
  <c r="AP59" i="13" s="1"/>
  <c r="AM59" i="13"/>
  <c r="AN59" i="13" s="1"/>
  <c r="AK59" i="13"/>
  <c r="AL59" i="13" s="1"/>
  <c r="AI59" i="13"/>
  <c r="AJ59" i="13" s="1"/>
  <c r="AG59" i="13"/>
  <c r="AH59" i="13" s="1"/>
  <c r="BC58" i="13"/>
  <c r="BD58" i="13" s="1"/>
  <c r="BA58" i="13"/>
  <c r="BB58" i="13" s="1"/>
  <c r="AY58" i="13"/>
  <c r="AZ58" i="13" s="1"/>
  <c r="AW58" i="13"/>
  <c r="AX58" i="13" s="1"/>
  <c r="AU58" i="13"/>
  <c r="AV58" i="13" s="1"/>
  <c r="AS58" i="13"/>
  <c r="AT58" i="13" s="1"/>
  <c r="AQ58" i="13"/>
  <c r="AR58" i="13" s="1"/>
  <c r="AO58" i="13"/>
  <c r="AP58" i="13" s="1"/>
  <c r="AM58" i="13"/>
  <c r="AN58" i="13" s="1"/>
  <c r="AK58" i="13"/>
  <c r="AL58" i="13" s="1"/>
  <c r="AI58" i="13"/>
  <c r="AJ58" i="13" s="1"/>
  <c r="AG58" i="13"/>
  <c r="AH58" i="13" s="1"/>
  <c r="BC57" i="13"/>
  <c r="BD57" i="13" s="1"/>
  <c r="BA57" i="13"/>
  <c r="BB57" i="13" s="1"/>
  <c r="AY57" i="13"/>
  <c r="AZ57" i="13" s="1"/>
  <c r="AW57" i="13"/>
  <c r="AX57" i="13" s="1"/>
  <c r="AU57" i="13"/>
  <c r="AV57" i="13" s="1"/>
  <c r="AS57" i="13"/>
  <c r="AT57" i="13" s="1"/>
  <c r="AQ57" i="13"/>
  <c r="AR57" i="13" s="1"/>
  <c r="AO57" i="13"/>
  <c r="AP57" i="13" s="1"/>
  <c r="AM57" i="13"/>
  <c r="AN57" i="13" s="1"/>
  <c r="AK57" i="13"/>
  <c r="AL57" i="13" s="1"/>
  <c r="AI57" i="13"/>
  <c r="AJ57" i="13" s="1"/>
  <c r="AG57" i="13"/>
  <c r="AH57" i="13" s="1"/>
  <c r="BC56" i="13"/>
  <c r="BD56" i="13" s="1"/>
  <c r="BA56" i="13"/>
  <c r="BB56" i="13" s="1"/>
  <c r="AY56" i="13"/>
  <c r="AZ56" i="13" s="1"/>
  <c r="AW56" i="13"/>
  <c r="AX56" i="13" s="1"/>
  <c r="AU56" i="13"/>
  <c r="AV56" i="13" s="1"/>
  <c r="AS56" i="13"/>
  <c r="AT56" i="13" s="1"/>
  <c r="AQ56" i="13"/>
  <c r="AR56" i="13" s="1"/>
  <c r="AO56" i="13"/>
  <c r="AP56" i="13" s="1"/>
  <c r="AM56" i="13"/>
  <c r="AN56" i="13" s="1"/>
  <c r="AK56" i="13"/>
  <c r="AL56" i="13" s="1"/>
  <c r="AI56" i="13"/>
  <c r="AJ56" i="13" s="1"/>
  <c r="AG56" i="13"/>
  <c r="AH56" i="13" s="1"/>
  <c r="BC55" i="13"/>
  <c r="BD55" i="13" s="1"/>
  <c r="BA55" i="13"/>
  <c r="BB55" i="13" s="1"/>
  <c r="AY55" i="13"/>
  <c r="AZ55" i="13" s="1"/>
  <c r="AW55" i="13"/>
  <c r="AX55" i="13" s="1"/>
  <c r="AU55" i="13"/>
  <c r="AV55" i="13" s="1"/>
  <c r="AS55" i="13"/>
  <c r="AT55" i="13" s="1"/>
  <c r="AQ55" i="13"/>
  <c r="AR55" i="13" s="1"/>
  <c r="AO55" i="13"/>
  <c r="AP55" i="13" s="1"/>
  <c r="AM55" i="13"/>
  <c r="AN55" i="13" s="1"/>
  <c r="AK55" i="13"/>
  <c r="AL55" i="13" s="1"/>
  <c r="AI55" i="13"/>
  <c r="AJ55" i="13" s="1"/>
  <c r="AG55" i="13"/>
  <c r="AH55" i="13" s="1"/>
  <c r="BC54" i="13"/>
  <c r="BD54" i="13" s="1"/>
  <c r="BA54" i="13"/>
  <c r="BB54" i="13" s="1"/>
  <c r="AY54" i="13"/>
  <c r="AZ54" i="13" s="1"/>
  <c r="AW54" i="13"/>
  <c r="AX54" i="13" s="1"/>
  <c r="AU54" i="13"/>
  <c r="AV54" i="13" s="1"/>
  <c r="AS54" i="13"/>
  <c r="AT54" i="13" s="1"/>
  <c r="AQ54" i="13"/>
  <c r="AR54" i="13" s="1"/>
  <c r="AO54" i="13"/>
  <c r="AP54" i="13" s="1"/>
  <c r="AM54" i="13"/>
  <c r="AN54" i="13" s="1"/>
  <c r="AK54" i="13"/>
  <c r="AL54" i="13" s="1"/>
  <c r="AI54" i="13"/>
  <c r="AJ54" i="13" s="1"/>
  <c r="AG54" i="13"/>
  <c r="AH54" i="13" s="1"/>
  <c r="BC53" i="13"/>
  <c r="BD53" i="13" s="1"/>
  <c r="BA53" i="13"/>
  <c r="BB53" i="13" s="1"/>
  <c r="AY53" i="13"/>
  <c r="AZ53" i="13" s="1"/>
  <c r="AW53" i="13"/>
  <c r="AX53" i="13" s="1"/>
  <c r="AU53" i="13"/>
  <c r="AV53" i="13" s="1"/>
  <c r="AS53" i="13"/>
  <c r="AT53" i="13" s="1"/>
  <c r="AQ53" i="13"/>
  <c r="AR53" i="13" s="1"/>
  <c r="AO53" i="13"/>
  <c r="AP53" i="13" s="1"/>
  <c r="AM53" i="13"/>
  <c r="AN53" i="13" s="1"/>
  <c r="AK53" i="13"/>
  <c r="AL53" i="13" s="1"/>
  <c r="AI53" i="13"/>
  <c r="AJ53" i="13" s="1"/>
  <c r="AG53" i="13"/>
  <c r="AH53" i="13" s="1"/>
  <c r="BC52" i="13"/>
  <c r="BD52" i="13" s="1"/>
  <c r="BA52" i="13"/>
  <c r="BB52" i="13" s="1"/>
  <c r="AY52" i="13"/>
  <c r="AZ52" i="13" s="1"/>
  <c r="AW52" i="13"/>
  <c r="AX52" i="13" s="1"/>
  <c r="AU52" i="13"/>
  <c r="AV52" i="13" s="1"/>
  <c r="AS52" i="13"/>
  <c r="AT52" i="13" s="1"/>
  <c r="AQ52" i="13"/>
  <c r="AR52" i="13" s="1"/>
  <c r="AO52" i="13"/>
  <c r="AP52" i="13" s="1"/>
  <c r="AM52" i="13"/>
  <c r="AN52" i="13" s="1"/>
  <c r="AK52" i="13"/>
  <c r="AL52" i="13" s="1"/>
  <c r="AI52" i="13"/>
  <c r="AJ52" i="13" s="1"/>
  <c r="AG52" i="13"/>
  <c r="AH52" i="13" s="1"/>
  <c r="BC51" i="13"/>
  <c r="BD51" i="13" s="1"/>
  <c r="BA51" i="13"/>
  <c r="BB51" i="13" s="1"/>
  <c r="AY51" i="13"/>
  <c r="AZ51" i="13" s="1"/>
  <c r="AW51" i="13"/>
  <c r="AX51" i="13" s="1"/>
  <c r="AU51" i="13"/>
  <c r="AV51" i="13" s="1"/>
  <c r="AS51" i="13"/>
  <c r="AT51" i="13" s="1"/>
  <c r="AQ51" i="13"/>
  <c r="AR51" i="13" s="1"/>
  <c r="AO51" i="13"/>
  <c r="AP51" i="13" s="1"/>
  <c r="AM51" i="13"/>
  <c r="AN51" i="13" s="1"/>
  <c r="AK51" i="13"/>
  <c r="AL51" i="13" s="1"/>
  <c r="AI51" i="13"/>
  <c r="AJ51" i="13" s="1"/>
  <c r="AG51" i="13"/>
  <c r="AH51" i="13" s="1"/>
  <c r="BC50" i="13"/>
  <c r="BD50" i="13" s="1"/>
  <c r="BA50" i="13"/>
  <c r="BB50" i="13" s="1"/>
  <c r="AY50" i="13"/>
  <c r="AZ50" i="13" s="1"/>
  <c r="AW50" i="13"/>
  <c r="AX50" i="13" s="1"/>
  <c r="AU50" i="13"/>
  <c r="AV50" i="13" s="1"/>
  <c r="AS50" i="13"/>
  <c r="AT50" i="13" s="1"/>
  <c r="AQ50" i="13"/>
  <c r="AR50" i="13" s="1"/>
  <c r="AO50" i="13"/>
  <c r="AP50" i="13" s="1"/>
  <c r="AM50" i="13"/>
  <c r="AN50" i="13" s="1"/>
  <c r="AK50" i="13"/>
  <c r="AL50" i="13" s="1"/>
  <c r="AI50" i="13"/>
  <c r="AJ50" i="13" s="1"/>
  <c r="AG50" i="13"/>
  <c r="AH50" i="13" s="1"/>
  <c r="BC49" i="13"/>
  <c r="BD49" i="13" s="1"/>
  <c r="BA49" i="13"/>
  <c r="BB49" i="13" s="1"/>
  <c r="AY49" i="13"/>
  <c r="AZ49" i="13" s="1"/>
  <c r="AW49" i="13"/>
  <c r="AX49" i="13" s="1"/>
  <c r="AU49" i="13"/>
  <c r="AV49" i="13" s="1"/>
  <c r="AS49" i="13"/>
  <c r="AT49" i="13" s="1"/>
  <c r="AQ49" i="13"/>
  <c r="AR49" i="13" s="1"/>
  <c r="AO49" i="13"/>
  <c r="AP49" i="13" s="1"/>
  <c r="AM49" i="13"/>
  <c r="AN49" i="13" s="1"/>
  <c r="AK49" i="13"/>
  <c r="AL49" i="13" s="1"/>
  <c r="AI49" i="13"/>
  <c r="AJ49" i="13" s="1"/>
  <c r="AG49" i="13"/>
  <c r="AH49" i="13" s="1"/>
  <c r="BC48" i="13"/>
  <c r="BD48" i="13" s="1"/>
  <c r="BA48" i="13"/>
  <c r="BB48" i="13" s="1"/>
  <c r="AY48" i="13"/>
  <c r="AZ48" i="13" s="1"/>
  <c r="AW48" i="13"/>
  <c r="AX48" i="13" s="1"/>
  <c r="AU48" i="13"/>
  <c r="AV48" i="13" s="1"/>
  <c r="AS48" i="13"/>
  <c r="AT48" i="13" s="1"/>
  <c r="AQ48" i="13"/>
  <c r="AR48" i="13" s="1"/>
  <c r="AO48" i="13"/>
  <c r="AP48" i="13" s="1"/>
  <c r="AM48" i="13"/>
  <c r="AN48" i="13" s="1"/>
  <c r="AK48" i="13"/>
  <c r="AL48" i="13" s="1"/>
  <c r="AI48" i="13"/>
  <c r="AJ48" i="13" s="1"/>
  <c r="AG48" i="13"/>
  <c r="AH48" i="13" s="1"/>
  <c r="BC47" i="13"/>
  <c r="BD47" i="13" s="1"/>
  <c r="BA47" i="13"/>
  <c r="BB47" i="13" s="1"/>
  <c r="AY47" i="13"/>
  <c r="AZ47" i="13" s="1"/>
  <c r="AW47" i="13"/>
  <c r="AX47" i="13" s="1"/>
  <c r="AU47" i="13"/>
  <c r="AV47" i="13" s="1"/>
  <c r="AS47" i="13"/>
  <c r="AT47" i="13" s="1"/>
  <c r="AQ47" i="13"/>
  <c r="AR47" i="13" s="1"/>
  <c r="AO47" i="13"/>
  <c r="AP47" i="13" s="1"/>
  <c r="AM47" i="13"/>
  <c r="AN47" i="13" s="1"/>
  <c r="AK47" i="13"/>
  <c r="AL47" i="13" s="1"/>
  <c r="AI47" i="13"/>
  <c r="AJ47" i="13" s="1"/>
  <c r="AG47" i="13"/>
  <c r="AH47" i="13" s="1"/>
  <c r="AC41" i="13"/>
  <c r="AB41" i="13"/>
  <c r="AA41" i="13"/>
  <c r="Z41" i="13"/>
  <c r="Y41" i="13"/>
  <c r="X41" i="13"/>
  <c r="W41" i="13"/>
  <c r="V41" i="13"/>
  <c r="U41" i="13"/>
  <c r="T41" i="13"/>
  <c r="S41" i="13"/>
  <c r="R41" i="13"/>
  <c r="N41" i="13"/>
  <c r="M41" i="13"/>
  <c r="BA41" i="13" s="1"/>
  <c r="BB41" i="13" s="1"/>
  <c r="L41" i="13"/>
  <c r="K41" i="13"/>
  <c r="J41" i="13"/>
  <c r="I41" i="13"/>
  <c r="H41" i="13"/>
  <c r="G41" i="13"/>
  <c r="F41" i="13"/>
  <c r="E41" i="13"/>
  <c r="D41" i="13"/>
  <c r="C41" i="13"/>
  <c r="BC40" i="13"/>
  <c r="BD40" i="13" s="1"/>
  <c r="BA40" i="13"/>
  <c r="BB40" i="13" s="1"/>
  <c r="AY40" i="13"/>
  <c r="AZ40" i="13" s="1"/>
  <c r="AW40" i="13"/>
  <c r="AX40" i="13" s="1"/>
  <c r="AU40" i="13"/>
  <c r="AV40" i="13" s="1"/>
  <c r="AS40" i="13"/>
  <c r="AT40" i="13" s="1"/>
  <c r="AQ40" i="13"/>
  <c r="AR40" i="13" s="1"/>
  <c r="AO40" i="13"/>
  <c r="AP40" i="13" s="1"/>
  <c r="AM40" i="13"/>
  <c r="AN40" i="13" s="1"/>
  <c r="AK40" i="13"/>
  <c r="AL40" i="13" s="1"/>
  <c r="AI40" i="13"/>
  <c r="AJ40" i="13" s="1"/>
  <c r="AG40" i="13"/>
  <c r="AH40" i="13" s="1"/>
  <c r="BC39" i="13"/>
  <c r="BD39" i="13" s="1"/>
  <c r="BA39" i="13"/>
  <c r="BB39" i="13" s="1"/>
  <c r="AY39" i="13"/>
  <c r="AZ39" i="13" s="1"/>
  <c r="AW39" i="13"/>
  <c r="AX39" i="13" s="1"/>
  <c r="AU39" i="13"/>
  <c r="AV39" i="13" s="1"/>
  <c r="AS39" i="13"/>
  <c r="AT39" i="13" s="1"/>
  <c r="AQ39" i="13"/>
  <c r="AR39" i="13" s="1"/>
  <c r="AO39" i="13"/>
  <c r="AP39" i="13" s="1"/>
  <c r="AM39" i="13"/>
  <c r="AN39" i="13" s="1"/>
  <c r="AK39" i="13"/>
  <c r="AL39" i="13" s="1"/>
  <c r="AI39" i="13"/>
  <c r="AJ39" i="13" s="1"/>
  <c r="AG39" i="13"/>
  <c r="AH39" i="13" s="1"/>
  <c r="BC38" i="13"/>
  <c r="BD38" i="13" s="1"/>
  <c r="BA38" i="13"/>
  <c r="BB38" i="13" s="1"/>
  <c r="AY38" i="13"/>
  <c r="AZ38" i="13" s="1"/>
  <c r="AW38" i="13"/>
  <c r="AX38" i="13" s="1"/>
  <c r="AU38" i="13"/>
  <c r="AV38" i="13" s="1"/>
  <c r="AS38" i="13"/>
  <c r="AT38" i="13" s="1"/>
  <c r="AQ38" i="13"/>
  <c r="AR38" i="13" s="1"/>
  <c r="AO38" i="13"/>
  <c r="AP38" i="13" s="1"/>
  <c r="AM38" i="13"/>
  <c r="AN38" i="13" s="1"/>
  <c r="AK38" i="13"/>
  <c r="AL38" i="13" s="1"/>
  <c r="AI38" i="13"/>
  <c r="AJ38" i="13" s="1"/>
  <c r="AG38" i="13"/>
  <c r="AH38" i="13" s="1"/>
  <c r="BC37" i="13"/>
  <c r="BD37" i="13" s="1"/>
  <c r="BA37" i="13"/>
  <c r="BB37" i="13" s="1"/>
  <c r="AY37" i="13"/>
  <c r="AZ37" i="13" s="1"/>
  <c r="AW37" i="13"/>
  <c r="AX37" i="13" s="1"/>
  <c r="AU37" i="13"/>
  <c r="AV37" i="13" s="1"/>
  <c r="AS37" i="13"/>
  <c r="AT37" i="13" s="1"/>
  <c r="AQ37" i="13"/>
  <c r="AR37" i="13" s="1"/>
  <c r="AO37" i="13"/>
  <c r="AP37" i="13" s="1"/>
  <c r="AM37" i="13"/>
  <c r="AN37" i="13" s="1"/>
  <c r="AK37" i="13"/>
  <c r="AL37" i="13" s="1"/>
  <c r="AI37" i="13"/>
  <c r="AJ37" i="13" s="1"/>
  <c r="AG37" i="13"/>
  <c r="AH37" i="13" s="1"/>
  <c r="BC36" i="13"/>
  <c r="BD36" i="13" s="1"/>
  <c r="BA36" i="13"/>
  <c r="BB36" i="13" s="1"/>
  <c r="AY36" i="13"/>
  <c r="AZ36" i="13" s="1"/>
  <c r="AW36" i="13"/>
  <c r="AX36" i="13" s="1"/>
  <c r="AU36" i="13"/>
  <c r="AV36" i="13" s="1"/>
  <c r="AS36" i="13"/>
  <c r="AT36" i="13" s="1"/>
  <c r="AQ36" i="13"/>
  <c r="AR36" i="13" s="1"/>
  <c r="AO36" i="13"/>
  <c r="AP36" i="13" s="1"/>
  <c r="AM36" i="13"/>
  <c r="AN36" i="13" s="1"/>
  <c r="AK36" i="13"/>
  <c r="AL36" i="13" s="1"/>
  <c r="AI36" i="13"/>
  <c r="AJ36" i="13" s="1"/>
  <c r="AG36" i="13"/>
  <c r="AH36" i="13" s="1"/>
  <c r="BC35" i="13"/>
  <c r="BD35" i="13" s="1"/>
  <c r="BA35" i="13"/>
  <c r="BB35" i="13" s="1"/>
  <c r="AY35" i="13"/>
  <c r="AZ35" i="13" s="1"/>
  <c r="AW35" i="13"/>
  <c r="AX35" i="13" s="1"/>
  <c r="AU35" i="13"/>
  <c r="AV35" i="13" s="1"/>
  <c r="AS35" i="13"/>
  <c r="AT35" i="13" s="1"/>
  <c r="AQ35" i="13"/>
  <c r="AR35" i="13" s="1"/>
  <c r="AO35" i="13"/>
  <c r="AP35" i="13" s="1"/>
  <c r="AM35" i="13"/>
  <c r="AN35" i="13" s="1"/>
  <c r="AK35" i="13"/>
  <c r="AL35" i="13" s="1"/>
  <c r="AI35" i="13"/>
  <c r="AJ35" i="13" s="1"/>
  <c r="AG35" i="13"/>
  <c r="AH35" i="13" s="1"/>
  <c r="BC34" i="13"/>
  <c r="BD34" i="13" s="1"/>
  <c r="BA34" i="13"/>
  <c r="BB34" i="13" s="1"/>
  <c r="AY34" i="13"/>
  <c r="AZ34" i="13" s="1"/>
  <c r="AW34" i="13"/>
  <c r="AX34" i="13" s="1"/>
  <c r="AU34" i="13"/>
  <c r="AV34" i="13" s="1"/>
  <c r="AS34" i="13"/>
  <c r="AT34" i="13" s="1"/>
  <c r="AQ34" i="13"/>
  <c r="AR34" i="13" s="1"/>
  <c r="AO34" i="13"/>
  <c r="AP34" i="13" s="1"/>
  <c r="AM34" i="13"/>
  <c r="AN34" i="13" s="1"/>
  <c r="AK34" i="13"/>
  <c r="AL34" i="13" s="1"/>
  <c r="AI34" i="13"/>
  <c r="AJ34" i="13" s="1"/>
  <c r="AG34" i="13"/>
  <c r="AH34" i="13" s="1"/>
  <c r="BC33" i="13"/>
  <c r="BD33" i="13" s="1"/>
  <c r="BA33" i="13"/>
  <c r="BB33" i="13" s="1"/>
  <c r="AY33" i="13"/>
  <c r="AZ33" i="13" s="1"/>
  <c r="AW33" i="13"/>
  <c r="AX33" i="13" s="1"/>
  <c r="AU33" i="13"/>
  <c r="AV33" i="13" s="1"/>
  <c r="AS33" i="13"/>
  <c r="AT33" i="13" s="1"/>
  <c r="AQ33" i="13"/>
  <c r="AR33" i="13" s="1"/>
  <c r="AO33" i="13"/>
  <c r="AP33" i="13" s="1"/>
  <c r="AM33" i="13"/>
  <c r="AN33" i="13" s="1"/>
  <c r="AK33" i="13"/>
  <c r="AL33" i="13" s="1"/>
  <c r="AI33" i="13"/>
  <c r="AJ33" i="13" s="1"/>
  <c r="AG33" i="13"/>
  <c r="AH33" i="13" s="1"/>
  <c r="BC32" i="13"/>
  <c r="BD32" i="13" s="1"/>
  <c r="BA32" i="13"/>
  <c r="BB32" i="13" s="1"/>
  <c r="AY32" i="13"/>
  <c r="AZ32" i="13" s="1"/>
  <c r="AW32" i="13"/>
  <c r="AX32" i="13" s="1"/>
  <c r="AU32" i="13"/>
  <c r="AV32" i="13" s="1"/>
  <c r="AS32" i="13"/>
  <c r="AT32" i="13" s="1"/>
  <c r="AQ32" i="13"/>
  <c r="AR32" i="13" s="1"/>
  <c r="AO32" i="13"/>
  <c r="AP32" i="13" s="1"/>
  <c r="AM32" i="13"/>
  <c r="AN32" i="13" s="1"/>
  <c r="AK32" i="13"/>
  <c r="AL32" i="13" s="1"/>
  <c r="AI32" i="13"/>
  <c r="AJ32" i="13" s="1"/>
  <c r="AG32" i="13"/>
  <c r="AH32" i="13" s="1"/>
  <c r="BC31" i="13"/>
  <c r="BD31" i="13" s="1"/>
  <c r="BA31" i="13"/>
  <c r="BB31" i="13" s="1"/>
  <c r="AY31" i="13"/>
  <c r="AZ31" i="13" s="1"/>
  <c r="AW31" i="13"/>
  <c r="AX31" i="13" s="1"/>
  <c r="AU31" i="13"/>
  <c r="AV31" i="13" s="1"/>
  <c r="AS31" i="13"/>
  <c r="AT31" i="13" s="1"/>
  <c r="AQ31" i="13"/>
  <c r="AR31" i="13" s="1"/>
  <c r="AO31" i="13"/>
  <c r="AP31" i="13" s="1"/>
  <c r="AM31" i="13"/>
  <c r="AN31" i="13" s="1"/>
  <c r="AK31" i="13"/>
  <c r="AL31" i="13" s="1"/>
  <c r="AI31" i="13"/>
  <c r="AJ31" i="13" s="1"/>
  <c r="AG31" i="13"/>
  <c r="AH31" i="13" s="1"/>
  <c r="BC30" i="13"/>
  <c r="BD30" i="13" s="1"/>
  <c r="BA30" i="13"/>
  <c r="BB30" i="13" s="1"/>
  <c r="AY30" i="13"/>
  <c r="AZ30" i="13" s="1"/>
  <c r="AW30" i="13"/>
  <c r="AX30" i="13" s="1"/>
  <c r="AU30" i="13"/>
  <c r="AV30" i="13" s="1"/>
  <c r="AS30" i="13"/>
  <c r="AT30" i="13" s="1"/>
  <c r="AQ30" i="13"/>
  <c r="AR30" i="13" s="1"/>
  <c r="AO30" i="13"/>
  <c r="AP30" i="13" s="1"/>
  <c r="AM30" i="13"/>
  <c r="AN30" i="13" s="1"/>
  <c r="AK30" i="13"/>
  <c r="AL30" i="13" s="1"/>
  <c r="AI30" i="13"/>
  <c r="AJ30" i="13" s="1"/>
  <c r="AG30" i="13"/>
  <c r="AH30" i="13" s="1"/>
  <c r="BC29" i="13"/>
  <c r="BD29" i="13" s="1"/>
  <c r="BA29" i="13"/>
  <c r="BB29" i="13" s="1"/>
  <c r="AY29" i="13"/>
  <c r="AZ29" i="13" s="1"/>
  <c r="AW29" i="13"/>
  <c r="AX29" i="13" s="1"/>
  <c r="AU29" i="13"/>
  <c r="AV29" i="13" s="1"/>
  <c r="AS29" i="13"/>
  <c r="AT29" i="13" s="1"/>
  <c r="AQ29" i="13"/>
  <c r="AR29" i="13" s="1"/>
  <c r="AO29" i="13"/>
  <c r="AP29" i="13" s="1"/>
  <c r="AM29" i="13"/>
  <c r="AN29" i="13" s="1"/>
  <c r="AK29" i="13"/>
  <c r="AL29" i="13" s="1"/>
  <c r="AI29" i="13"/>
  <c r="AJ29" i="13" s="1"/>
  <c r="AG29" i="13"/>
  <c r="AH29" i="13" s="1"/>
  <c r="BC28" i="13"/>
  <c r="BD28" i="13" s="1"/>
  <c r="BA28" i="13"/>
  <c r="BB28" i="13" s="1"/>
  <c r="AY28" i="13"/>
  <c r="AZ28" i="13" s="1"/>
  <c r="AW28" i="13"/>
  <c r="AX28" i="13" s="1"/>
  <c r="AU28" i="13"/>
  <c r="AV28" i="13" s="1"/>
  <c r="AS28" i="13"/>
  <c r="AT28" i="13" s="1"/>
  <c r="AQ28" i="13"/>
  <c r="AR28" i="13" s="1"/>
  <c r="AO28" i="13"/>
  <c r="AP28" i="13" s="1"/>
  <c r="AM28" i="13"/>
  <c r="AN28" i="13" s="1"/>
  <c r="AK28" i="13"/>
  <c r="AL28" i="13" s="1"/>
  <c r="AI28" i="13"/>
  <c r="AJ28" i="13" s="1"/>
  <c r="AG28" i="13"/>
  <c r="AH28" i="13" s="1"/>
  <c r="BC27" i="13"/>
  <c r="BD27" i="13" s="1"/>
  <c r="BA27" i="13"/>
  <c r="BB27" i="13" s="1"/>
  <c r="AY27" i="13"/>
  <c r="AZ27" i="13" s="1"/>
  <c r="AW27" i="13"/>
  <c r="AX27" i="13" s="1"/>
  <c r="AU27" i="13"/>
  <c r="AV27" i="13" s="1"/>
  <c r="AS27" i="13"/>
  <c r="AT27" i="13" s="1"/>
  <c r="AQ27" i="13"/>
  <c r="AR27" i="13" s="1"/>
  <c r="AO27" i="13"/>
  <c r="AP27" i="13" s="1"/>
  <c r="AM27" i="13"/>
  <c r="AN27" i="13" s="1"/>
  <c r="AK27" i="13"/>
  <c r="AL27" i="13" s="1"/>
  <c r="AI27" i="13"/>
  <c r="AJ27" i="13" s="1"/>
  <c r="AG27" i="13"/>
  <c r="AH27" i="13" s="1"/>
  <c r="AC21" i="13"/>
  <c r="AB21" i="13"/>
  <c r="AA21" i="13"/>
  <c r="Z21" i="13"/>
  <c r="AW21" i="13" s="1"/>
  <c r="AX21" i="13" s="1"/>
  <c r="Y21" i="13"/>
  <c r="X21" i="13"/>
  <c r="W21" i="13"/>
  <c r="V21" i="13"/>
  <c r="S21" i="13"/>
  <c r="R21" i="13"/>
  <c r="N21" i="13"/>
  <c r="M21" i="13"/>
  <c r="L21" i="13"/>
  <c r="K21" i="13"/>
  <c r="J21" i="13"/>
  <c r="I21" i="13"/>
  <c r="AS21" i="13" s="1"/>
  <c r="AT21" i="13" s="1"/>
  <c r="H21" i="13"/>
  <c r="G21" i="13"/>
  <c r="D21" i="13"/>
  <c r="C21" i="13"/>
  <c r="BD20" i="13"/>
  <c r="BC20" i="13"/>
  <c r="BA20" i="13"/>
  <c r="BB20" i="13" s="1"/>
  <c r="AY20" i="13"/>
  <c r="AZ20" i="13" s="1"/>
  <c r="AW20" i="13"/>
  <c r="AX20" i="13" s="1"/>
  <c r="AV20" i="13"/>
  <c r="AU20" i="13"/>
  <c r="AS20" i="13"/>
  <c r="AT20" i="13" s="1"/>
  <c r="AQ20" i="13"/>
  <c r="AR20" i="13" s="1"/>
  <c r="AO20" i="13"/>
  <c r="AP20" i="13" s="1"/>
  <c r="AI20" i="13"/>
  <c r="AJ20" i="13" s="1"/>
  <c r="AG20" i="13"/>
  <c r="AH20" i="13" s="1"/>
  <c r="AK20" i="13"/>
  <c r="AL20" i="13" s="1"/>
  <c r="BC19" i="13"/>
  <c r="BD19" i="13" s="1"/>
  <c r="BA19" i="13"/>
  <c r="BB19" i="13" s="1"/>
  <c r="AY19" i="13"/>
  <c r="AZ19" i="13" s="1"/>
  <c r="AW19" i="13"/>
  <c r="AX19" i="13" s="1"/>
  <c r="AU19" i="13"/>
  <c r="AV19" i="13" s="1"/>
  <c r="AS19" i="13"/>
  <c r="AT19" i="13" s="1"/>
  <c r="AQ19" i="13"/>
  <c r="AR19" i="13" s="1"/>
  <c r="AO19" i="13"/>
  <c r="AP19" i="13" s="1"/>
  <c r="AI19" i="13"/>
  <c r="AJ19" i="13" s="1"/>
  <c r="AG19" i="13"/>
  <c r="AH19" i="13" s="1"/>
  <c r="BC18" i="13"/>
  <c r="BD18" i="13" s="1"/>
  <c r="BA18" i="13"/>
  <c r="BB18" i="13" s="1"/>
  <c r="AY18" i="13"/>
  <c r="AZ18" i="13" s="1"/>
  <c r="AW18" i="13"/>
  <c r="AX18" i="13" s="1"/>
  <c r="AU18" i="13"/>
  <c r="AV18" i="13" s="1"/>
  <c r="AS18" i="13"/>
  <c r="AT18" i="13" s="1"/>
  <c r="AQ18" i="13"/>
  <c r="AR18" i="13" s="1"/>
  <c r="AO18" i="13"/>
  <c r="AP18" i="13" s="1"/>
  <c r="AI18" i="13"/>
  <c r="AJ18" i="13" s="1"/>
  <c r="AG18" i="13"/>
  <c r="AH18" i="13" s="1"/>
  <c r="AK18" i="13"/>
  <c r="AL18" i="13" s="1"/>
  <c r="BC17" i="13"/>
  <c r="BD17" i="13" s="1"/>
  <c r="BA17" i="13"/>
  <c r="BB17" i="13" s="1"/>
  <c r="AY17" i="13"/>
  <c r="AZ17" i="13" s="1"/>
  <c r="AW17" i="13"/>
  <c r="AX17" i="13" s="1"/>
  <c r="AU17" i="13"/>
  <c r="AV17" i="13" s="1"/>
  <c r="AS17" i="13"/>
  <c r="AT17" i="13" s="1"/>
  <c r="AQ17" i="13"/>
  <c r="AR17" i="13" s="1"/>
  <c r="AO17" i="13"/>
  <c r="AP17" i="13" s="1"/>
  <c r="AK17" i="13"/>
  <c r="AL17" i="13" s="1"/>
  <c r="AI17" i="13"/>
  <c r="AJ17" i="13" s="1"/>
  <c r="AG17" i="13"/>
  <c r="AH17" i="13" s="1"/>
  <c r="T21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N10" i="13"/>
  <c r="M10" i="13"/>
  <c r="L10" i="13"/>
  <c r="K10" i="13"/>
  <c r="AW10" i="13" s="1"/>
  <c r="AX10" i="13" s="1"/>
  <c r="J10" i="13"/>
  <c r="I10" i="13"/>
  <c r="H10" i="13"/>
  <c r="G10" i="13"/>
  <c r="F10" i="13"/>
  <c r="E10" i="13"/>
  <c r="D10" i="13"/>
  <c r="C10" i="13"/>
  <c r="BC9" i="13"/>
  <c r="BD9" i="13" s="1"/>
  <c r="BA9" i="13"/>
  <c r="BB9" i="13" s="1"/>
  <c r="AY9" i="13"/>
  <c r="AZ9" i="13" s="1"/>
  <c r="AW9" i="13"/>
  <c r="AX9" i="13" s="1"/>
  <c r="AU9" i="13"/>
  <c r="AV9" i="13" s="1"/>
  <c r="AS9" i="13"/>
  <c r="AT9" i="13" s="1"/>
  <c r="AQ9" i="13"/>
  <c r="AR9" i="13" s="1"/>
  <c r="AO9" i="13"/>
  <c r="AP9" i="13" s="1"/>
  <c r="AM9" i="13"/>
  <c r="AN9" i="13" s="1"/>
  <c r="AK9" i="13"/>
  <c r="AL9" i="13" s="1"/>
  <c r="AI9" i="13"/>
  <c r="AJ9" i="13" s="1"/>
  <c r="AG9" i="13"/>
  <c r="AH9" i="13" s="1"/>
  <c r="BC8" i="13"/>
  <c r="BD8" i="13" s="1"/>
  <c r="BA8" i="13"/>
  <c r="BB8" i="13" s="1"/>
  <c r="AY8" i="13"/>
  <c r="AZ8" i="13" s="1"/>
  <c r="AW8" i="13"/>
  <c r="AX8" i="13" s="1"/>
  <c r="AU8" i="13"/>
  <c r="AV8" i="13" s="1"/>
  <c r="AS8" i="13"/>
  <c r="AT8" i="13" s="1"/>
  <c r="AQ8" i="13"/>
  <c r="AR8" i="13" s="1"/>
  <c r="AO8" i="13"/>
  <c r="AP8" i="13" s="1"/>
  <c r="AM8" i="13"/>
  <c r="AN8" i="13" s="1"/>
  <c r="AK8" i="13"/>
  <c r="AL8" i="13" s="1"/>
  <c r="AI8" i="13"/>
  <c r="AJ8" i="13" s="1"/>
  <c r="AG8" i="13"/>
  <c r="AH8" i="13" s="1"/>
  <c r="BC7" i="13"/>
  <c r="BD7" i="13" s="1"/>
  <c r="BA7" i="13"/>
  <c r="BB7" i="13" s="1"/>
  <c r="AY7" i="13"/>
  <c r="AZ7" i="13" s="1"/>
  <c r="AW7" i="13"/>
  <c r="AX7" i="13" s="1"/>
  <c r="AU7" i="13"/>
  <c r="AV7" i="13" s="1"/>
  <c r="AS7" i="13"/>
  <c r="AT7" i="13" s="1"/>
  <c r="AQ7" i="13"/>
  <c r="AR7" i="13" s="1"/>
  <c r="AO7" i="13"/>
  <c r="AP7" i="13" s="1"/>
  <c r="AM7" i="13"/>
  <c r="AN7" i="13" s="1"/>
  <c r="AK7" i="13"/>
  <c r="AL7" i="13" s="1"/>
  <c r="AI7" i="13"/>
  <c r="AJ7" i="13" s="1"/>
  <c r="AG7" i="13"/>
  <c r="AH7" i="13" s="1"/>
  <c r="BC6" i="13"/>
  <c r="BD6" i="13" s="1"/>
  <c r="BA6" i="13"/>
  <c r="BB6" i="13" s="1"/>
  <c r="AY6" i="13"/>
  <c r="AZ6" i="13" s="1"/>
  <c r="AW6" i="13"/>
  <c r="AX6" i="13" s="1"/>
  <c r="AU6" i="13"/>
  <c r="AV6" i="13" s="1"/>
  <c r="AS6" i="13"/>
  <c r="AT6" i="13" s="1"/>
  <c r="AQ6" i="13"/>
  <c r="AR6" i="13" s="1"/>
  <c r="AO6" i="13"/>
  <c r="AP6" i="13" s="1"/>
  <c r="AM6" i="13"/>
  <c r="AN6" i="13" s="1"/>
  <c r="AK6" i="13"/>
  <c r="AL6" i="13" s="1"/>
  <c r="AI6" i="13"/>
  <c r="AJ6" i="13" s="1"/>
  <c r="AG6" i="13"/>
  <c r="AH6" i="13" s="1"/>
  <c r="BC5" i="13"/>
  <c r="BD5" i="13" s="1"/>
  <c r="BA5" i="13"/>
  <c r="BB5" i="13" s="1"/>
  <c r="AY5" i="13"/>
  <c r="AZ5" i="13" s="1"/>
  <c r="AW5" i="13"/>
  <c r="AX5" i="13" s="1"/>
  <c r="AV5" i="13"/>
  <c r="AU5" i="13"/>
  <c r="AS5" i="13"/>
  <c r="AT5" i="13" s="1"/>
  <c r="AQ5" i="13"/>
  <c r="AR5" i="13" s="1"/>
  <c r="AO5" i="13"/>
  <c r="AP5" i="13" s="1"/>
  <c r="AM5" i="13"/>
  <c r="AN5" i="13" s="1"/>
  <c r="AK5" i="13"/>
  <c r="AL5" i="13" s="1"/>
  <c r="AI5" i="13"/>
  <c r="AJ5" i="13" s="1"/>
  <c r="AG5" i="13"/>
  <c r="AH5" i="13" s="1"/>
  <c r="AC61" i="12"/>
  <c r="AB61" i="12"/>
  <c r="AA61" i="12"/>
  <c r="AY61" i="12" s="1"/>
  <c r="AZ61" i="12" s="1"/>
  <c r="Z61" i="12"/>
  <c r="Y61" i="12"/>
  <c r="X61" i="12"/>
  <c r="W61" i="12"/>
  <c r="V61" i="12"/>
  <c r="U61" i="12"/>
  <c r="T61" i="12"/>
  <c r="S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BC60" i="12"/>
  <c r="BD60" i="12" s="1"/>
  <c r="BB60" i="12"/>
  <c r="BA60" i="12"/>
  <c r="AY60" i="12"/>
  <c r="AZ60" i="12" s="1"/>
  <c r="AW60" i="12"/>
  <c r="AX60" i="12" s="1"/>
  <c r="AU60" i="12"/>
  <c r="AV60" i="12" s="1"/>
  <c r="AS60" i="12"/>
  <c r="AT60" i="12" s="1"/>
  <c r="AQ60" i="12"/>
  <c r="AR60" i="12" s="1"/>
  <c r="AO60" i="12"/>
  <c r="AP60" i="12" s="1"/>
  <c r="AM60" i="12"/>
  <c r="AN60" i="12" s="1"/>
  <c r="AK60" i="12"/>
  <c r="AL60" i="12" s="1"/>
  <c r="AI60" i="12"/>
  <c r="AJ60" i="12" s="1"/>
  <c r="AG60" i="12"/>
  <c r="AH60" i="12" s="1"/>
  <c r="BC59" i="12"/>
  <c r="BD59" i="12" s="1"/>
  <c r="BA59" i="12"/>
  <c r="BB59" i="12" s="1"/>
  <c r="AY59" i="12"/>
  <c r="AZ59" i="12" s="1"/>
  <c r="AW59" i="12"/>
  <c r="AX59" i="12" s="1"/>
  <c r="AU59" i="12"/>
  <c r="AV59" i="12" s="1"/>
  <c r="AS59" i="12"/>
  <c r="AT59" i="12" s="1"/>
  <c r="AQ59" i="12"/>
  <c r="AR59" i="12" s="1"/>
  <c r="AO59" i="12"/>
  <c r="AP59" i="12" s="1"/>
  <c r="AM59" i="12"/>
  <c r="AN59" i="12" s="1"/>
  <c r="AK59" i="12"/>
  <c r="AL59" i="12" s="1"/>
  <c r="AI59" i="12"/>
  <c r="AJ59" i="12" s="1"/>
  <c r="AG59" i="12"/>
  <c r="AH59" i="12" s="1"/>
  <c r="BC58" i="12"/>
  <c r="BD58" i="12" s="1"/>
  <c r="BA58" i="12"/>
  <c r="BB58" i="12" s="1"/>
  <c r="AY58" i="12"/>
  <c r="AZ58" i="12" s="1"/>
  <c r="AW58" i="12"/>
  <c r="AX58" i="12" s="1"/>
  <c r="AU58" i="12"/>
  <c r="AV58" i="12" s="1"/>
  <c r="AS58" i="12"/>
  <c r="AT58" i="12" s="1"/>
  <c r="AQ58" i="12"/>
  <c r="AR58" i="12" s="1"/>
  <c r="AO58" i="12"/>
  <c r="AP58" i="12" s="1"/>
  <c r="AM58" i="12"/>
  <c r="AN58" i="12" s="1"/>
  <c r="AK58" i="12"/>
  <c r="AL58" i="12" s="1"/>
  <c r="AI58" i="12"/>
  <c r="AJ58" i="12" s="1"/>
  <c r="AG58" i="12"/>
  <c r="AH58" i="12" s="1"/>
  <c r="BC57" i="12"/>
  <c r="BD57" i="12" s="1"/>
  <c r="BA57" i="12"/>
  <c r="BB57" i="12" s="1"/>
  <c r="AY57" i="12"/>
  <c r="AZ57" i="12" s="1"/>
  <c r="AW57" i="12"/>
  <c r="AX57" i="12" s="1"/>
  <c r="AU57" i="12"/>
  <c r="AV57" i="12" s="1"/>
  <c r="AS57" i="12"/>
  <c r="AT57" i="12" s="1"/>
  <c r="AQ57" i="12"/>
  <c r="AR57" i="12" s="1"/>
  <c r="AO57" i="12"/>
  <c r="AP57" i="12" s="1"/>
  <c r="AM57" i="12"/>
  <c r="AN57" i="12" s="1"/>
  <c r="AK57" i="12"/>
  <c r="AL57" i="12" s="1"/>
  <c r="AI57" i="12"/>
  <c r="AJ57" i="12" s="1"/>
  <c r="AG57" i="12"/>
  <c r="AH57" i="12" s="1"/>
  <c r="BC56" i="12"/>
  <c r="BD56" i="12" s="1"/>
  <c r="BA56" i="12"/>
  <c r="BB56" i="12" s="1"/>
  <c r="AY56" i="12"/>
  <c r="AZ56" i="12" s="1"/>
  <c r="AW56" i="12"/>
  <c r="AX56" i="12" s="1"/>
  <c r="AU56" i="12"/>
  <c r="AV56" i="12" s="1"/>
  <c r="AS56" i="12"/>
  <c r="AT56" i="12" s="1"/>
  <c r="AQ56" i="12"/>
  <c r="AR56" i="12" s="1"/>
  <c r="AO56" i="12"/>
  <c r="AP56" i="12" s="1"/>
  <c r="AN56" i="12"/>
  <c r="AM56" i="12"/>
  <c r="AK56" i="12"/>
  <c r="AL56" i="12" s="1"/>
  <c r="AI56" i="12"/>
  <c r="AJ56" i="12" s="1"/>
  <c r="AG56" i="12"/>
  <c r="AH56" i="12" s="1"/>
  <c r="BD55" i="12"/>
  <c r="BC55" i="12"/>
  <c r="BA55" i="12"/>
  <c r="BB55" i="12" s="1"/>
  <c r="AY55" i="12"/>
  <c r="AZ55" i="12" s="1"/>
  <c r="AW55" i="12"/>
  <c r="AX55" i="12" s="1"/>
  <c r="AU55" i="12"/>
  <c r="AV55" i="12" s="1"/>
  <c r="AS55" i="12"/>
  <c r="AT55" i="12" s="1"/>
  <c r="AQ55" i="12"/>
  <c r="AR55" i="12" s="1"/>
  <c r="AO55" i="12"/>
  <c r="AP55" i="12" s="1"/>
  <c r="AM55" i="12"/>
  <c r="AN55" i="12" s="1"/>
  <c r="AK55" i="12"/>
  <c r="AL55" i="12" s="1"/>
  <c r="AI55" i="12"/>
  <c r="AJ55" i="12" s="1"/>
  <c r="AG55" i="12"/>
  <c r="AH55" i="12" s="1"/>
  <c r="BC54" i="12"/>
  <c r="BD54" i="12" s="1"/>
  <c r="BA54" i="12"/>
  <c r="BB54" i="12" s="1"/>
  <c r="AY54" i="12"/>
  <c r="AZ54" i="12" s="1"/>
  <c r="AW54" i="12"/>
  <c r="AX54" i="12" s="1"/>
  <c r="AU54" i="12"/>
  <c r="AV54" i="12" s="1"/>
  <c r="AT54" i="12"/>
  <c r="AS54" i="12"/>
  <c r="AQ54" i="12"/>
  <c r="AR54" i="12" s="1"/>
  <c r="AO54" i="12"/>
  <c r="AP54" i="12" s="1"/>
  <c r="AM54" i="12"/>
  <c r="AN54" i="12" s="1"/>
  <c r="AK54" i="12"/>
  <c r="AL54" i="12" s="1"/>
  <c r="AI54" i="12"/>
  <c r="AJ54" i="12" s="1"/>
  <c r="AG54" i="12"/>
  <c r="AH54" i="12" s="1"/>
  <c r="BC53" i="12"/>
  <c r="BD53" i="12" s="1"/>
  <c r="BA53" i="12"/>
  <c r="BB53" i="12" s="1"/>
  <c r="AY53" i="12"/>
  <c r="AZ53" i="12" s="1"/>
  <c r="AW53" i="12"/>
  <c r="AX53" i="12" s="1"/>
  <c r="AU53" i="12"/>
  <c r="AV53" i="12" s="1"/>
  <c r="AS53" i="12"/>
  <c r="AT53" i="12" s="1"/>
  <c r="AQ53" i="12"/>
  <c r="AR53" i="12" s="1"/>
  <c r="AO53" i="12"/>
  <c r="AP53" i="12" s="1"/>
  <c r="AM53" i="12"/>
  <c r="AN53" i="12" s="1"/>
  <c r="AK53" i="12"/>
  <c r="AL53" i="12" s="1"/>
  <c r="AI53" i="12"/>
  <c r="AJ53" i="12" s="1"/>
  <c r="AG53" i="12"/>
  <c r="AH53" i="12" s="1"/>
  <c r="BC52" i="12"/>
  <c r="BD52" i="12" s="1"/>
  <c r="BA52" i="12"/>
  <c r="BB52" i="12" s="1"/>
  <c r="AY52" i="12"/>
  <c r="AZ52" i="12" s="1"/>
  <c r="AW52" i="12"/>
  <c r="AX52" i="12" s="1"/>
  <c r="AU52" i="12"/>
  <c r="AV52" i="12" s="1"/>
  <c r="AS52" i="12"/>
  <c r="AT52" i="12" s="1"/>
  <c r="AQ52" i="12"/>
  <c r="AR52" i="12" s="1"/>
  <c r="AO52" i="12"/>
  <c r="AP52" i="12" s="1"/>
  <c r="AM52" i="12"/>
  <c r="AN52" i="12" s="1"/>
  <c r="AK52" i="12"/>
  <c r="AL52" i="12" s="1"/>
  <c r="AI52" i="12"/>
  <c r="AJ52" i="12" s="1"/>
  <c r="AG52" i="12"/>
  <c r="AH52" i="12" s="1"/>
  <c r="BC51" i="12"/>
  <c r="BD51" i="12" s="1"/>
  <c r="BA51" i="12"/>
  <c r="BB51" i="12" s="1"/>
  <c r="AY51" i="12"/>
  <c r="AZ51" i="12" s="1"/>
  <c r="AW51" i="12"/>
  <c r="AX51" i="12" s="1"/>
  <c r="AU51" i="12"/>
  <c r="AV51" i="12" s="1"/>
  <c r="AS51" i="12"/>
  <c r="AT51" i="12" s="1"/>
  <c r="AQ51" i="12"/>
  <c r="AR51" i="12" s="1"/>
  <c r="AO51" i="12"/>
  <c r="AP51" i="12" s="1"/>
  <c r="AM51" i="12"/>
  <c r="AN51" i="12" s="1"/>
  <c r="AK51" i="12"/>
  <c r="AL51" i="12" s="1"/>
  <c r="AI51" i="12"/>
  <c r="AJ51" i="12" s="1"/>
  <c r="AG51" i="12"/>
  <c r="AH51" i="12" s="1"/>
  <c r="BD50" i="12"/>
  <c r="BC50" i="12"/>
  <c r="BA50" i="12"/>
  <c r="BB50" i="12" s="1"/>
  <c r="AY50" i="12"/>
  <c r="AZ50" i="12" s="1"/>
  <c r="AW50" i="12"/>
  <c r="AX50" i="12" s="1"/>
  <c r="AU50" i="12"/>
  <c r="AV50" i="12" s="1"/>
  <c r="AS50" i="12"/>
  <c r="AT50" i="12" s="1"/>
  <c r="AQ50" i="12"/>
  <c r="AR50" i="12" s="1"/>
  <c r="AO50" i="12"/>
  <c r="AP50" i="12" s="1"/>
  <c r="AM50" i="12"/>
  <c r="AN50" i="12" s="1"/>
  <c r="AK50" i="12"/>
  <c r="AL50" i="12" s="1"/>
  <c r="AI50" i="12"/>
  <c r="AJ50" i="12" s="1"/>
  <c r="AG50" i="12"/>
  <c r="AH50" i="12" s="1"/>
  <c r="BC49" i="12"/>
  <c r="BD49" i="12" s="1"/>
  <c r="BA49" i="12"/>
  <c r="BB49" i="12" s="1"/>
  <c r="AY49" i="12"/>
  <c r="AZ49" i="12" s="1"/>
  <c r="AW49" i="12"/>
  <c r="AX49" i="12" s="1"/>
  <c r="AU49" i="12"/>
  <c r="AV49" i="12" s="1"/>
  <c r="AS49" i="12"/>
  <c r="AT49" i="12" s="1"/>
  <c r="AQ49" i="12"/>
  <c r="AR49" i="12" s="1"/>
  <c r="AO49" i="12"/>
  <c r="AP49" i="12" s="1"/>
  <c r="AM49" i="12"/>
  <c r="AN49" i="12" s="1"/>
  <c r="AK49" i="12"/>
  <c r="AL49" i="12" s="1"/>
  <c r="AI49" i="12"/>
  <c r="AJ49" i="12" s="1"/>
  <c r="AG49" i="12"/>
  <c r="AH49" i="12" s="1"/>
  <c r="BC48" i="12"/>
  <c r="BD48" i="12" s="1"/>
  <c r="BA48" i="12"/>
  <c r="BB48" i="12" s="1"/>
  <c r="AY48" i="12"/>
  <c r="AZ48" i="12" s="1"/>
  <c r="AW48" i="12"/>
  <c r="AX48" i="12" s="1"/>
  <c r="AU48" i="12"/>
  <c r="AV48" i="12" s="1"/>
  <c r="AS48" i="12"/>
  <c r="AT48" i="12" s="1"/>
  <c r="AQ48" i="12"/>
  <c r="AR48" i="12" s="1"/>
  <c r="AO48" i="12"/>
  <c r="AP48" i="12" s="1"/>
  <c r="AM48" i="12"/>
  <c r="AN48" i="12" s="1"/>
  <c r="AK48" i="12"/>
  <c r="AL48" i="12" s="1"/>
  <c r="AI48" i="12"/>
  <c r="AJ48" i="12" s="1"/>
  <c r="AG48" i="12"/>
  <c r="AH48" i="12" s="1"/>
  <c r="BC47" i="12"/>
  <c r="BD47" i="12" s="1"/>
  <c r="BA47" i="12"/>
  <c r="BB47" i="12" s="1"/>
  <c r="AY47" i="12"/>
  <c r="AZ47" i="12" s="1"/>
  <c r="AW47" i="12"/>
  <c r="AX47" i="12" s="1"/>
  <c r="AU47" i="12"/>
  <c r="AV47" i="12" s="1"/>
  <c r="AS47" i="12"/>
  <c r="AT47" i="12" s="1"/>
  <c r="AQ47" i="12"/>
  <c r="AR47" i="12" s="1"/>
  <c r="AO47" i="12"/>
  <c r="AP47" i="12" s="1"/>
  <c r="AM47" i="12"/>
  <c r="AN47" i="12" s="1"/>
  <c r="AK47" i="12"/>
  <c r="AL47" i="12" s="1"/>
  <c r="AI47" i="12"/>
  <c r="AJ47" i="12" s="1"/>
  <c r="AG47" i="12"/>
  <c r="AH47" i="12" s="1"/>
  <c r="AC41" i="12"/>
  <c r="AB41" i="12"/>
  <c r="AA41" i="12"/>
  <c r="Z41" i="12"/>
  <c r="Y41" i="12"/>
  <c r="X41" i="12"/>
  <c r="W41" i="12"/>
  <c r="V41" i="12"/>
  <c r="U41" i="12"/>
  <c r="T41" i="12"/>
  <c r="S41" i="12"/>
  <c r="R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C40" i="12"/>
  <c r="BD40" i="12" s="1"/>
  <c r="BA40" i="12"/>
  <c r="BB40" i="12" s="1"/>
  <c r="AY40" i="12"/>
  <c r="AZ40" i="12" s="1"/>
  <c r="AW40" i="12"/>
  <c r="AX40" i="12" s="1"/>
  <c r="AU40" i="12"/>
  <c r="AV40" i="12" s="1"/>
  <c r="AS40" i="12"/>
  <c r="AT40" i="12" s="1"/>
  <c r="AQ40" i="12"/>
  <c r="AR40" i="12" s="1"/>
  <c r="AO40" i="12"/>
  <c r="AP40" i="12" s="1"/>
  <c r="AM40" i="12"/>
  <c r="AN40" i="12" s="1"/>
  <c r="AK40" i="12"/>
  <c r="AL40" i="12" s="1"/>
  <c r="AI40" i="12"/>
  <c r="AJ40" i="12" s="1"/>
  <c r="AG40" i="12"/>
  <c r="AH40" i="12" s="1"/>
  <c r="BC39" i="12"/>
  <c r="BD39" i="12" s="1"/>
  <c r="BA39" i="12"/>
  <c r="BB39" i="12" s="1"/>
  <c r="AY39" i="12"/>
  <c r="AZ39" i="12" s="1"/>
  <c r="AW39" i="12"/>
  <c r="AX39" i="12" s="1"/>
  <c r="AU39" i="12"/>
  <c r="AV39" i="12" s="1"/>
  <c r="AS39" i="12"/>
  <c r="AT39" i="12" s="1"/>
  <c r="AQ39" i="12"/>
  <c r="AR39" i="12" s="1"/>
  <c r="AO39" i="12"/>
  <c r="AP39" i="12" s="1"/>
  <c r="AM39" i="12"/>
  <c r="AN39" i="12" s="1"/>
  <c r="AK39" i="12"/>
  <c r="AL39" i="12" s="1"/>
  <c r="AI39" i="12"/>
  <c r="AJ39" i="12" s="1"/>
  <c r="AG39" i="12"/>
  <c r="AH39" i="12" s="1"/>
  <c r="BC38" i="12"/>
  <c r="BD38" i="12" s="1"/>
  <c r="BA38" i="12"/>
  <c r="BB38" i="12" s="1"/>
  <c r="AY38" i="12"/>
  <c r="AZ38" i="12" s="1"/>
  <c r="AW38" i="12"/>
  <c r="AX38" i="12" s="1"/>
  <c r="AU38" i="12"/>
  <c r="AV38" i="12" s="1"/>
  <c r="AS38" i="12"/>
  <c r="AT38" i="12" s="1"/>
  <c r="AQ38" i="12"/>
  <c r="AR38" i="12" s="1"/>
  <c r="AO38" i="12"/>
  <c r="AP38" i="12" s="1"/>
  <c r="AM38" i="12"/>
  <c r="AN38" i="12" s="1"/>
  <c r="AL38" i="12"/>
  <c r="AK38" i="12"/>
  <c r="AI38" i="12"/>
  <c r="AJ38" i="12" s="1"/>
  <c r="AG38" i="12"/>
  <c r="AH38" i="12" s="1"/>
  <c r="BC37" i="12"/>
  <c r="BD37" i="12" s="1"/>
  <c r="BA37" i="12"/>
  <c r="BB37" i="12" s="1"/>
  <c r="AY37" i="12"/>
  <c r="AZ37" i="12" s="1"/>
  <c r="AW37" i="12"/>
  <c r="AX37" i="12" s="1"/>
  <c r="AU37" i="12"/>
  <c r="AV37" i="12" s="1"/>
  <c r="AS37" i="12"/>
  <c r="AT37" i="12" s="1"/>
  <c r="AQ37" i="12"/>
  <c r="AR37" i="12" s="1"/>
  <c r="AO37" i="12"/>
  <c r="AP37" i="12" s="1"/>
  <c r="AM37" i="12"/>
  <c r="AN37" i="12" s="1"/>
  <c r="AK37" i="12"/>
  <c r="AL37" i="12" s="1"/>
  <c r="AI37" i="12"/>
  <c r="AJ37" i="12" s="1"/>
  <c r="AG37" i="12"/>
  <c r="AH37" i="12" s="1"/>
  <c r="BC36" i="12"/>
  <c r="BD36" i="12" s="1"/>
  <c r="BA36" i="12"/>
  <c r="BB36" i="12" s="1"/>
  <c r="AY36" i="12"/>
  <c r="AZ36" i="12" s="1"/>
  <c r="AW36" i="12"/>
  <c r="AX36" i="12" s="1"/>
  <c r="AU36" i="12"/>
  <c r="AV36" i="12" s="1"/>
  <c r="AS36" i="12"/>
  <c r="AT36" i="12" s="1"/>
  <c r="AQ36" i="12"/>
  <c r="AR36" i="12" s="1"/>
  <c r="AO36" i="12"/>
  <c r="AP36" i="12" s="1"/>
  <c r="AM36" i="12"/>
  <c r="AN36" i="12" s="1"/>
  <c r="AK36" i="12"/>
  <c r="AL36" i="12" s="1"/>
  <c r="AI36" i="12"/>
  <c r="AJ36" i="12" s="1"/>
  <c r="AG36" i="12"/>
  <c r="AH36" i="12" s="1"/>
  <c r="BC35" i="12"/>
  <c r="BD35" i="12" s="1"/>
  <c r="BA35" i="12"/>
  <c r="BB35" i="12" s="1"/>
  <c r="AY35" i="12"/>
  <c r="AZ35" i="12" s="1"/>
  <c r="AW35" i="12"/>
  <c r="AX35" i="12" s="1"/>
  <c r="AU35" i="12"/>
  <c r="AV35" i="12" s="1"/>
  <c r="AS35" i="12"/>
  <c r="AT35" i="12" s="1"/>
  <c r="AQ35" i="12"/>
  <c r="AR35" i="12" s="1"/>
  <c r="AO35" i="12"/>
  <c r="AP35" i="12" s="1"/>
  <c r="AM35" i="12"/>
  <c r="AN35" i="12" s="1"/>
  <c r="AK35" i="12"/>
  <c r="AL35" i="12" s="1"/>
  <c r="AI35" i="12"/>
  <c r="AJ35" i="12" s="1"/>
  <c r="AG35" i="12"/>
  <c r="AH35" i="12" s="1"/>
  <c r="BC34" i="12"/>
  <c r="BD34" i="12" s="1"/>
  <c r="BA34" i="12"/>
  <c r="BB34" i="12" s="1"/>
  <c r="AY34" i="12"/>
  <c r="AZ34" i="12" s="1"/>
  <c r="AW34" i="12"/>
  <c r="AX34" i="12" s="1"/>
  <c r="AU34" i="12"/>
  <c r="AV34" i="12" s="1"/>
  <c r="AS34" i="12"/>
  <c r="AT34" i="12" s="1"/>
  <c r="AQ34" i="12"/>
  <c r="AR34" i="12" s="1"/>
  <c r="AO34" i="12"/>
  <c r="AP34" i="12" s="1"/>
  <c r="AM34" i="12"/>
  <c r="AN34" i="12" s="1"/>
  <c r="AK34" i="12"/>
  <c r="AL34" i="12" s="1"/>
  <c r="AI34" i="12"/>
  <c r="AJ34" i="12" s="1"/>
  <c r="AG34" i="12"/>
  <c r="AH34" i="12" s="1"/>
  <c r="BC33" i="12"/>
  <c r="BD33" i="12" s="1"/>
  <c r="BA33" i="12"/>
  <c r="BB33" i="12" s="1"/>
  <c r="AY33" i="12"/>
  <c r="AZ33" i="12" s="1"/>
  <c r="AW33" i="12"/>
  <c r="AX33" i="12" s="1"/>
  <c r="AU33" i="12"/>
  <c r="AV33" i="12" s="1"/>
  <c r="AS33" i="12"/>
  <c r="AT33" i="12" s="1"/>
  <c r="AQ33" i="12"/>
  <c r="AR33" i="12" s="1"/>
  <c r="AO33" i="12"/>
  <c r="AP33" i="12" s="1"/>
  <c r="AM33" i="12"/>
  <c r="AN33" i="12" s="1"/>
  <c r="AK33" i="12"/>
  <c r="AL33" i="12" s="1"/>
  <c r="AI33" i="12"/>
  <c r="AJ33" i="12" s="1"/>
  <c r="AG33" i="12"/>
  <c r="AH33" i="12" s="1"/>
  <c r="BC32" i="12"/>
  <c r="BD32" i="12" s="1"/>
  <c r="BA32" i="12"/>
  <c r="BB32" i="12" s="1"/>
  <c r="AY32" i="12"/>
  <c r="AZ32" i="12" s="1"/>
  <c r="AW32" i="12"/>
  <c r="AX32" i="12" s="1"/>
  <c r="AU32" i="12"/>
  <c r="AV32" i="12" s="1"/>
  <c r="AS32" i="12"/>
  <c r="AT32" i="12" s="1"/>
  <c r="AQ32" i="12"/>
  <c r="AR32" i="12" s="1"/>
  <c r="AO32" i="12"/>
  <c r="AP32" i="12" s="1"/>
  <c r="AM32" i="12"/>
  <c r="AN32" i="12" s="1"/>
  <c r="AK32" i="12"/>
  <c r="AL32" i="12" s="1"/>
  <c r="AI32" i="12"/>
  <c r="AJ32" i="12" s="1"/>
  <c r="AG32" i="12"/>
  <c r="AH32" i="12" s="1"/>
  <c r="BC31" i="12"/>
  <c r="BD31" i="12" s="1"/>
  <c r="BA31" i="12"/>
  <c r="BB31" i="12" s="1"/>
  <c r="AY31" i="12"/>
  <c r="AZ31" i="12" s="1"/>
  <c r="AW31" i="12"/>
  <c r="AX31" i="12" s="1"/>
  <c r="AU31" i="12"/>
  <c r="AV31" i="12" s="1"/>
  <c r="AS31" i="12"/>
  <c r="AT31" i="12" s="1"/>
  <c r="AQ31" i="12"/>
  <c r="AR31" i="12" s="1"/>
  <c r="AO31" i="12"/>
  <c r="AP31" i="12" s="1"/>
  <c r="AM31" i="12"/>
  <c r="AN31" i="12" s="1"/>
  <c r="AK31" i="12"/>
  <c r="AL31" i="12" s="1"/>
  <c r="AI31" i="12"/>
  <c r="AJ31" i="12" s="1"/>
  <c r="AG31" i="12"/>
  <c r="AH31" i="12" s="1"/>
  <c r="BC30" i="12"/>
  <c r="BD30" i="12" s="1"/>
  <c r="BA30" i="12"/>
  <c r="BB30" i="12" s="1"/>
  <c r="AY30" i="12"/>
  <c r="AZ30" i="12" s="1"/>
  <c r="AW30" i="12"/>
  <c r="AX30" i="12" s="1"/>
  <c r="AU30" i="12"/>
  <c r="AV30" i="12" s="1"/>
  <c r="AS30" i="12"/>
  <c r="AT30" i="12" s="1"/>
  <c r="AQ30" i="12"/>
  <c r="AR30" i="12" s="1"/>
  <c r="AO30" i="12"/>
  <c r="AP30" i="12" s="1"/>
  <c r="AM30" i="12"/>
  <c r="AN30" i="12" s="1"/>
  <c r="AK30" i="12"/>
  <c r="AL30" i="12" s="1"/>
  <c r="AI30" i="12"/>
  <c r="AJ30" i="12" s="1"/>
  <c r="AG30" i="12"/>
  <c r="AH30" i="12" s="1"/>
  <c r="BC29" i="12"/>
  <c r="BD29" i="12" s="1"/>
  <c r="BA29" i="12"/>
  <c r="BB29" i="12" s="1"/>
  <c r="AY29" i="12"/>
  <c r="AZ29" i="12" s="1"/>
  <c r="AW29" i="12"/>
  <c r="AX29" i="12" s="1"/>
  <c r="AU29" i="12"/>
  <c r="AV29" i="12" s="1"/>
  <c r="AS29" i="12"/>
  <c r="AT29" i="12" s="1"/>
  <c r="AQ29" i="12"/>
  <c r="AR29" i="12" s="1"/>
  <c r="AO29" i="12"/>
  <c r="AP29" i="12" s="1"/>
  <c r="AM29" i="12"/>
  <c r="AN29" i="12" s="1"/>
  <c r="AK29" i="12"/>
  <c r="AL29" i="12" s="1"/>
  <c r="AI29" i="12"/>
  <c r="AJ29" i="12" s="1"/>
  <c r="AG29" i="12"/>
  <c r="AH29" i="12" s="1"/>
  <c r="BC28" i="12"/>
  <c r="BD28" i="12" s="1"/>
  <c r="BA28" i="12"/>
  <c r="BB28" i="12" s="1"/>
  <c r="AY28" i="12"/>
  <c r="AZ28" i="12" s="1"/>
  <c r="AW28" i="12"/>
  <c r="AX28" i="12" s="1"/>
  <c r="AU28" i="12"/>
  <c r="AV28" i="12" s="1"/>
  <c r="AS28" i="12"/>
  <c r="AT28" i="12" s="1"/>
  <c r="AQ28" i="12"/>
  <c r="AR28" i="12" s="1"/>
  <c r="AO28" i="12"/>
  <c r="AP28" i="12" s="1"/>
  <c r="AM28" i="12"/>
  <c r="AN28" i="12" s="1"/>
  <c r="AK28" i="12"/>
  <c r="AL28" i="12" s="1"/>
  <c r="AI28" i="12"/>
  <c r="AJ28" i="12" s="1"/>
  <c r="AG28" i="12"/>
  <c r="AH28" i="12" s="1"/>
  <c r="BC27" i="12"/>
  <c r="BD27" i="12" s="1"/>
  <c r="BA27" i="12"/>
  <c r="BB27" i="12" s="1"/>
  <c r="AY27" i="12"/>
  <c r="AZ27" i="12" s="1"/>
  <c r="AW27" i="12"/>
  <c r="AX27" i="12" s="1"/>
  <c r="AU27" i="12"/>
  <c r="AV27" i="12" s="1"/>
  <c r="AS27" i="12"/>
  <c r="AT27" i="12" s="1"/>
  <c r="AQ27" i="12"/>
  <c r="AR27" i="12" s="1"/>
  <c r="AO27" i="12"/>
  <c r="AP27" i="12" s="1"/>
  <c r="AM27" i="12"/>
  <c r="AN27" i="12" s="1"/>
  <c r="AK27" i="12"/>
  <c r="AL27" i="12" s="1"/>
  <c r="AI27" i="12"/>
  <c r="AJ27" i="12" s="1"/>
  <c r="AG27" i="12"/>
  <c r="AH27" i="12" s="1"/>
  <c r="AC21" i="12"/>
  <c r="AB21" i="12"/>
  <c r="AA21" i="12"/>
  <c r="Z21" i="12"/>
  <c r="Y21" i="12"/>
  <c r="X21" i="12"/>
  <c r="W21" i="12"/>
  <c r="V21" i="12"/>
  <c r="S21" i="12"/>
  <c r="R21" i="12"/>
  <c r="N21" i="12"/>
  <c r="M21" i="12"/>
  <c r="L21" i="12"/>
  <c r="K21" i="12"/>
  <c r="AW21" i="12" s="1"/>
  <c r="AX21" i="12" s="1"/>
  <c r="J21" i="12"/>
  <c r="I21" i="12"/>
  <c r="H21" i="12"/>
  <c r="G21" i="12"/>
  <c r="AO21" i="12" s="1"/>
  <c r="AP21" i="12" s="1"/>
  <c r="D21" i="12"/>
  <c r="C21" i="12"/>
  <c r="BC20" i="12"/>
  <c r="BD20" i="12" s="1"/>
  <c r="BA20" i="12"/>
  <c r="BB20" i="12" s="1"/>
  <c r="AY20" i="12"/>
  <c r="AZ20" i="12" s="1"/>
  <c r="AW20" i="12"/>
  <c r="AX20" i="12" s="1"/>
  <c r="AU20" i="12"/>
  <c r="AV20" i="12" s="1"/>
  <c r="AS20" i="12"/>
  <c r="AT20" i="12" s="1"/>
  <c r="AQ20" i="12"/>
  <c r="AR20" i="12" s="1"/>
  <c r="AO20" i="12"/>
  <c r="AP20" i="12" s="1"/>
  <c r="AI20" i="12"/>
  <c r="AJ20" i="12" s="1"/>
  <c r="AG20" i="12"/>
  <c r="AH20" i="12" s="1"/>
  <c r="AK20" i="12"/>
  <c r="AL20" i="12" s="1"/>
  <c r="BC19" i="12"/>
  <c r="BD19" i="12" s="1"/>
  <c r="BA19" i="12"/>
  <c r="BB19" i="12" s="1"/>
  <c r="AY19" i="12"/>
  <c r="AZ19" i="12" s="1"/>
  <c r="AW19" i="12"/>
  <c r="AX19" i="12" s="1"/>
  <c r="AU19" i="12"/>
  <c r="AV19" i="12" s="1"/>
  <c r="AS19" i="12"/>
  <c r="AT19" i="12" s="1"/>
  <c r="AQ19" i="12"/>
  <c r="AR19" i="12" s="1"/>
  <c r="AO19" i="12"/>
  <c r="AP19" i="12" s="1"/>
  <c r="AM19" i="12"/>
  <c r="AN19" i="12" s="1"/>
  <c r="AI19" i="12"/>
  <c r="AJ19" i="12" s="1"/>
  <c r="AG19" i="12"/>
  <c r="AH19" i="12" s="1"/>
  <c r="BC18" i="12"/>
  <c r="BD18" i="12" s="1"/>
  <c r="BA18" i="12"/>
  <c r="BB18" i="12" s="1"/>
  <c r="AY18" i="12"/>
  <c r="AZ18" i="12" s="1"/>
  <c r="AW18" i="12"/>
  <c r="AX18" i="12" s="1"/>
  <c r="AU18" i="12"/>
  <c r="AV18" i="12" s="1"/>
  <c r="AS18" i="12"/>
  <c r="AT18" i="12" s="1"/>
  <c r="AQ18" i="12"/>
  <c r="AR18" i="12" s="1"/>
  <c r="AO18" i="12"/>
  <c r="AP18" i="12" s="1"/>
  <c r="AK18" i="12"/>
  <c r="AL18" i="12" s="1"/>
  <c r="AI18" i="12"/>
  <c r="AJ18" i="12" s="1"/>
  <c r="AG18" i="12"/>
  <c r="AH18" i="12" s="1"/>
  <c r="AM18" i="12"/>
  <c r="AN18" i="12" s="1"/>
  <c r="BC17" i="12"/>
  <c r="BD17" i="12" s="1"/>
  <c r="BA17" i="12"/>
  <c r="BB17" i="12" s="1"/>
  <c r="AY17" i="12"/>
  <c r="AZ17" i="12" s="1"/>
  <c r="AW17" i="12"/>
  <c r="AX17" i="12" s="1"/>
  <c r="AU17" i="12"/>
  <c r="AV17" i="12" s="1"/>
  <c r="AS17" i="12"/>
  <c r="AT17" i="12" s="1"/>
  <c r="AQ17" i="12"/>
  <c r="AR17" i="12" s="1"/>
  <c r="AO17" i="12"/>
  <c r="AP17" i="12" s="1"/>
  <c r="AI17" i="12"/>
  <c r="AJ17" i="12" s="1"/>
  <c r="AG17" i="12"/>
  <c r="AH17" i="12" s="1"/>
  <c r="AC10" i="12"/>
  <c r="AB10" i="12"/>
  <c r="AA10" i="12"/>
  <c r="Z10" i="12"/>
  <c r="Y10" i="12"/>
  <c r="X10" i="12"/>
  <c r="W10" i="12"/>
  <c r="V10" i="12"/>
  <c r="U10" i="12"/>
  <c r="T10" i="12"/>
  <c r="S10" i="12"/>
  <c r="R10" i="12"/>
  <c r="N10" i="12"/>
  <c r="M10" i="12"/>
  <c r="BA10" i="12" s="1"/>
  <c r="BB10" i="12" s="1"/>
  <c r="L10" i="12"/>
  <c r="AY10" i="12" s="1"/>
  <c r="AZ10" i="12" s="1"/>
  <c r="K10" i="12"/>
  <c r="J10" i="12"/>
  <c r="I10" i="12"/>
  <c r="H10" i="12"/>
  <c r="G10" i="12"/>
  <c r="AO10" i="12" s="1"/>
  <c r="AP10" i="12" s="1"/>
  <c r="F10" i="12"/>
  <c r="E10" i="12"/>
  <c r="D10" i="12"/>
  <c r="C10" i="12"/>
  <c r="BC9" i="12"/>
  <c r="BD9" i="12" s="1"/>
  <c r="BA9" i="12"/>
  <c r="BB9" i="12" s="1"/>
  <c r="AY9" i="12"/>
  <c r="AZ9" i="12" s="1"/>
  <c r="AW9" i="12"/>
  <c r="AX9" i="12" s="1"/>
  <c r="AU9" i="12"/>
  <c r="AV9" i="12" s="1"/>
  <c r="AS9" i="12"/>
  <c r="AT9" i="12" s="1"/>
  <c r="AQ9" i="12"/>
  <c r="AR9" i="12" s="1"/>
  <c r="AO9" i="12"/>
  <c r="AP9" i="12" s="1"/>
  <c r="AM9" i="12"/>
  <c r="AN9" i="12" s="1"/>
  <c r="AK9" i="12"/>
  <c r="AL9" i="12" s="1"/>
  <c r="AI9" i="12"/>
  <c r="AJ9" i="12" s="1"/>
  <c r="AG9" i="12"/>
  <c r="AH9" i="12" s="1"/>
  <c r="BC8" i="12"/>
  <c r="BD8" i="12" s="1"/>
  <c r="BA8" i="12"/>
  <c r="BB8" i="12" s="1"/>
  <c r="AY8" i="12"/>
  <c r="AZ8" i="12" s="1"/>
  <c r="AW8" i="12"/>
  <c r="AX8" i="12" s="1"/>
  <c r="AU8" i="12"/>
  <c r="AV8" i="12" s="1"/>
  <c r="AS8" i="12"/>
  <c r="AT8" i="12" s="1"/>
  <c r="AQ8" i="12"/>
  <c r="AR8" i="12" s="1"/>
  <c r="AO8" i="12"/>
  <c r="AP8" i="12" s="1"/>
  <c r="AM8" i="12"/>
  <c r="AN8" i="12" s="1"/>
  <c r="AK8" i="12"/>
  <c r="AL8" i="12" s="1"/>
  <c r="AI8" i="12"/>
  <c r="AJ8" i="12" s="1"/>
  <c r="AG8" i="12"/>
  <c r="AH8" i="12" s="1"/>
  <c r="BC7" i="12"/>
  <c r="BD7" i="12" s="1"/>
  <c r="BA7" i="12"/>
  <c r="BB7" i="12" s="1"/>
  <c r="AY7" i="12"/>
  <c r="AZ7" i="12" s="1"/>
  <c r="AW7" i="12"/>
  <c r="AX7" i="12" s="1"/>
  <c r="AU7" i="12"/>
  <c r="AV7" i="12" s="1"/>
  <c r="AS7" i="12"/>
  <c r="AT7" i="12" s="1"/>
  <c r="AQ7" i="12"/>
  <c r="AR7" i="12" s="1"/>
  <c r="AO7" i="12"/>
  <c r="AP7" i="12" s="1"/>
  <c r="AM7" i="12"/>
  <c r="AN7" i="12" s="1"/>
  <c r="AK7" i="12"/>
  <c r="AL7" i="12" s="1"/>
  <c r="AI7" i="12"/>
  <c r="AJ7" i="12" s="1"/>
  <c r="AG7" i="12"/>
  <c r="AH7" i="12" s="1"/>
  <c r="BC6" i="12"/>
  <c r="BD6" i="12" s="1"/>
  <c r="BA6" i="12"/>
  <c r="BB6" i="12" s="1"/>
  <c r="AY6" i="12"/>
  <c r="AZ6" i="12" s="1"/>
  <c r="AW6" i="12"/>
  <c r="AX6" i="12" s="1"/>
  <c r="AU6" i="12"/>
  <c r="AV6" i="12" s="1"/>
  <c r="AS6" i="12"/>
  <c r="AT6" i="12" s="1"/>
  <c r="AQ6" i="12"/>
  <c r="AR6" i="12" s="1"/>
  <c r="AO6" i="12"/>
  <c r="AP6" i="12" s="1"/>
  <c r="AM6" i="12"/>
  <c r="AN6" i="12" s="1"/>
  <c r="AK6" i="12"/>
  <c r="AL6" i="12" s="1"/>
  <c r="AI6" i="12"/>
  <c r="AJ6" i="12" s="1"/>
  <c r="AG6" i="12"/>
  <c r="AH6" i="12" s="1"/>
  <c r="BC5" i="12"/>
  <c r="BD5" i="12" s="1"/>
  <c r="BA5" i="12"/>
  <c r="BB5" i="12" s="1"/>
  <c r="AY5" i="12"/>
  <c r="AZ5" i="12" s="1"/>
  <c r="AW5" i="12"/>
  <c r="AX5" i="12" s="1"/>
  <c r="AU5" i="12"/>
  <c r="AV5" i="12" s="1"/>
  <c r="AS5" i="12"/>
  <c r="AT5" i="12" s="1"/>
  <c r="AQ5" i="12"/>
  <c r="AR5" i="12" s="1"/>
  <c r="AO5" i="12"/>
  <c r="AP5" i="12" s="1"/>
  <c r="AM5" i="12"/>
  <c r="AN5" i="12" s="1"/>
  <c r="AK5" i="12"/>
  <c r="AL5" i="12" s="1"/>
  <c r="AI5" i="12"/>
  <c r="AJ5" i="12" s="1"/>
  <c r="AG5" i="12"/>
  <c r="AH5" i="12" s="1"/>
  <c r="AC61" i="11"/>
  <c r="AB61" i="11"/>
  <c r="BA61" i="11" s="1"/>
  <c r="BB61" i="11" s="1"/>
  <c r="AA61" i="11"/>
  <c r="Z61" i="11"/>
  <c r="Y61" i="11"/>
  <c r="X61" i="11"/>
  <c r="W61" i="11"/>
  <c r="V61" i="11"/>
  <c r="U61" i="11"/>
  <c r="T61" i="11"/>
  <c r="S61" i="11"/>
  <c r="R61" i="11"/>
  <c r="N61" i="11"/>
  <c r="BC61" i="11" s="1"/>
  <c r="BD61" i="11" s="1"/>
  <c r="M61" i="11"/>
  <c r="L61" i="11"/>
  <c r="K61" i="11"/>
  <c r="AW61" i="11" s="1"/>
  <c r="AX61" i="11" s="1"/>
  <c r="J61" i="11"/>
  <c r="I61" i="11"/>
  <c r="AS61" i="11" s="1"/>
  <c r="AT61" i="11" s="1"/>
  <c r="H61" i="11"/>
  <c r="G61" i="11"/>
  <c r="AO61" i="11" s="1"/>
  <c r="AP61" i="11" s="1"/>
  <c r="F61" i="11"/>
  <c r="AM61" i="11" s="1"/>
  <c r="AN61" i="11" s="1"/>
  <c r="E61" i="11"/>
  <c r="D61" i="11"/>
  <c r="C61" i="11"/>
  <c r="BD60" i="11"/>
  <c r="BC60" i="11"/>
  <c r="BA60" i="11"/>
  <c r="BB60" i="11" s="1"/>
  <c r="AZ60" i="11"/>
  <c r="AY60" i="11"/>
  <c r="AW60" i="11"/>
  <c r="AX60" i="11" s="1"/>
  <c r="AU60" i="11"/>
  <c r="AV60" i="11" s="1"/>
  <c r="AS60" i="11"/>
  <c r="AT60" i="11" s="1"/>
  <c r="AQ60" i="11"/>
  <c r="AR60" i="11" s="1"/>
  <c r="AO60" i="11"/>
  <c r="AP60" i="11" s="1"/>
  <c r="AM60" i="11"/>
  <c r="AN60" i="11" s="1"/>
  <c r="AK60" i="11"/>
  <c r="AL60" i="11" s="1"/>
  <c r="AI60" i="11"/>
  <c r="AJ60" i="11" s="1"/>
  <c r="AG60" i="11"/>
  <c r="AH60" i="11" s="1"/>
  <c r="BD59" i="11"/>
  <c r="BC59" i="11"/>
  <c r="BA59" i="11"/>
  <c r="BB59" i="11" s="1"/>
  <c r="AZ59" i="11"/>
  <c r="AY59" i="11"/>
  <c r="AW59" i="11"/>
  <c r="AX59" i="11" s="1"/>
  <c r="AU59" i="11"/>
  <c r="AV59" i="11" s="1"/>
  <c r="AS59" i="11"/>
  <c r="AT59" i="11" s="1"/>
  <c r="AQ59" i="11"/>
  <c r="AR59" i="11" s="1"/>
  <c r="AO59" i="11"/>
  <c r="AP59" i="11" s="1"/>
  <c r="AN59" i="11"/>
  <c r="AM59" i="11"/>
  <c r="AK59" i="11"/>
  <c r="AL59" i="11" s="1"/>
  <c r="AI59" i="11"/>
  <c r="AJ59" i="11" s="1"/>
  <c r="AG59" i="11"/>
  <c r="AH59" i="11" s="1"/>
  <c r="BC58" i="11"/>
  <c r="BD58" i="11" s="1"/>
  <c r="BA58" i="11"/>
  <c r="BB58" i="11" s="1"/>
  <c r="AZ58" i="11"/>
  <c r="AY58" i="11"/>
  <c r="AW58" i="11"/>
  <c r="AX58" i="11" s="1"/>
  <c r="AU58" i="11"/>
  <c r="AV58" i="11" s="1"/>
  <c r="AS58" i="11"/>
  <c r="AT58" i="11" s="1"/>
  <c r="AQ58" i="11"/>
  <c r="AR58" i="11" s="1"/>
  <c r="AO58" i="11"/>
  <c r="AP58" i="11" s="1"/>
  <c r="AN58" i="11"/>
  <c r="AM58" i="11"/>
  <c r="AK58" i="11"/>
  <c r="AL58" i="11" s="1"/>
  <c r="AI58" i="11"/>
  <c r="AJ58" i="11" s="1"/>
  <c r="AG58" i="11"/>
  <c r="AH58" i="11" s="1"/>
  <c r="BC57" i="11"/>
  <c r="BD57" i="11" s="1"/>
  <c r="BA57" i="11"/>
  <c r="BB57" i="11" s="1"/>
  <c r="AY57" i="11"/>
  <c r="AZ57" i="11" s="1"/>
  <c r="AW57" i="11"/>
  <c r="AX57" i="11" s="1"/>
  <c r="AU57" i="11"/>
  <c r="AV57" i="11" s="1"/>
  <c r="AS57" i="11"/>
  <c r="AT57" i="11" s="1"/>
  <c r="AQ57" i="11"/>
  <c r="AR57" i="11" s="1"/>
  <c r="AO57" i="11"/>
  <c r="AP57" i="11" s="1"/>
  <c r="AN57" i="11"/>
  <c r="AM57" i="11"/>
  <c r="AK57" i="11"/>
  <c r="AL57" i="11" s="1"/>
  <c r="AI57" i="11"/>
  <c r="AJ57" i="11" s="1"/>
  <c r="AG57" i="11"/>
  <c r="AH57" i="11" s="1"/>
  <c r="BC56" i="11"/>
  <c r="BD56" i="11" s="1"/>
  <c r="BA56" i="11"/>
  <c r="BB56" i="11" s="1"/>
  <c r="AY56" i="11"/>
  <c r="AZ56" i="11" s="1"/>
  <c r="AW56" i="11"/>
  <c r="AX56" i="11" s="1"/>
  <c r="AU56" i="11"/>
  <c r="AV56" i="11" s="1"/>
  <c r="AS56" i="11"/>
  <c r="AT56" i="11" s="1"/>
  <c r="AQ56" i="11"/>
  <c r="AR56" i="11" s="1"/>
  <c r="AO56" i="11"/>
  <c r="AP56" i="11" s="1"/>
  <c r="AM56" i="11"/>
  <c r="AN56" i="11" s="1"/>
  <c r="AK56" i="11"/>
  <c r="AL56" i="11" s="1"/>
  <c r="AI56" i="11"/>
  <c r="AJ56" i="11" s="1"/>
  <c r="AG56" i="11"/>
  <c r="AH56" i="11" s="1"/>
  <c r="BC55" i="11"/>
  <c r="BD55" i="11" s="1"/>
  <c r="BA55" i="11"/>
  <c r="BB55" i="11" s="1"/>
  <c r="AY55" i="11"/>
  <c r="AZ55" i="11" s="1"/>
  <c r="AW55" i="11"/>
  <c r="AX55" i="11" s="1"/>
  <c r="AU55" i="11"/>
  <c r="AV55" i="11" s="1"/>
  <c r="AS55" i="11"/>
  <c r="AT55" i="11" s="1"/>
  <c r="AQ55" i="11"/>
  <c r="AR55" i="11" s="1"/>
  <c r="AO55" i="11"/>
  <c r="AP55" i="11" s="1"/>
  <c r="AM55" i="11"/>
  <c r="AN55" i="11" s="1"/>
  <c r="AK55" i="11"/>
  <c r="AL55" i="11" s="1"/>
  <c r="AI55" i="11"/>
  <c r="AJ55" i="11" s="1"/>
  <c r="AG55" i="11"/>
  <c r="AH55" i="11" s="1"/>
  <c r="BC54" i="11"/>
  <c r="BD54" i="11" s="1"/>
  <c r="BA54" i="11"/>
  <c r="BB54" i="11" s="1"/>
  <c r="AY54" i="11"/>
  <c r="AZ54" i="11" s="1"/>
  <c r="AW54" i="11"/>
  <c r="AX54" i="11" s="1"/>
  <c r="AU54" i="11"/>
  <c r="AV54" i="11" s="1"/>
  <c r="AS54" i="11"/>
  <c r="AT54" i="11" s="1"/>
  <c r="AQ54" i="11"/>
  <c r="AR54" i="11" s="1"/>
  <c r="AO54" i="11"/>
  <c r="AP54" i="11" s="1"/>
  <c r="AM54" i="11"/>
  <c r="AN54" i="11" s="1"/>
  <c r="AK54" i="11"/>
  <c r="AL54" i="11" s="1"/>
  <c r="AI54" i="11"/>
  <c r="AJ54" i="11" s="1"/>
  <c r="AG54" i="11"/>
  <c r="AH54" i="11" s="1"/>
  <c r="BC53" i="11"/>
  <c r="BD53" i="11" s="1"/>
  <c r="BA53" i="11"/>
  <c r="BB53" i="11" s="1"/>
  <c r="AY53" i="11"/>
  <c r="AZ53" i="11" s="1"/>
  <c r="AW53" i="11"/>
  <c r="AX53" i="11" s="1"/>
  <c r="AU53" i="11"/>
  <c r="AV53" i="11" s="1"/>
  <c r="AS53" i="11"/>
  <c r="AT53" i="11" s="1"/>
  <c r="AQ53" i="11"/>
  <c r="AR53" i="11" s="1"/>
  <c r="AO53" i="11"/>
  <c r="AP53" i="11" s="1"/>
  <c r="AM53" i="11"/>
  <c r="AN53" i="11" s="1"/>
  <c r="AK53" i="11"/>
  <c r="AL53" i="11" s="1"/>
  <c r="AI53" i="11"/>
  <c r="AJ53" i="11" s="1"/>
  <c r="AG53" i="11"/>
  <c r="AH53" i="11" s="1"/>
  <c r="BC52" i="11"/>
  <c r="BD52" i="11" s="1"/>
  <c r="BA52" i="11"/>
  <c r="BB52" i="11" s="1"/>
  <c r="AY52" i="11"/>
  <c r="AZ52" i="11" s="1"/>
  <c r="AW52" i="11"/>
  <c r="AX52" i="11" s="1"/>
  <c r="AU52" i="11"/>
  <c r="AV52" i="11" s="1"/>
  <c r="AS52" i="11"/>
  <c r="AT52" i="11" s="1"/>
  <c r="AQ52" i="11"/>
  <c r="AR52" i="11" s="1"/>
  <c r="AO52" i="11"/>
  <c r="AP52" i="11" s="1"/>
  <c r="AM52" i="11"/>
  <c r="AN52" i="11" s="1"/>
  <c r="AK52" i="11"/>
  <c r="AL52" i="11" s="1"/>
  <c r="AI52" i="11"/>
  <c r="AJ52" i="11" s="1"/>
  <c r="AG52" i="11"/>
  <c r="AH52" i="11" s="1"/>
  <c r="BC51" i="11"/>
  <c r="BD51" i="11" s="1"/>
  <c r="BA51" i="11"/>
  <c r="BB51" i="11" s="1"/>
  <c r="AY51" i="11"/>
  <c r="AZ51" i="11" s="1"/>
  <c r="AW51" i="11"/>
  <c r="AX51" i="11" s="1"/>
  <c r="AU51" i="11"/>
  <c r="AV51" i="11" s="1"/>
  <c r="AS51" i="11"/>
  <c r="AT51" i="11" s="1"/>
  <c r="AQ51" i="11"/>
  <c r="AR51" i="11" s="1"/>
  <c r="AO51" i="11"/>
  <c r="AP51" i="11" s="1"/>
  <c r="AN51" i="11"/>
  <c r="AM51" i="11"/>
  <c r="AK51" i="11"/>
  <c r="AL51" i="11" s="1"/>
  <c r="AI51" i="11"/>
  <c r="AJ51" i="11" s="1"/>
  <c r="AG51" i="11"/>
  <c r="AH51" i="11" s="1"/>
  <c r="BC50" i="11"/>
  <c r="BD50" i="11" s="1"/>
  <c r="BA50" i="11"/>
  <c r="BB50" i="11" s="1"/>
  <c r="AY50" i="11"/>
  <c r="AZ50" i="11" s="1"/>
  <c r="AW50" i="11"/>
  <c r="AX50" i="11" s="1"/>
  <c r="AU50" i="11"/>
  <c r="AV50" i="11" s="1"/>
  <c r="AS50" i="11"/>
  <c r="AT50" i="11" s="1"/>
  <c r="AQ50" i="11"/>
  <c r="AR50" i="11" s="1"/>
  <c r="AO50" i="11"/>
  <c r="AP50" i="11" s="1"/>
  <c r="AN50" i="11"/>
  <c r="AM50" i="11"/>
  <c r="AK50" i="11"/>
  <c r="AL50" i="11" s="1"/>
  <c r="AI50" i="11"/>
  <c r="AJ50" i="11" s="1"/>
  <c r="AG50" i="11"/>
  <c r="AH50" i="11" s="1"/>
  <c r="BD49" i="11"/>
  <c r="BC49" i="11"/>
  <c r="BA49" i="11"/>
  <c r="BB49" i="11" s="1"/>
  <c r="AY49" i="11"/>
  <c r="AZ49" i="11" s="1"/>
  <c r="AW49" i="11"/>
  <c r="AX49" i="11" s="1"/>
  <c r="AU49" i="11"/>
  <c r="AV49" i="11" s="1"/>
  <c r="AS49" i="11"/>
  <c r="AT49" i="11" s="1"/>
  <c r="AQ49" i="11"/>
  <c r="AR49" i="11" s="1"/>
  <c r="AO49" i="11"/>
  <c r="AP49" i="11" s="1"/>
  <c r="AN49" i="11"/>
  <c r="AM49" i="11"/>
  <c r="AK49" i="11"/>
  <c r="AL49" i="11" s="1"/>
  <c r="AI49" i="11"/>
  <c r="AJ49" i="11" s="1"/>
  <c r="AG49" i="11"/>
  <c r="AH49" i="11" s="1"/>
  <c r="BD48" i="11"/>
  <c r="BC48" i="11"/>
  <c r="BA48" i="11"/>
  <c r="BB48" i="11" s="1"/>
  <c r="AY48" i="11"/>
  <c r="AZ48" i="11" s="1"/>
  <c r="AW48" i="11"/>
  <c r="AX48" i="11" s="1"/>
  <c r="AU48" i="11"/>
  <c r="AV48" i="11" s="1"/>
  <c r="AS48" i="11"/>
  <c r="AT48" i="11" s="1"/>
  <c r="AQ48" i="11"/>
  <c r="AR48" i="11" s="1"/>
  <c r="AO48" i="11"/>
  <c r="AP48" i="11" s="1"/>
  <c r="AM48" i="11"/>
  <c r="AN48" i="11" s="1"/>
  <c r="AK48" i="11"/>
  <c r="AL48" i="11" s="1"/>
  <c r="AI48" i="11"/>
  <c r="AJ48" i="11" s="1"/>
  <c r="AG48" i="11"/>
  <c r="AH48" i="11" s="1"/>
  <c r="BD47" i="11"/>
  <c r="BC47" i="11"/>
  <c r="BA47" i="11"/>
  <c r="BB47" i="11" s="1"/>
  <c r="AY47" i="11"/>
  <c r="AZ47" i="11" s="1"/>
  <c r="AW47" i="11"/>
  <c r="AX47" i="11" s="1"/>
  <c r="AU47" i="11"/>
  <c r="AV47" i="11" s="1"/>
  <c r="AS47" i="11"/>
  <c r="AT47" i="11" s="1"/>
  <c r="AQ47" i="11"/>
  <c r="AR47" i="11" s="1"/>
  <c r="AO47" i="11"/>
  <c r="AP47" i="11" s="1"/>
  <c r="AN47" i="11"/>
  <c r="AM47" i="11"/>
  <c r="AK47" i="11"/>
  <c r="AL47" i="11" s="1"/>
  <c r="AI47" i="11"/>
  <c r="AJ47" i="11" s="1"/>
  <c r="AG47" i="11"/>
  <c r="AH47" i="11" s="1"/>
  <c r="AC41" i="11"/>
  <c r="AB41" i="11"/>
  <c r="AA41" i="11"/>
  <c r="AY41" i="11" s="1"/>
  <c r="AZ41" i="11" s="1"/>
  <c r="Z41" i="11"/>
  <c r="Y41" i="11"/>
  <c r="X41" i="11"/>
  <c r="W41" i="11"/>
  <c r="V41" i="11"/>
  <c r="U41" i="11"/>
  <c r="AM41" i="11" s="1"/>
  <c r="AN41" i="11" s="1"/>
  <c r="T41" i="11"/>
  <c r="S41" i="11"/>
  <c r="R41" i="11"/>
  <c r="N41" i="11"/>
  <c r="BC41" i="11" s="1"/>
  <c r="BD41" i="11" s="1"/>
  <c r="M41" i="11"/>
  <c r="L41" i="11"/>
  <c r="K41" i="11"/>
  <c r="J41" i="11"/>
  <c r="AU41" i="11" s="1"/>
  <c r="AV41" i="11" s="1"/>
  <c r="I41" i="11"/>
  <c r="AS41" i="11" s="1"/>
  <c r="AT41" i="11" s="1"/>
  <c r="H41" i="11"/>
  <c r="AQ41" i="11" s="1"/>
  <c r="AR41" i="11" s="1"/>
  <c r="G41" i="11"/>
  <c r="AO41" i="11" s="1"/>
  <c r="AP41" i="11" s="1"/>
  <c r="F41" i="11"/>
  <c r="E41" i="11"/>
  <c r="D41" i="11"/>
  <c r="C41" i="11"/>
  <c r="AG41" i="11" s="1"/>
  <c r="AH41" i="11" s="1"/>
  <c r="BD40" i="11"/>
  <c r="BC40" i="11"/>
  <c r="BA40" i="11"/>
  <c r="BB40" i="11" s="1"/>
  <c r="AY40" i="11"/>
  <c r="AZ40" i="11" s="1"/>
  <c r="AW40" i="11"/>
  <c r="AX40" i="11" s="1"/>
  <c r="AU40" i="11"/>
  <c r="AV40" i="11" s="1"/>
  <c r="AS40" i="11"/>
  <c r="AT40" i="11" s="1"/>
  <c r="AQ40" i="11"/>
  <c r="AR40" i="11" s="1"/>
  <c r="AO40" i="11"/>
  <c r="AP40" i="11" s="1"/>
  <c r="AM40" i="11"/>
  <c r="AN40" i="11" s="1"/>
  <c r="AK40" i="11"/>
  <c r="AL40" i="11" s="1"/>
  <c r="AI40" i="11"/>
  <c r="AJ40" i="11" s="1"/>
  <c r="AG40" i="11"/>
  <c r="AH40" i="11" s="1"/>
  <c r="BC39" i="11"/>
  <c r="BD39" i="11" s="1"/>
  <c r="BA39" i="11"/>
  <c r="BB39" i="11" s="1"/>
  <c r="AY39" i="11"/>
  <c r="AZ39" i="11" s="1"/>
  <c r="AW39" i="11"/>
  <c r="AX39" i="11" s="1"/>
  <c r="AU39" i="11"/>
  <c r="AV39" i="11" s="1"/>
  <c r="AS39" i="11"/>
  <c r="AT39" i="11" s="1"/>
  <c r="AQ39" i="11"/>
  <c r="AR39" i="11" s="1"/>
  <c r="AO39" i="11"/>
  <c r="AP39" i="11" s="1"/>
  <c r="AM39" i="11"/>
  <c r="AN39" i="11" s="1"/>
  <c r="AK39" i="11"/>
  <c r="AL39" i="11" s="1"/>
  <c r="AJ39" i="11"/>
  <c r="AI39" i="11"/>
  <c r="AG39" i="11"/>
  <c r="AH39" i="11" s="1"/>
  <c r="BD38" i="11"/>
  <c r="BC38" i="11"/>
  <c r="BA38" i="11"/>
  <c r="BB38" i="11" s="1"/>
  <c r="AY38" i="11"/>
  <c r="AZ38" i="11" s="1"/>
  <c r="AW38" i="11"/>
  <c r="AX38" i="11" s="1"/>
  <c r="AU38" i="11"/>
  <c r="AV38" i="11" s="1"/>
  <c r="AS38" i="11"/>
  <c r="AT38" i="11" s="1"/>
  <c r="AR38" i="11"/>
  <c r="AQ38" i="11"/>
  <c r="AO38" i="11"/>
  <c r="AP38" i="11" s="1"/>
  <c r="AM38" i="11"/>
  <c r="AN38" i="11" s="1"/>
  <c r="AK38" i="11"/>
  <c r="AL38" i="11" s="1"/>
  <c r="AI38" i="11"/>
  <c r="AJ38" i="11" s="1"/>
  <c r="AG38" i="11"/>
  <c r="AH38" i="11" s="1"/>
  <c r="BC37" i="11"/>
  <c r="BD37" i="11" s="1"/>
  <c r="BA37" i="11"/>
  <c r="BB37" i="11" s="1"/>
  <c r="AY37" i="11"/>
  <c r="AZ37" i="11" s="1"/>
  <c r="AW37" i="11"/>
  <c r="AX37" i="11" s="1"/>
  <c r="AU37" i="11"/>
  <c r="AV37" i="11" s="1"/>
  <c r="AS37" i="11"/>
  <c r="AT37" i="11" s="1"/>
  <c r="AQ37" i="11"/>
  <c r="AR37" i="11" s="1"/>
  <c r="AO37" i="11"/>
  <c r="AP37" i="11" s="1"/>
  <c r="AN37" i="11"/>
  <c r="AM37" i="11"/>
  <c r="AK37" i="11"/>
  <c r="AL37" i="11" s="1"/>
  <c r="AJ37" i="11"/>
  <c r="AI37" i="11"/>
  <c r="AG37" i="11"/>
  <c r="AH37" i="11" s="1"/>
  <c r="BC36" i="11"/>
  <c r="BD36" i="11" s="1"/>
  <c r="BA36" i="11"/>
  <c r="BB36" i="11" s="1"/>
  <c r="AY36" i="11"/>
  <c r="AZ36" i="11" s="1"/>
  <c r="AW36" i="11"/>
  <c r="AX36" i="11" s="1"/>
  <c r="AU36" i="11"/>
  <c r="AV36" i="11" s="1"/>
  <c r="AS36" i="11"/>
  <c r="AT36" i="11" s="1"/>
  <c r="AR36" i="11"/>
  <c r="AQ36" i="11"/>
  <c r="AO36" i="11"/>
  <c r="AP36" i="11" s="1"/>
  <c r="AM36" i="11"/>
  <c r="AN36" i="11" s="1"/>
  <c r="AK36" i="11"/>
  <c r="AL36" i="11" s="1"/>
  <c r="AI36" i="11"/>
  <c r="AJ36" i="11" s="1"/>
  <c r="AG36" i="11"/>
  <c r="AH36" i="11" s="1"/>
  <c r="BC35" i="11"/>
  <c r="BD35" i="11" s="1"/>
  <c r="BA35" i="11"/>
  <c r="BB35" i="11" s="1"/>
  <c r="AY35" i="11"/>
  <c r="AZ35" i="11" s="1"/>
  <c r="AW35" i="11"/>
  <c r="AX35" i="11" s="1"/>
  <c r="AV35" i="11"/>
  <c r="AU35" i="11"/>
  <c r="AS35" i="11"/>
  <c r="AT35" i="11" s="1"/>
  <c r="AQ35" i="11"/>
  <c r="AR35" i="11" s="1"/>
  <c r="AO35" i="11"/>
  <c r="AP35" i="11" s="1"/>
  <c r="AM35" i="11"/>
  <c r="AN35" i="11" s="1"/>
  <c r="AK35" i="11"/>
  <c r="AL35" i="11" s="1"/>
  <c r="AI35" i="11"/>
  <c r="AJ35" i="11" s="1"/>
  <c r="AG35" i="11"/>
  <c r="AH35" i="11" s="1"/>
  <c r="BC34" i="11"/>
  <c r="BD34" i="11" s="1"/>
  <c r="BA34" i="11"/>
  <c r="BB34" i="11" s="1"/>
  <c r="AY34" i="11"/>
  <c r="AZ34" i="11" s="1"/>
  <c r="AW34" i="11"/>
  <c r="AX34" i="11" s="1"/>
  <c r="AV34" i="11"/>
  <c r="AU34" i="11"/>
  <c r="AS34" i="11"/>
  <c r="AT34" i="11" s="1"/>
  <c r="AQ34" i="11"/>
  <c r="AR34" i="11" s="1"/>
  <c r="AO34" i="11"/>
  <c r="AP34" i="11" s="1"/>
  <c r="AM34" i="11"/>
  <c r="AN34" i="11" s="1"/>
  <c r="AK34" i="11"/>
  <c r="AL34" i="11" s="1"/>
  <c r="AI34" i="11"/>
  <c r="AJ34" i="11" s="1"/>
  <c r="AG34" i="11"/>
  <c r="AH34" i="11" s="1"/>
  <c r="BC33" i="11"/>
  <c r="BD33" i="11" s="1"/>
  <c r="BA33" i="11"/>
  <c r="BB33" i="11" s="1"/>
  <c r="AY33" i="11"/>
  <c r="AZ33" i="11" s="1"/>
  <c r="AW33" i="11"/>
  <c r="AX33" i="11" s="1"/>
  <c r="AU33" i="11"/>
  <c r="AV33" i="11" s="1"/>
  <c r="AS33" i="11"/>
  <c r="AT33" i="11" s="1"/>
  <c r="AR33" i="11"/>
  <c r="AQ33" i="11"/>
  <c r="AO33" i="11"/>
  <c r="AP33" i="11" s="1"/>
  <c r="AM33" i="11"/>
  <c r="AN33" i="11" s="1"/>
  <c r="AK33" i="11"/>
  <c r="AL33" i="11" s="1"/>
  <c r="AI33" i="11"/>
  <c r="AJ33" i="11" s="1"/>
  <c r="AG33" i="11"/>
  <c r="AH33" i="11" s="1"/>
  <c r="BC32" i="11"/>
  <c r="BD32" i="11" s="1"/>
  <c r="BA32" i="11"/>
  <c r="BB32" i="11" s="1"/>
  <c r="AY32" i="11"/>
  <c r="AZ32" i="11" s="1"/>
  <c r="AW32" i="11"/>
  <c r="AX32" i="11" s="1"/>
  <c r="AU32" i="11"/>
  <c r="AV32" i="11" s="1"/>
  <c r="AS32" i="11"/>
  <c r="AT32" i="11" s="1"/>
  <c r="AQ32" i="11"/>
  <c r="AR32" i="11" s="1"/>
  <c r="AO32" i="11"/>
  <c r="AP32" i="11" s="1"/>
  <c r="AN32" i="11"/>
  <c r="AM32" i="11"/>
  <c r="AK32" i="11"/>
  <c r="AL32" i="11" s="1"/>
  <c r="AI32" i="11"/>
  <c r="AJ32" i="11" s="1"/>
  <c r="AG32" i="11"/>
  <c r="AH32" i="11" s="1"/>
  <c r="BC31" i="11"/>
  <c r="BD31" i="11" s="1"/>
  <c r="BA31" i="11"/>
  <c r="BB31" i="11" s="1"/>
  <c r="AY31" i="11"/>
  <c r="AZ31" i="11" s="1"/>
  <c r="AW31" i="11"/>
  <c r="AX31" i="11" s="1"/>
  <c r="AU31" i="11"/>
  <c r="AV31" i="11" s="1"/>
  <c r="AS31" i="11"/>
  <c r="AT31" i="11" s="1"/>
  <c r="AR31" i="11"/>
  <c r="AQ31" i="11"/>
  <c r="AO31" i="11"/>
  <c r="AP31" i="11" s="1"/>
  <c r="AM31" i="11"/>
  <c r="AN31" i="11" s="1"/>
  <c r="AK31" i="11"/>
  <c r="AL31" i="11" s="1"/>
  <c r="AI31" i="11"/>
  <c r="AJ31" i="11" s="1"/>
  <c r="AG31" i="11"/>
  <c r="AH31" i="11" s="1"/>
  <c r="BC30" i="11"/>
  <c r="BD30" i="11" s="1"/>
  <c r="BA30" i="11"/>
  <c r="BB30" i="11" s="1"/>
  <c r="AY30" i="11"/>
  <c r="AZ30" i="11" s="1"/>
  <c r="AW30" i="11"/>
  <c r="AX30" i="11" s="1"/>
  <c r="AV30" i="11"/>
  <c r="AU30" i="11"/>
  <c r="AS30" i="11"/>
  <c r="AT30" i="11" s="1"/>
  <c r="AR30" i="11"/>
  <c r="AQ30" i="11"/>
  <c r="AO30" i="11"/>
  <c r="AP30" i="11" s="1"/>
  <c r="AM30" i="11"/>
  <c r="AN30" i="11" s="1"/>
  <c r="AK30" i="11"/>
  <c r="AL30" i="11" s="1"/>
  <c r="AI30" i="11"/>
  <c r="AJ30" i="11" s="1"/>
  <c r="AG30" i="11"/>
  <c r="AH30" i="11" s="1"/>
  <c r="BC29" i="11"/>
  <c r="BD29" i="11" s="1"/>
  <c r="BA29" i="11"/>
  <c r="BB29" i="11" s="1"/>
  <c r="AY29" i="11"/>
  <c r="AZ29" i="11" s="1"/>
  <c r="AW29" i="11"/>
  <c r="AX29" i="11" s="1"/>
  <c r="AU29" i="11"/>
  <c r="AV29" i="11" s="1"/>
  <c r="AS29" i="11"/>
  <c r="AT29" i="11" s="1"/>
  <c r="AQ29" i="11"/>
  <c r="AR29" i="11" s="1"/>
  <c r="AO29" i="11"/>
  <c r="AP29" i="11" s="1"/>
  <c r="AN29" i="11"/>
  <c r="AM29" i="11"/>
  <c r="AK29" i="11"/>
  <c r="AL29" i="11" s="1"/>
  <c r="AI29" i="11"/>
  <c r="AJ29" i="11" s="1"/>
  <c r="AG29" i="11"/>
  <c r="AH29" i="11" s="1"/>
  <c r="BC28" i="11"/>
  <c r="BD28" i="11" s="1"/>
  <c r="BA28" i="11"/>
  <c r="BB28" i="11" s="1"/>
  <c r="AY28" i="11"/>
  <c r="AZ28" i="11" s="1"/>
  <c r="AW28" i="11"/>
  <c r="AX28" i="11" s="1"/>
  <c r="AU28" i="11"/>
  <c r="AV28" i="11" s="1"/>
  <c r="AT28" i="11"/>
  <c r="AS28" i="11"/>
  <c r="AR28" i="11"/>
  <c r="AQ28" i="11"/>
  <c r="AP28" i="11"/>
  <c r="AO28" i="11"/>
  <c r="AM28" i="11"/>
  <c r="AN28" i="11" s="1"/>
  <c r="AK28" i="11"/>
  <c r="AL28" i="11" s="1"/>
  <c r="AI28" i="11"/>
  <c r="AJ28" i="11" s="1"/>
  <c r="AG28" i="11"/>
  <c r="AH28" i="11" s="1"/>
  <c r="BC27" i="11"/>
  <c r="BD27" i="11" s="1"/>
  <c r="BB27" i="11"/>
  <c r="BA27" i="11"/>
  <c r="AY27" i="11"/>
  <c r="AZ27" i="11" s="1"/>
  <c r="AW27" i="11"/>
  <c r="AX27" i="11" s="1"/>
  <c r="AU27" i="11"/>
  <c r="AV27" i="11" s="1"/>
  <c r="AS27" i="11"/>
  <c r="AT27" i="11" s="1"/>
  <c r="AQ27" i="11"/>
  <c r="AR27" i="11" s="1"/>
  <c r="AO27" i="11"/>
  <c r="AP27" i="11" s="1"/>
  <c r="AM27" i="11"/>
  <c r="AN27" i="11" s="1"/>
  <c r="AK27" i="11"/>
  <c r="AL27" i="11" s="1"/>
  <c r="AI27" i="11"/>
  <c r="AJ27" i="11" s="1"/>
  <c r="AG27" i="11"/>
  <c r="AH27" i="11" s="1"/>
  <c r="AC21" i="11"/>
  <c r="AB21" i="11"/>
  <c r="AA21" i="11"/>
  <c r="Z21" i="11"/>
  <c r="Y21" i="11"/>
  <c r="X21" i="11"/>
  <c r="W21" i="11"/>
  <c r="V21" i="11"/>
  <c r="S21" i="11"/>
  <c r="R21" i="11"/>
  <c r="N21" i="11"/>
  <c r="M21" i="11"/>
  <c r="L21" i="11"/>
  <c r="AY21" i="11" s="1"/>
  <c r="AZ21" i="11" s="1"/>
  <c r="K21" i="11"/>
  <c r="J21" i="11"/>
  <c r="I21" i="11"/>
  <c r="H21" i="11"/>
  <c r="AQ21" i="11" s="1"/>
  <c r="AR21" i="11" s="1"/>
  <c r="G21" i="11"/>
  <c r="AO21" i="11" s="1"/>
  <c r="AP21" i="11" s="1"/>
  <c r="F21" i="11"/>
  <c r="E21" i="11"/>
  <c r="D21" i="11"/>
  <c r="C21" i="11"/>
  <c r="BC20" i="11"/>
  <c r="BD20" i="11" s="1"/>
  <c r="BA20" i="11"/>
  <c r="BB20" i="11" s="1"/>
  <c r="AZ20" i="11"/>
  <c r="AY20" i="11"/>
  <c r="AW20" i="11"/>
  <c r="AX20" i="11" s="1"/>
  <c r="AU20" i="11"/>
  <c r="AV20" i="11" s="1"/>
  <c r="AS20" i="11"/>
  <c r="AT20" i="11" s="1"/>
  <c r="AR20" i="11"/>
  <c r="AQ20" i="11"/>
  <c r="AO20" i="11"/>
  <c r="AP20" i="11" s="1"/>
  <c r="AI20" i="11"/>
  <c r="AJ20" i="11" s="1"/>
  <c r="AG20" i="11"/>
  <c r="AH20" i="11" s="1"/>
  <c r="AM20" i="11"/>
  <c r="AN20" i="11" s="1"/>
  <c r="AK20" i="11"/>
  <c r="AL20" i="11" s="1"/>
  <c r="BD19" i="11"/>
  <c r="BC19" i="11"/>
  <c r="BA19" i="11"/>
  <c r="BB19" i="11" s="1"/>
  <c r="AY19" i="11"/>
  <c r="AZ19" i="11" s="1"/>
  <c r="AW19" i="11"/>
  <c r="AX19" i="11" s="1"/>
  <c r="AU19" i="11"/>
  <c r="AV19" i="11" s="1"/>
  <c r="AT19" i="11"/>
  <c r="AS19" i="11"/>
  <c r="AQ19" i="11"/>
  <c r="AR19" i="11" s="1"/>
  <c r="AO19" i="11"/>
  <c r="AP19" i="11" s="1"/>
  <c r="AI19" i="11"/>
  <c r="AJ19" i="11" s="1"/>
  <c r="AG19" i="11"/>
  <c r="AH19" i="11" s="1"/>
  <c r="AM19" i="11"/>
  <c r="AN19" i="11" s="1"/>
  <c r="AK19" i="11"/>
  <c r="AL19" i="11" s="1"/>
  <c r="BC18" i="11"/>
  <c r="BD18" i="11" s="1"/>
  <c r="BA18" i="11"/>
  <c r="BB18" i="11" s="1"/>
  <c r="AY18" i="11"/>
  <c r="AZ18" i="11" s="1"/>
  <c r="AW18" i="11"/>
  <c r="AX18" i="11" s="1"/>
  <c r="AU18" i="11"/>
  <c r="AV18" i="11" s="1"/>
  <c r="AS18" i="11"/>
  <c r="AT18" i="11" s="1"/>
  <c r="AQ18" i="11"/>
  <c r="AR18" i="11" s="1"/>
  <c r="AO18" i="11"/>
  <c r="AP18" i="11" s="1"/>
  <c r="AI18" i="11"/>
  <c r="AJ18" i="11" s="1"/>
  <c r="AG18" i="11"/>
  <c r="AH18" i="11" s="1"/>
  <c r="AM18" i="11"/>
  <c r="AN18" i="11" s="1"/>
  <c r="AK18" i="11"/>
  <c r="AL18" i="11" s="1"/>
  <c r="BD17" i="11"/>
  <c r="BC17" i="11"/>
  <c r="BA17" i="11"/>
  <c r="BB17" i="11" s="1"/>
  <c r="AY17" i="11"/>
  <c r="AZ17" i="11" s="1"/>
  <c r="AX17" i="11"/>
  <c r="AW17" i="11"/>
  <c r="AV17" i="11"/>
  <c r="AU17" i="11"/>
  <c r="AT17" i="11"/>
  <c r="AS17" i="11"/>
  <c r="AQ17" i="11"/>
  <c r="AR17" i="11" s="1"/>
  <c r="AP17" i="11"/>
  <c r="AO17" i="11"/>
  <c r="AI17" i="11"/>
  <c r="AJ17" i="11" s="1"/>
  <c r="AG17" i="11"/>
  <c r="AH17" i="11" s="1"/>
  <c r="AM17" i="11"/>
  <c r="AN17" i="11" s="1"/>
  <c r="AK17" i="11"/>
  <c r="AL17" i="11" s="1"/>
  <c r="AQ10" i="11"/>
  <c r="AR10" i="11" s="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N10" i="11"/>
  <c r="M10" i="11"/>
  <c r="L10" i="11"/>
  <c r="AY10" i="11" s="1"/>
  <c r="AZ10" i="11" s="1"/>
  <c r="K10" i="11"/>
  <c r="AW10" i="11" s="1"/>
  <c r="AX10" i="11" s="1"/>
  <c r="J10" i="11"/>
  <c r="I10" i="11"/>
  <c r="AS10" i="11" s="1"/>
  <c r="AT10" i="11" s="1"/>
  <c r="H10" i="11"/>
  <c r="G10" i="11"/>
  <c r="AO10" i="11" s="1"/>
  <c r="AP10" i="11" s="1"/>
  <c r="F10" i="11"/>
  <c r="AM10" i="11" s="1"/>
  <c r="AN10" i="11" s="1"/>
  <c r="E10" i="11"/>
  <c r="D10" i="11"/>
  <c r="C10" i="11"/>
  <c r="BC9" i="11"/>
  <c r="BD9" i="11" s="1"/>
  <c r="BA9" i="11"/>
  <c r="BB9" i="11" s="1"/>
  <c r="AY9" i="11"/>
  <c r="AZ9" i="11" s="1"/>
  <c r="AW9" i="11"/>
  <c r="AX9" i="11" s="1"/>
  <c r="AU9" i="11"/>
  <c r="AV9" i="11" s="1"/>
  <c r="AS9" i="11"/>
  <c r="AT9" i="11" s="1"/>
  <c r="AQ9" i="11"/>
  <c r="AR9" i="11" s="1"/>
  <c r="AO9" i="11"/>
  <c r="AP9" i="11" s="1"/>
  <c r="AM9" i="11"/>
  <c r="AN9" i="11" s="1"/>
  <c r="AK9" i="11"/>
  <c r="AL9" i="11" s="1"/>
  <c r="AI9" i="11"/>
  <c r="AJ9" i="11" s="1"/>
  <c r="AG9" i="11"/>
  <c r="AH9" i="11" s="1"/>
  <c r="BC8" i="11"/>
  <c r="BD8" i="11" s="1"/>
  <c r="BA8" i="11"/>
  <c r="BB8" i="11" s="1"/>
  <c r="AY8" i="11"/>
  <c r="AZ8" i="11" s="1"/>
  <c r="AX8" i="11"/>
  <c r="AW8" i="11"/>
  <c r="AU8" i="11"/>
  <c r="AV8" i="11" s="1"/>
  <c r="AS8" i="11"/>
  <c r="AT8" i="11" s="1"/>
  <c r="AQ8" i="11"/>
  <c r="AR8" i="11" s="1"/>
  <c r="AP8" i="11"/>
  <c r="AO8" i="11"/>
  <c r="AM8" i="11"/>
  <c r="AN8" i="11" s="1"/>
  <c r="AK8" i="11"/>
  <c r="AL8" i="11" s="1"/>
  <c r="AI8" i="11"/>
  <c r="AJ8" i="11" s="1"/>
  <c r="AG8" i="11"/>
  <c r="AH8" i="11" s="1"/>
  <c r="BC7" i="11"/>
  <c r="BD7" i="11" s="1"/>
  <c r="BA7" i="11"/>
  <c r="BB7" i="11" s="1"/>
  <c r="AZ7" i="11"/>
  <c r="AY7" i="11"/>
  <c r="AX7" i="11"/>
  <c r="AW7" i="11"/>
  <c r="AU7" i="11"/>
  <c r="AV7" i="11" s="1"/>
  <c r="AS7" i="11"/>
  <c r="AT7" i="11" s="1"/>
  <c r="AR7" i="11"/>
  <c r="AQ7" i="11"/>
  <c r="AP7" i="11"/>
  <c r="AO7" i="11"/>
  <c r="AM7" i="11"/>
  <c r="AN7" i="11" s="1"/>
  <c r="AK7" i="11"/>
  <c r="AL7" i="11" s="1"/>
  <c r="AI7" i="11"/>
  <c r="AJ7" i="11" s="1"/>
  <c r="AG7" i="11"/>
  <c r="AH7" i="11" s="1"/>
  <c r="BC6" i="11"/>
  <c r="BD6" i="11" s="1"/>
  <c r="BB6" i="11"/>
  <c r="BA6" i="11"/>
  <c r="AZ6" i="11"/>
  <c r="AY6" i="11"/>
  <c r="AX6" i="11"/>
  <c r="AW6" i="11"/>
  <c r="AU6" i="11"/>
  <c r="AV6" i="11" s="1"/>
  <c r="AT6" i="11"/>
  <c r="AS6" i="11"/>
  <c r="AR6" i="11"/>
  <c r="AQ6" i="11"/>
  <c r="AP6" i="11"/>
  <c r="AO6" i="11"/>
  <c r="AM6" i="11"/>
  <c r="AN6" i="11" s="1"/>
  <c r="AK6" i="11"/>
  <c r="AL6" i="11" s="1"/>
  <c r="AI6" i="11"/>
  <c r="AJ6" i="11" s="1"/>
  <c r="AG6" i="11"/>
  <c r="AH6" i="11" s="1"/>
  <c r="BC5" i="11"/>
  <c r="BD5" i="11" s="1"/>
  <c r="BB5" i="11"/>
  <c r="BA5" i="11"/>
  <c r="AZ5" i="11"/>
  <c r="AY5" i="11"/>
  <c r="AW5" i="11"/>
  <c r="AX5" i="11" s="1"/>
  <c r="AU5" i="11"/>
  <c r="AV5" i="11" s="1"/>
  <c r="AT5" i="11"/>
  <c r="AS5" i="11"/>
  <c r="AR5" i="11"/>
  <c r="AQ5" i="11"/>
  <c r="AO5" i="11"/>
  <c r="AP5" i="11" s="1"/>
  <c r="AM5" i="11"/>
  <c r="AN5" i="11" s="1"/>
  <c r="AL5" i="11"/>
  <c r="AK5" i="11"/>
  <c r="AI5" i="11"/>
  <c r="AJ5" i="11" s="1"/>
  <c r="AG5" i="11"/>
  <c r="AH5" i="11" s="1"/>
  <c r="AC61" i="10"/>
  <c r="AB61" i="10"/>
  <c r="BA61" i="10" s="1"/>
  <c r="BB61" i="10" s="1"/>
  <c r="AA61" i="10"/>
  <c r="Z61" i="10"/>
  <c r="Y61" i="10"/>
  <c r="X61" i="10"/>
  <c r="W61" i="10"/>
  <c r="V61" i="10"/>
  <c r="AO61" i="10" s="1"/>
  <c r="AP61" i="10" s="1"/>
  <c r="U61" i="10"/>
  <c r="T61" i="10"/>
  <c r="S61" i="10"/>
  <c r="R61" i="10"/>
  <c r="N61" i="10"/>
  <c r="BC61" i="10" s="1"/>
  <c r="BD61" i="10" s="1"/>
  <c r="M61" i="10"/>
  <c r="L61" i="10"/>
  <c r="AY61" i="10" s="1"/>
  <c r="AZ61" i="10" s="1"/>
  <c r="K61" i="10"/>
  <c r="AW61" i="10" s="1"/>
  <c r="AX61" i="10" s="1"/>
  <c r="J61" i="10"/>
  <c r="AU61" i="10" s="1"/>
  <c r="AV61" i="10" s="1"/>
  <c r="I61" i="10"/>
  <c r="AS61" i="10" s="1"/>
  <c r="AT61" i="10" s="1"/>
  <c r="H61" i="10"/>
  <c r="G61" i="10"/>
  <c r="F61" i="10"/>
  <c r="E61" i="10"/>
  <c r="D61" i="10"/>
  <c r="C61" i="10"/>
  <c r="BC60" i="10"/>
  <c r="BD60" i="10" s="1"/>
  <c r="BA60" i="10"/>
  <c r="BB60" i="10" s="1"/>
  <c r="AY60" i="10"/>
  <c r="AZ60" i="10" s="1"/>
  <c r="AW60" i="10"/>
  <c r="AX60" i="10" s="1"/>
  <c r="AU60" i="10"/>
  <c r="AV60" i="10" s="1"/>
  <c r="AS60" i="10"/>
  <c r="AT60" i="10" s="1"/>
  <c r="AQ60" i="10"/>
  <c r="AR60" i="10" s="1"/>
  <c r="AO60" i="10"/>
  <c r="AP60" i="10" s="1"/>
  <c r="AM60" i="10"/>
  <c r="AN60" i="10" s="1"/>
  <c r="AK60" i="10"/>
  <c r="AL60" i="10" s="1"/>
  <c r="AI60" i="10"/>
  <c r="AJ60" i="10" s="1"/>
  <c r="AG60" i="10"/>
  <c r="AH60" i="10" s="1"/>
  <c r="BC59" i="10"/>
  <c r="BD59" i="10" s="1"/>
  <c r="BA59" i="10"/>
  <c r="BB59" i="10" s="1"/>
  <c r="AY59" i="10"/>
  <c r="AZ59" i="10" s="1"/>
  <c r="AW59" i="10"/>
  <c r="AX59" i="10" s="1"/>
  <c r="AU59" i="10"/>
  <c r="AV59" i="10" s="1"/>
  <c r="AS59" i="10"/>
  <c r="AT59" i="10" s="1"/>
  <c r="AQ59" i="10"/>
  <c r="AR59" i="10" s="1"/>
  <c r="AP59" i="10"/>
  <c r="AO59" i="10"/>
  <c r="AM59" i="10"/>
  <c r="AN59" i="10" s="1"/>
  <c r="AK59" i="10"/>
  <c r="AL59" i="10" s="1"/>
  <c r="AI59" i="10"/>
  <c r="AJ59" i="10" s="1"/>
  <c r="AG59" i="10"/>
  <c r="AH59" i="10" s="1"/>
  <c r="BC58" i="10"/>
  <c r="BD58" i="10" s="1"/>
  <c r="BA58" i="10"/>
  <c r="BB58" i="10" s="1"/>
  <c r="AY58" i="10"/>
  <c r="AZ58" i="10" s="1"/>
  <c r="AX58" i="10"/>
  <c r="AW58" i="10"/>
  <c r="AU58" i="10"/>
  <c r="AV58" i="10" s="1"/>
  <c r="AS58" i="10"/>
  <c r="AT58" i="10" s="1"/>
  <c r="AQ58" i="10"/>
  <c r="AR58" i="10" s="1"/>
  <c r="AP58" i="10"/>
  <c r="AO58" i="10"/>
  <c r="AM58" i="10"/>
  <c r="AN58" i="10" s="1"/>
  <c r="AK58" i="10"/>
  <c r="AL58" i="10" s="1"/>
  <c r="AI58" i="10"/>
  <c r="AJ58" i="10" s="1"/>
  <c r="AG58" i="10"/>
  <c r="AH58" i="10" s="1"/>
  <c r="BC57" i="10"/>
  <c r="BD57" i="10" s="1"/>
  <c r="BA57" i="10"/>
  <c r="BB57" i="10" s="1"/>
  <c r="AY57" i="10"/>
  <c r="AZ57" i="10" s="1"/>
  <c r="AW57" i="10"/>
  <c r="AX57" i="10" s="1"/>
  <c r="AU57" i="10"/>
  <c r="AV57" i="10" s="1"/>
  <c r="AS57" i="10"/>
  <c r="AT57" i="10" s="1"/>
  <c r="AQ57" i="10"/>
  <c r="AR57" i="10" s="1"/>
  <c r="AO57" i="10"/>
  <c r="AP57" i="10" s="1"/>
  <c r="AM57" i="10"/>
  <c r="AN57" i="10" s="1"/>
  <c r="AK57" i="10"/>
  <c r="AL57" i="10" s="1"/>
  <c r="AI57" i="10"/>
  <c r="AJ57" i="10" s="1"/>
  <c r="AG57" i="10"/>
  <c r="AH57" i="10" s="1"/>
  <c r="BC56" i="10"/>
  <c r="BD56" i="10" s="1"/>
  <c r="BA56" i="10"/>
  <c r="BB56" i="10" s="1"/>
  <c r="AY56" i="10"/>
  <c r="AZ56" i="10" s="1"/>
  <c r="AW56" i="10"/>
  <c r="AX56" i="10" s="1"/>
  <c r="AU56" i="10"/>
  <c r="AV56" i="10" s="1"/>
  <c r="AS56" i="10"/>
  <c r="AT56" i="10" s="1"/>
  <c r="AQ56" i="10"/>
  <c r="AR56" i="10" s="1"/>
  <c r="AO56" i="10"/>
  <c r="AP56" i="10" s="1"/>
  <c r="AM56" i="10"/>
  <c r="AN56" i="10" s="1"/>
  <c r="AK56" i="10"/>
  <c r="AL56" i="10" s="1"/>
  <c r="AI56" i="10"/>
  <c r="AJ56" i="10" s="1"/>
  <c r="AG56" i="10"/>
  <c r="AH56" i="10" s="1"/>
  <c r="BC55" i="10"/>
  <c r="BD55" i="10" s="1"/>
  <c r="BA55" i="10"/>
  <c r="BB55" i="10" s="1"/>
  <c r="AY55" i="10"/>
  <c r="AZ55" i="10" s="1"/>
  <c r="AX55" i="10"/>
  <c r="AW55" i="10"/>
  <c r="AU55" i="10"/>
  <c r="AV55" i="10" s="1"/>
  <c r="AS55" i="10"/>
  <c r="AT55" i="10" s="1"/>
  <c r="AQ55" i="10"/>
  <c r="AR55" i="10" s="1"/>
  <c r="AO55" i="10"/>
  <c r="AP55" i="10" s="1"/>
  <c r="AM55" i="10"/>
  <c r="AN55" i="10" s="1"/>
  <c r="AK55" i="10"/>
  <c r="AL55" i="10" s="1"/>
  <c r="AI55" i="10"/>
  <c r="AJ55" i="10" s="1"/>
  <c r="AG55" i="10"/>
  <c r="AH55" i="10" s="1"/>
  <c r="BC54" i="10"/>
  <c r="BD54" i="10" s="1"/>
  <c r="BA54" i="10"/>
  <c r="BB54" i="10" s="1"/>
  <c r="AY54" i="10"/>
  <c r="AZ54" i="10" s="1"/>
  <c r="AW54" i="10"/>
  <c r="AX54" i="10" s="1"/>
  <c r="AU54" i="10"/>
  <c r="AV54" i="10" s="1"/>
  <c r="AS54" i="10"/>
  <c r="AT54" i="10" s="1"/>
  <c r="AQ54" i="10"/>
  <c r="AR54" i="10" s="1"/>
  <c r="AO54" i="10"/>
  <c r="AP54" i="10" s="1"/>
  <c r="AM54" i="10"/>
  <c r="AN54" i="10" s="1"/>
  <c r="AK54" i="10"/>
  <c r="AL54" i="10" s="1"/>
  <c r="AI54" i="10"/>
  <c r="AJ54" i="10" s="1"/>
  <c r="AG54" i="10"/>
  <c r="AH54" i="10" s="1"/>
  <c r="BC53" i="10"/>
  <c r="BD53" i="10" s="1"/>
  <c r="BA53" i="10"/>
  <c r="BB53" i="10" s="1"/>
  <c r="AY53" i="10"/>
  <c r="AZ53" i="10" s="1"/>
  <c r="AW53" i="10"/>
  <c r="AX53" i="10" s="1"/>
  <c r="AU53" i="10"/>
  <c r="AV53" i="10" s="1"/>
  <c r="AS53" i="10"/>
  <c r="AT53" i="10" s="1"/>
  <c r="AQ53" i="10"/>
  <c r="AR53" i="10" s="1"/>
  <c r="AP53" i="10"/>
  <c r="AO53" i="10"/>
  <c r="AM53" i="10"/>
  <c r="AN53" i="10" s="1"/>
  <c r="AK53" i="10"/>
  <c r="AL53" i="10" s="1"/>
  <c r="AI53" i="10"/>
  <c r="AJ53" i="10" s="1"/>
  <c r="AG53" i="10"/>
  <c r="AH53" i="10" s="1"/>
  <c r="BC52" i="10"/>
  <c r="BD52" i="10" s="1"/>
  <c r="BA52" i="10"/>
  <c r="BB52" i="10" s="1"/>
  <c r="AY52" i="10"/>
  <c r="AZ52" i="10" s="1"/>
  <c r="AW52" i="10"/>
  <c r="AX52" i="10" s="1"/>
  <c r="AU52" i="10"/>
  <c r="AV52" i="10" s="1"/>
  <c r="AS52" i="10"/>
  <c r="AT52" i="10" s="1"/>
  <c r="AQ52" i="10"/>
  <c r="AR52" i="10" s="1"/>
  <c r="AO52" i="10"/>
  <c r="AP52" i="10" s="1"/>
  <c r="AM52" i="10"/>
  <c r="AN52" i="10" s="1"/>
  <c r="AK52" i="10"/>
  <c r="AL52" i="10" s="1"/>
  <c r="AI52" i="10"/>
  <c r="AJ52" i="10" s="1"/>
  <c r="AG52" i="10"/>
  <c r="AH52" i="10" s="1"/>
  <c r="BC51" i="10"/>
  <c r="BD51" i="10" s="1"/>
  <c r="BA51" i="10"/>
  <c r="BB51" i="10" s="1"/>
  <c r="AY51" i="10"/>
  <c r="AZ51" i="10" s="1"/>
  <c r="AW51" i="10"/>
  <c r="AX51" i="10" s="1"/>
  <c r="AU51" i="10"/>
  <c r="AV51" i="10" s="1"/>
  <c r="AS51" i="10"/>
  <c r="AT51" i="10" s="1"/>
  <c r="AQ51" i="10"/>
  <c r="AR51" i="10" s="1"/>
  <c r="AO51" i="10"/>
  <c r="AP51" i="10" s="1"/>
  <c r="AM51" i="10"/>
  <c r="AN51" i="10" s="1"/>
  <c r="AK51" i="10"/>
  <c r="AL51" i="10" s="1"/>
  <c r="AI51" i="10"/>
  <c r="AJ51" i="10" s="1"/>
  <c r="AG51" i="10"/>
  <c r="AH51" i="10" s="1"/>
  <c r="BC50" i="10"/>
  <c r="BD50" i="10" s="1"/>
  <c r="BA50" i="10"/>
  <c r="BB50" i="10" s="1"/>
  <c r="AY50" i="10"/>
  <c r="AZ50" i="10" s="1"/>
  <c r="AW50" i="10"/>
  <c r="AX50" i="10" s="1"/>
  <c r="AU50" i="10"/>
  <c r="AV50" i="10" s="1"/>
  <c r="AS50" i="10"/>
  <c r="AT50" i="10" s="1"/>
  <c r="AQ50" i="10"/>
  <c r="AR50" i="10" s="1"/>
  <c r="AO50" i="10"/>
  <c r="AP50" i="10" s="1"/>
  <c r="AM50" i="10"/>
  <c r="AN50" i="10" s="1"/>
  <c r="AK50" i="10"/>
  <c r="AL50" i="10" s="1"/>
  <c r="AI50" i="10"/>
  <c r="AJ50" i="10" s="1"/>
  <c r="AG50" i="10"/>
  <c r="AH50" i="10" s="1"/>
  <c r="BC49" i="10"/>
  <c r="BD49" i="10" s="1"/>
  <c r="BA49" i="10"/>
  <c r="BB49" i="10" s="1"/>
  <c r="AY49" i="10"/>
  <c r="AZ49" i="10" s="1"/>
  <c r="AW49" i="10"/>
  <c r="AX49" i="10" s="1"/>
  <c r="AU49" i="10"/>
  <c r="AV49" i="10" s="1"/>
  <c r="AS49" i="10"/>
  <c r="AT49" i="10" s="1"/>
  <c r="AQ49" i="10"/>
  <c r="AR49" i="10" s="1"/>
  <c r="AO49" i="10"/>
  <c r="AP49" i="10" s="1"/>
  <c r="AM49" i="10"/>
  <c r="AN49" i="10" s="1"/>
  <c r="AK49" i="10"/>
  <c r="AL49" i="10" s="1"/>
  <c r="AI49" i="10"/>
  <c r="AJ49" i="10" s="1"/>
  <c r="AG49" i="10"/>
  <c r="AH49" i="10" s="1"/>
  <c r="BC48" i="10"/>
  <c r="BD48" i="10" s="1"/>
  <c r="BA48" i="10"/>
  <c r="BB48" i="10" s="1"/>
  <c r="AY48" i="10"/>
  <c r="AZ48" i="10" s="1"/>
  <c r="AW48" i="10"/>
  <c r="AX48" i="10" s="1"/>
  <c r="AU48" i="10"/>
  <c r="AV48" i="10" s="1"/>
  <c r="AS48" i="10"/>
  <c r="AT48" i="10" s="1"/>
  <c r="AQ48" i="10"/>
  <c r="AR48" i="10" s="1"/>
  <c r="AO48" i="10"/>
  <c r="AP48" i="10" s="1"/>
  <c r="AM48" i="10"/>
  <c r="AN48" i="10" s="1"/>
  <c r="AK48" i="10"/>
  <c r="AL48" i="10" s="1"/>
  <c r="AI48" i="10"/>
  <c r="AJ48" i="10" s="1"/>
  <c r="AG48" i="10"/>
  <c r="AH48" i="10" s="1"/>
  <c r="BC47" i="10"/>
  <c r="BD47" i="10" s="1"/>
  <c r="BA47" i="10"/>
  <c r="BB47" i="10" s="1"/>
  <c r="AY47" i="10"/>
  <c r="AZ47" i="10" s="1"/>
  <c r="AW47" i="10"/>
  <c r="AX47" i="10" s="1"/>
  <c r="AU47" i="10"/>
  <c r="AV47" i="10" s="1"/>
  <c r="AS47" i="10"/>
  <c r="AT47" i="10" s="1"/>
  <c r="AQ47" i="10"/>
  <c r="AR47" i="10" s="1"/>
  <c r="AO47" i="10"/>
  <c r="AP47" i="10" s="1"/>
  <c r="AM47" i="10"/>
  <c r="AN47" i="10" s="1"/>
  <c r="AK47" i="10"/>
  <c r="AL47" i="10" s="1"/>
  <c r="AI47" i="10"/>
  <c r="AJ47" i="10" s="1"/>
  <c r="AG47" i="10"/>
  <c r="AH47" i="10" s="1"/>
  <c r="BA41" i="10"/>
  <c r="BB41" i="10" s="1"/>
  <c r="AU41" i="10"/>
  <c r="AV41" i="10" s="1"/>
  <c r="AS41" i="10"/>
  <c r="AT41" i="10" s="1"/>
  <c r="AM41" i="10"/>
  <c r="AN41" i="10" s="1"/>
  <c r="AC41" i="10"/>
  <c r="AB41" i="10"/>
  <c r="AA41" i="10"/>
  <c r="Z41" i="10"/>
  <c r="Y41" i="10"/>
  <c r="X41" i="10"/>
  <c r="W41" i="10"/>
  <c r="V41" i="10"/>
  <c r="AO41" i="10" s="1"/>
  <c r="AP41" i="10" s="1"/>
  <c r="U41" i="10"/>
  <c r="T41" i="10"/>
  <c r="AK41" i="10" s="1"/>
  <c r="AL41" i="10" s="1"/>
  <c r="S41" i="10"/>
  <c r="R41" i="10"/>
  <c r="N41" i="10"/>
  <c r="BC41" i="10" s="1"/>
  <c r="BD41" i="10" s="1"/>
  <c r="M41" i="10"/>
  <c r="L41" i="10"/>
  <c r="AY41" i="10" s="1"/>
  <c r="AZ41" i="10" s="1"/>
  <c r="K41" i="10"/>
  <c r="AW41" i="10" s="1"/>
  <c r="AX41" i="10" s="1"/>
  <c r="J41" i="10"/>
  <c r="I41" i="10"/>
  <c r="H41" i="10"/>
  <c r="G41" i="10"/>
  <c r="F41" i="10"/>
  <c r="E41" i="10"/>
  <c r="D41" i="10"/>
  <c r="C41" i="10"/>
  <c r="BC40" i="10"/>
  <c r="BD40" i="10" s="1"/>
  <c r="BA40" i="10"/>
  <c r="BB40" i="10" s="1"/>
  <c r="AY40" i="10"/>
  <c r="AZ40" i="10" s="1"/>
  <c r="AW40" i="10"/>
  <c r="AX40" i="10" s="1"/>
  <c r="AU40" i="10"/>
  <c r="AV40" i="10" s="1"/>
  <c r="AS40" i="10"/>
  <c r="AT40" i="10" s="1"/>
  <c r="AQ40" i="10"/>
  <c r="AR40" i="10" s="1"/>
  <c r="AO40" i="10"/>
  <c r="AP40" i="10" s="1"/>
  <c r="AM40" i="10"/>
  <c r="AN40" i="10" s="1"/>
  <c r="AK40" i="10"/>
  <c r="AL40" i="10" s="1"/>
  <c r="AI40" i="10"/>
  <c r="AJ40" i="10" s="1"/>
  <c r="AG40" i="10"/>
  <c r="AH40" i="10" s="1"/>
  <c r="BC39" i="10"/>
  <c r="BD39" i="10" s="1"/>
  <c r="BA39" i="10"/>
  <c r="BB39" i="10" s="1"/>
  <c r="AY39" i="10"/>
  <c r="AZ39" i="10" s="1"/>
  <c r="AX39" i="10"/>
  <c r="AW39" i="10"/>
  <c r="AU39" i="10"/>
  <c r="AV39" i="10" s="1"/>
  <c r="AS39" i="10"/>
  <c r="AT39" i="10" s="1"/>
  <c r="AQ39" i="10"/>
  <c r="AR39" i="10" s="1"/>
  <c r="AO39" i="10"/>
  <c r="AP39" i="10" s="1"/>
  <c r="AM39" i="10"/>
  <c r="AN39" i="10" s="1"/>
  <c r="AK39" i="10"/>
  <c r="AL39" i="10" s="1"/>
  <c r="AI39" i="10"/>
  <c r="AJ39" i="10" s="1"/>
  <c r="AG39" i="10"/>
  <c r="AH39" i="10" s="1"/>
  <c r="BC38" i="10"/>
  <c r="BD38" i="10" s="1"/>
  <c r="BA38" i="10"/>
  <c r="BB38" i="10" s="1"/>
  <c r="AY38" i="10"/>
  <c r="AZ38" i="10" s="1"/>
  <c r="AW38" i="10"/>
  <c r="AX38" i="10" s="1"/>
  <c r="AU38" i="10"/>
  <c r="AV38" i="10" s="1"/>
  <c r="AS38" i="10"/>
  <c r="AT38" i="10" s="1"/>
  <c r="AQ38" i="10"/>
  <c r="AR38" i="10" s="1"/>
  <c r="AO38" i="10"/>
  <c r="AP38" i="10" s="1"/>
  <c r="AM38" i="10"/>
  <c r="AN38" i="10" s="1"/>
  <c r="AK38" i="10"/>
  <c r="AL38" i="10" s="1"/>
  <c r="AI38" i="10"/>
  <c r="AJ38" i="10" s="1"/>
  <c r="AG38" i="10"/>
  <c r="AH38" i="10" s="1"/>
  <c r="BC37" i="10"/>
  <c r="BD37" i="10" s="1"/>
  <c r="BA37" i="10"/>
  <c r="BB37" i="10" s="1"/>
  <c r="AY37" i="10"/>
  <c r="AZ37" i="10" s="1"/>
  <c r="AW37" i="10"/>
  <c r="AX37" i="10" s="1"/>
  <c r="AU37" i="10"/>
  <c r="AV37" i="10" s="1"/>
  <c r="AS37" i="10"/>
  <c r="AT37" i="10" s="1"/>
  <c r="AQ37" i="10"/>
  <c r="AR37" i="10" s="1"/>
  <c r="AO37" i="10"/>
  <c r="AP37" i="10" s="1"/>
  <c r="AM37" i="10"/>
  <c r="AN37" i="10" s="1"/>
  <c r="AK37" i="10"/>
  <c r="AL37" i="10" s="1"/>
  <c r="AI37" i="10"/>
  <c r="AJ37" i="10" s="1"/>
  <c r="AG37" i="10"/>
  <c r="AH37" i="10" s="1"/>
  <c r="BC36" i="10"/>
  <c r="BD36" i="10" s="1"/>
  <c r="BA36" i="10"/>
  <c r="BB36" i="10" s="1"/>
  <c r="AY36" i="10"/>
  <c r="AZ36" i="10" s="1"/>
  <c r="AW36" i="10"/>
  <c r="AX36" i="10" s="1"/>
  <c r="AU36" i="10"/>
  <c r="AV36" i="10" s="1"/>
  <c r="AS36" i="10"/>
  <c r="AT36" i="10" s="1"/>
  <c r="AQ36" i="10"/>
  <c r="AR36" i="10" s="1"/>
  <c r="AO36" i="10"/>
  <c r="AP36" i="10" s="1"/>
  <c r="AM36" i="10"/>
  <c r="AN36" i="10" s="1"/>
  <c r="AK36" i="10"/>
  <c r="AL36" i="10" s="1"/>
  <c r="AI36" i="10"/>
  <c r="AJ36" i="10" s="1"/>
  <c r="AG36" i="10"/>
  <c r="AH36" i="10" s="1"/>
  <c r="BC35" i="10"/>
  <c r="BD35" i="10" s="1"/>
  <c r="BA35" i="10"/>
  <c r="BB35" i="10" s="1"/>
  <c r="AY35" i="10"/>
  <c r="AZ35" i="10" s="1"/>
  <c r="AW35" i="10"/>
  <c r="AX35" i="10" s="1"/>
  <c r="AU35" i="10"/>
  <c r="AV35" i="10" s="1"/>
  <c r="AS35" i="10"/>
  <c r="AT35" i="10" s="1"/>
  <c r="AQ35" i="10"/>
  <c r="AR35" i="10" s="1"/>
  <c r="AO35" i="10"/>
  <c r="AP35" i="10" s="1"/>
  <c r="AM35" i="10"/>
  <c r="AN35" i="10" s="1"/>
  <c r="AK35" i="10"/>
  <c r="AL35" i="10" s="1"/>
  <c r="AI35" i="10"/>
  <c r="AJ35" i="10" s="1"/>
  <c r="AG35" i="10"/>
  <c r="AH35" i="10" s="1"/>
  <c r="BC34" i="10"/>
  <c r="BD34" i="10" s="1"/>
  <c r="BA34" i="10"/>
  <c r="BB34" i="10" s="1"/>
  <c r="AY34" i="10"/>
  <c r="AZ34" i="10" s="1"/>
  <c r="AW34" i="10"/>
  <c r="AX34" i="10" s="1"/>
  <c r="AU34" i="10"/>
  <c r="AV34" i="10" s="1"/>
  <c r="AS34" i="10"/>
  <c r="AT34" i="10" s="1"/>
  <c r="AQ34" i="10"/>
  <c r="AR34" i="10" s="1"/>
  <c r="AP34" i="10"/>
  <c r="AO34" i="10"/>
  <c r="AM34" i="10"/>
  <c r="AN34" i="10" s="1"/>
  <c r="AK34" i="10"/>
  <c r="AL34" i="10" s="1"/>
  <c r="AI34" i="10"/>
  <c r="AJ34" i="10" s="1"/>
  <c r="AG34" i="10"/>
  <c r="AH34" i="10" s="1"/>
  <c r="BC33" i="10"/>
  <c r="BD33" i="10" s="1"/>
  <c r="BA33" i="10"/>
  <c r="BB33" i="10" s="1"/>
  <c r="AY33" i="10"/>
  <c r="AZ33" i="10" s="1"/>
  <c r="AW33" i="10"/>
  <c r="AX33" i="10" s="1"/>
  <c r="AU33" i="10"/>
  <c r="AV33" i="10" s="1"/>
  <c r="AS33" i="10"/>
  <c r="AT33" i="10" s="1"/>
  <c r="AQ33" i="10"/>
  <c r="AR33" i="10" s="1"/>
  <c r="AP33" i="10"/>
  <c r="AO33" i="10"/>
  <c r="AM33" i="10"/>
  <c r="AN33" i="10" s="1"/>
  <c r="AK33" i="10"/>
  <c r="AL33" i="10" s="1"/>
  <c r="AI33" i="10"/>
  <c r="AJ33" i="10" s="1"/>
  <c r="AG33" i="10"/>
  <c r="AH33" i="10" s="1"/>
  <c r="BC32" i="10"/>
  <c r="BD32" i="10" s="1"/>
  <c r="BA32" i="10"/>
  <c r="BB32" i="10" s="1"/>
  <c r="AY32" i="10"/>
  <c r="AZ32" i="10" s="1"/>
  <c r="AW32" i="10"/>
  <c r="AX32" i="10" s="1"/>
  <c r="AU32" i="10"/>
  <c r="AV32" i="10" s="1"/>
  <c r="AS32" i="10"/>
  <c r="AT32" i="10" s="1"/>
  <c r="AQ32" i="10"/>
  <c r="AR32" i="10" s="1"/>
  <c r="AO32" i="10"/>
  <c r="AP32" i="10" s="1"/>
  <c r="AM32" i="10"/>
  <c r="AN32" i="10" s="1"/>
  <c r="AK32" i="10"/>
  <c r="AL32" i="10" s="1"/>
  <c r="AI32" i="10"/>
  <c r="AJ32" i="10" s="1"/>
  <c r="AG32" i="10"/>
  <c r="AH32" i="10" s="1"/>
  <c r="BC31" i="10"/>
  <c r="BD31" i="10" s="1"/>
  <c r="BA31" i="10"/>
  <c r="BB31" i="10" s="1"/>
  <c r="AY31" i="10"/>
  <c r="AZ31" i="10" s="1"/>
  <c r="AX31" i="10"/>
  <c r="AW31" i="10"/>
  <c r="AU31" i="10"/>
  <c r="AV31" i="10" s="1"/>
  <c r="AS31" i="10"/>
  <c r="AT31" i="10" s="1"/>
  <c r="AQ31" i="10"/>
  <c r="AR31" i="10" s="1"/>
  <c r="AO31" i="10"/>
  <c r="AP31" i="10" s="1"/>
  <c r="AM31" i="10"/>
  <c r="AN31" i="10" s="1"/>
  <c r="AK31" i="10"/>
  <c r="AL31" i="10" s="1"/>
  <c r="AI31" i="10"/>
  <c r="AJ31" i="10" s="1"/>
  <c r="AG31" i="10"/>
  <c r="AH31" i="10" s="1"/>
  <c r="BC30" i="10"/>
  <c r="BD30" i="10" s="1"/>
  <c r="BB30" i="10"/>
  <c r="BA30" i="10"/>
  <c r="AY30" i="10"/>
  <c r="AZ30" i="10" s="1"/>
  <c r="AW30" i="10"/>
  <c r="AX30" i="10" s="1"/>
  <c r="AU30" i="10"/>
  <c r="AV30" i="10" s="1"/>
  <c r="AS30" i="10"/>
  <c r="AT30" i="10" s="1"/>
  <c r="AQ30" i="10"/>
  <c r="AR30" i="10" s="1"/>
  <c r="AO30" i="10"/>
  <c r="AP30" i="10" s="1"/>
  <c r="AM30" i="10"/>
  <c r="AN30" i="10" s="1"/>
  <c r="AK30" i="10"/>
  <c r="AL30" i="10" s="1"/>
  <c r="AI30" i="10"/>
  <c r="AJ30" i="10" s="1"/>
  <c r="AG30" i="10"/>
  <c r="AH30" i="10" s="1"/>
  <c r="BC29" i="10"/>
  <c r="BD29" i="10" s="1"/>
  <c r="BA29" i="10"/>
  <c r="BB29" i="10" s="1"/>
  <c r="AY29" i="10"/>
  <c r="AZ29" i="10" s="1"/>
  <c r="AW29" i="10"/>
  <c r="AX29" i="10" s="1"/>
  <c r="AU29" i="10"/>
  <c r="AV29" i="10" s="1"/>
  <c r="AS29" i="10"/>
  <c r="AT29" i="10" s="1"/>
  <c r="AQ29" i="10"/>
  <c r="AR29" i="10" s="1"/>
  <c r="AO29" i="10"/>
  <c r="AP29" i="10" s="1"/>
  <c r="AM29" i="10"/>
  <c r="AN29" i="10" s="1"/>
  <c r="AK29" i="10"/>
  <c r="AL29" i="10" s="1"/>
  <c r="AI29" i="10"/>
  <c r="AJ29" i="10" s="1"/>
  <c r="AG29" i="10"/>
  <c r="AH29" i="10" s="1"/>
  <c r="BC28" i="10"/>
  <c r="BD28" i="10" s="1"/>
  <c r="BA28" i="10"/>
  <c r="BB28" i="10" s="1"/>
  <c r="AY28" i="10"/>
  <c r="AZ28" i="10" s="1"/>
  <c r="AW28" i="10"/>
  <c r="AX28" i="10" s="1"/>
  <c r="AV28" i="10"/>
  <c r="AU28" i="10"/>
  <c r="AT28" i="10"/>
  <c r="AS28" i="10"/>
  <c r="AQ28" i="10"/>
  <c r="AR28" i="10" s="1"/>
  <c r="AO28" i="10"/>
  <c r="AP28" i="10" s="1"/>
  <c r="AM28" i="10"/>
  <c r="AN28" i="10" s="1"/>
  <c r="AK28" i="10"/>
  <c r="AL28" i="10" s="1"/>
  <c r="AI28" i="10"/>
  <c r="AJ28" i="10" s="1"/>
  <c r="AG28" i="10"/>
  <c r="AH28" i="10" s="1"/>
  <c r="BC27" i="10"/>
  <c r="BD27" i="10" s="1"/>
  <c r="BB27" i="10"/>
  <c r="BA27" i="10"/>
  <c r="AY27" i="10"/>
  <c r="AZ27" i="10" s="1"/>
  <c r="AW27" i="10"/>
  <c r="AX27" i="10" s="1"/>
  <c r="AU27" i="10"/>
  <c r="AV27" i="10" s="1"/>
  <c r="AS27" i="10"/>
  <c r="AT27" i="10" s="1"/>
  <c r="AQ27" i="10"/>
  <c r="AR27" i="10" s="1"/>
  <c r="AO27" i="10"/>
  <c r="AP27" i="10" s="1"/>
  <c r="AM27" i="10"/>
  <c r="AN27" i="10" s="1"/>
  <c r="AK27" i="10"/>
  <c r="AL27" i="10" s="1"/>
  <c r="AI27" i="10"/>
  <c r="AJ27" i="10" s="1"/>
  <c r="AG27" i="10"/>
  <c r="AH27" i="10" s="1"/>
  <c r="AC21" i="10"/>
  <c r="AB21" i="10"/>
  <c r="AA21" i="10"/>
  <c r="Z21" i="10"/>
  <c r="Y21" i="10"/>
  <c r="X21" i="10"/>
  <c r="W21" i="10"/>
  <c r="V21" i="10"/>
  <c r="S21" i="10"/>
  <c r="R21" i="10"/>
  <c r="N21" i="10"/>
  <c r="M21" i="10"/>
  <c r="L21" i="10"/>
  <c r="K21" i="10"/>
  <c r="J21" i="10"/>
  <c r="I21" i="10"/>
  <c r="AS21" i="10" s="1"/>
  <c r="AT21" i="10" s="1"/>
  <c r="H21" i="10"/>
  <c r="G21" i="10"/>
  <c r="D21" i="10"/>
  <c r="C21" i="10"/>
  <c r="BD20" i="10"/>
  <c r="BC20" i="10"/>
  <c r="BB20" i="10"/>
  <c r="BA20" i="10"/>
  <c r="AY20" i="10"/>
  <c r="AZ20" i="10" s="1"/>
  <c r="AW20" i="10"/>
  <c r="AX20" i="10" s="1"/>
  <c r="AU20" i="10"/>
  <c r="AV20" i="10" s="1"/>
  <c r="AS20" i="10"/>
  <c r="AT20" i="10" s="1"/>
  <c r="AQ20" i="10"/>
  <c r="AR20" i="10" s="1"/>
  <c r="AO20" i="10"/>
  <c r="AP20" i="10" s="1"/>
  <c r="AI20" i="10"/>
  <c r="AJ20" i="10" s="1"/>
  <c r="AG20" i="10"/>
  <c r="AH20" i="10" s="1"/>
  <c r="AM20" i="10"/>
  <c r="AN20" i="10" s="1"/>
  <c r="AK20" i="10"/>
  <c r="AL20" i="10" s="1"/>
  <c r="BC19" i="10"/>
  <c r="BD19" i="10" s="1"/>
  <c r="BA19" i="10"/>
  <c r="BB19" i="10" s="1"/>
  <c r="AZ19" i="10"/>
  <c r="AY19" i="10"/>
  <c r="AW19" i="10"/>
  <c r="AX19" i="10" s="1"/>
  <c r="AU19" i="10"/>
  <c r="AV19" i="10" s="1"/>
  <c r="AS19" i="10"/>
  <c r="AT19" i="10" s="1"/>
  <c r="AQ19" i="10"/>
  <c r="AR19" i="10" s="1"/>
  <c r="AO19" i="10"/>
  <c r="AP19" i="10" s="1"/>
  <c r="AI19" i="10"/>
  <c r="AJ19" i="10" s="1"/>
  <c r="AG19" i="10"/>
  <c r="AH19" i="10" s="1"/>
  <c r="AM19" i="10"/>
  <c r="AN19" i="10" s="1"/>
  <c r="BC18" i="10"/>
  <c r="BD18" i="10" s="1"/>
  <c r="BA18" i="10"/>
  <c r="BB18" i="10" s="1"/>
  <c r="AY18" i="10"/>
  <c r="AZ18" i="10" s="1"/>
  <c r="AW18" i="10"/>
  <c r="AX18" i="10" s="1"/>
  <c r="AV18" i="10"/>
  <c r="AU18" i="10"/>
  <c r="AT18" i="10"/>
  <c r="AS18" i="10"/>
  <c r="AQ18" i="10"/>
  <c r="AR18" i="10" s="1"/>
  <c r="AO18" i="10"/>
  <c r="AP18" i="10" s="1"/>
  <c r="AI18" i="10"/>
  <c r="AJ18" i="10" s="1"/>
  <c r="AG18" i="10"/>
  <c r="AH18" i="10" s="1"/>
  <c r="AM18" i="10"/>
  <c r="AN18" i="10" s="1"/>
  <c r="AK18" i="10"/>
  <c r="AL18" i="10" s="1"/>
  <c r="BC17" i="10"/>
  <c r="BD17" i="10" s="1"/>
  <c r="BA17" i="10"/>
  <c r="BB17" i="10" s="1"/>
  <c r="AY17" i="10"/>
  <c r="AZ17" i="10" s="1"/>
  <c r="AW17" i="10"/>
  <c r="AX17" i="10" s="1"/>
  <c r="AU17" i="10"/>
  <c r="AV17" i="10" s="1"/>
  <c r="AS17" i="10"/>
  <c r="AT17" i="10" s="1"/>
  <c r="AR17" i="10"/>
  <c r="AQ17" i="10"/>
  <c r="AO17" i="10"/>
  <c r="AP17" i="10" s="1"/>
  <c r="AI17" i="10"/>
  <c r="AJ17" i="10" s="1"/>
  <c r="AG17" i="10"/>
  <c r="AH17" i="10" s="1"/>
  <c r="T21" i="10"/>
  <c r="AC10" i="10"/>
  <c r="AB10" i="10"/>
  <c r="AA10" i="10"/>
  <c r="Z10" i="10"/>
  <c r="Y10" i="10"/>
  <c r="X10" i="10"/>
  <c r="W10" i="10"/>
  <c r="V10" i="10"/>
  <c r="AO10" i="10" s="1"/>
  <c r="AP10" i="10" s="1"/>
  <c r="U10" i="10"/>
  <c r="T10" i="10"/>
  <c r="S10" i="10"/>
  <c r="R10" i="10"/>
  <c r="N10" i="10"/>
  <c r="M10" i="10"/>
  <c r="L10" i="10"/>
  <c r="K10" i="10"/>
  <c r="AW10" i="10" s="1"/>
  <c r="AX10" i="10" s="1"/>
  <c r="J10" i="10"/>
  <c r="AU10" i="10" s="1"/>
  <c r="AV10" i="10" s="1"/>
  <c r="I10" i="10"/>
  <c r="AS10" i="10" s="1"/>
  <c r="AT10" i="10" s="1"/>
  <c r="H10" i="10"/>
  <c r="G10" i="10"/>
  <c r="F10" i="10"/>
  <c r="AM10" i="10" s="1"/>
  <c r="AN10" i="10" s="1"/>
  <c r="E10" i="10"/>
  <c r="D10" i="10"/>
  <c r="C10" i="10"/>
  <c r="BC9" i="10"/>
  <c r="BD9" i="10" s="1"/>
  <c r="BA9" i="10"/>
  <c r="BB9" i="10" s="1"/>
  <c r="AY9" i="10"/>
  <c r="AZ9" i="10" s="1"/>
  <c r="AW9" i="10"/>
  <c r="AX9" i="10" s="1"/>
  <c r="AU9" i="10"/>
  <c r="AV9" i="10" s="1"/>
  <c r="AT9" i="10"/>
  <c r="AS9" i="10"/>
  <c r="AQ9" i="10"/>
  <c r="AR9" i="10" s="1"/>
  <c r="AO9" i="10"/>
  <c r="AP9" i="10" s="1"/>
  <c r="AN9" i="10"/>
  <c r="AM9" i="10"/>
  <c r="AK9" i="10"/>
  <c r="AL9" i="10" s="1"/>
  <c r="AI9" i="10"/>
  <c r="AJ9" i="10" s="1"/>
  <c r="AG9" i="10"/>
  <c r="AH9" i="10" s="1"/>
  <c r="BD8" i="10"/>
  <c r="BC8" i="10"/>
  <c r="BA8" i="10"/>
  <c r="BB8" i="10" s="1"/>
  <c r="AY8" i="10"/>
  <c r="AZ8" i="10" s="1"/>
  <c r="AW8" i="10"/>
  <c r="AX8" i="10" s="1"/>
  <c r="AU8" i="10"/>
  <c r="AV8" i="10" s="1"/>
  <c r="AT8" i="10"/>
  <c r="AS8" i="10"/>
  <c r="AQ8" i="10"/>
  <c r="AR8" i="10" s="1"/>
  <c r="AO8" i="10"/>
  <c r="AP8" i="10" s="1"/>
  <c r="AM8" i="10"/>
  <c r="AN8" i="10" s="1"/>
  <c r="AK8" i="10"/>
  <c r="AL8" i="10" s="1"/>
  <c r="AI8" i="10"/>
  <c r="AJ8" i="10" s="1"/>
  <c r="AG8" i="10"/>
  <c r="AH8" i="10" s="1"/>
  <c r="BC7" i="10"/>
  <c r="BD7" i="10" s="1"/>
  <c r="BA7" i="10"/>
  <c r="BB7" i="10" s="1"/>
  <c r="AY7" i="10"/>
  <c r="AZ7" i="10" s="1"/>
  <c r="AW7" i="10"/>
  <c r="AX7" i="10" s="1"/>
  <c r="AU7" i="10"/>
  <c r="AV7" i="10" s="1"/>
  <c r="AT7" i="10"/>
  <c r="AS7" i="10"/>
  <c r="AQ7" i="10"/>
  <c r="AR7" i="10" s="1"/>
  <c r="AO7" i="10"/>
  <c r="AP7" i="10" s="1"/>
  <c r="AM7" i="10"/>
  <c r="AN7" i="10" s="1"/>
  <c r="AK7" i="10"/>
  <c r="AL7" i="10" s="1"/>
  <c r="AI7" i="10"/>
  <c r="AJ7" i="10" s="1"/>
  <c r="AG7" i="10"/>
  <c r="AH7" i="10" s="1"/>
  <c r="BC6" i="10"/>
  <c r="BD6" i="10" s="1"/>
  <c r="BA6" i="10"/>
  <c r="BB6" i="10" s="1"/>
  <c r="AY6" i="10"/>
  <c r="AZ6" i="10" s="1"/>
  <c r="AW6" i="10"/>
  <c r="AX6" i="10" s="1"/>
  <c r="AV6" i="10"/>
  <c r="AU6" i="10"/>
  <c r="AS6" i="10"/>
  <c r="AT6" i="10" s="1"/>
  <c r="AQ6" i="10"/>
  <c r="AR6" i="10" s="1"/>
  <c r="AO6" i="10"/>
  <c r="AP6" i="10" s="1"/>
  <c r="AN6" i="10"/>
  <c r="AM6" i="10"/>
  <c r="AK6" i="10"/>
  <c r="AL6" i="10" s="1"/>
  <c r="AI6" i="10"/>
  <c r="AJ6" i="10" s="1"/>
  <c r="AG6" i="10"/>
  <c r="AH6" i="10" s="1"/>
  <c r="BC5" i="10"/>
  <c r="BD5" i="10" s="1"/>
  <c r="BA5" i="10"/>
  <c r="BB5" i="10" s="1"/>
  <c r="AY5" i="10"/>
  <c r="AZ5" i="10" s="1"/>
  <c r="AW5" i="10"/>
  <c r="AX5" i="10" s="1"/>
  <c r="AV5" i="10"/>
  <c r="AU5" i="10"/>
  <c r="AT5" i="10"/>
  <c r="AS5" i="10"/>
  <c r="AQ5" i="10"/>
  <c r="AR5" i="10" s="1"/>
  <c r="AO5" i="10"/>
  <c r="AP5" i="10" s="1"/>
  <c r="AM5" i="10"/>
  <c r="AN5" i="10" s="1"/>
  <c r="AK5" i="10"/>
  <c r="AL5" i="10" s="1"/>
  <c r="AI5" i="10"/>
  <c r="AJ5" i="10" s="1"/>
  <c r="AG5" i="10"/>
  <c r="AH5" i="10" s="1"/>
  <c r="AY61" i="9"/>
  <c r="AZ61" i="9" s="1"/>
  <c r="AC61" i="9"/>
  <c r="AB61" i="9"/>
  <c r="AA61" i="9"/>
  <c r="Z61" i="9"/>
  <c r="AW61" i="9" s="1"/>
  <c r="AX61" i="9" s="1"/>
  <c r="Y61" i="9"/>
  <c r="X61" i="9"/>
  <c r="W61" i="9"/>
  <c r="V61" i="9"/>
  <c r="U61" i="9"/>
  <c r="T61" i="9"/>
  <c r="S61" i="9"/>
  <c r="R61" i="9"/>
  <c r="N61" i="9"/>
  <c r="BC61" i="9" s="1"/>
  <c r="BD61" i="9" s="1"/>
  <c r="M61" i="9"/>
  <c r="BA61" i="9" s="1"/>
  <c r="BB61" i="9" s="1"/>
  <c r="L61" i="9"/>
  <c r="K61" i="9"/>
  <c r="J61" i="9"/>
  <c r="AU61" i="9" s="1"/>
  <c r="AV61" i="9" s="1"/>
  <c r="I61" i="9"/>
  <c r="AS61" i="9" s="1"/>
  <c r="AT61" i="9" s="1"/>
  <c r="H61" i="9"/>
  <c r="AQ61" i="9" s="1"/>
  <c r="AR61" i="9" s="1"/>
  <c r="G61" i="9"/>
  <c r="F61" i="9"/>
  <c r="AM61" i="9" s="1"/>
  <c r="AN61" i="9" s="1"/>
  <c r="E61" i="9"/>
  <c r="D61" i="9"/>
  <c r="C61" i="9"/>
  <c r="BC60" i="9"/>
  <c r="BD60" i="9" s="1"/>
  <c r="BA60" i="9"/>
  <c r="BB60" i="9" s="1"/>
  <c r="AY60" i="9"/>
  <c r="AZ60" i="9" s="1"/>
  <c r="AW60" i="9"/>
  <c r="AX60" i="9" s="1"/>
  <c r="AU60" i="9"/>
  <c r="AV60" i="9" s="1"/>
  <c r="AS60" i="9"/>
  <c r="AT60" i="9" s="1"/>
  <c r="AQ60" i="9"/>
  <c r="AR60" i="9" s="1"/>
  <c r="AO60" i="9"/>
  <c r="AP60" i="9" s="1"/>
  <c r="AM60" i="9"/>
  <c r="AN60" i="9" s="1"/>
  <c r="AK60" i="9"/>
  <c r="AL60" i="9" s="1"/>
  <c r="AI60" i="9"/>
  <c r="AJ60" i="9" s="1"/>
  <c r="AG60" i="9"/>
  <c r="AH60" i="9" s="1"/>
  <c r="BC59" i="9"/>
  <c r="BD59" i="9" s="1"/>
  <c r="BA59" i="9"/>
  <c r="BB59" i="9" s="1"/>
  <c r="AY59" i="9"/>
  <c r="AZ59" i="9" s="1"/>
  <c r="AW59" i="9"/>
  <c r="AX59" i="9" s="1"/>
  <c r="AU59" i="9"/>
  <c r="AV59" i="9" s="1"/>
  <c r="AS59" i="9"/>
  <c r="AT59" i="9" s="1"/>
  <c r="AQ59" i="9"/>
  <c r="AR59" i="9" s="1"/>
  <c r="AO59" i="9"/>
  <c r="AP59" i="9" s="1"/>
  <c r="AM59" i="9"/>
  <c r="AN59" i="9" s="1"/>
  <c r="AK59" i="9"/>
  <c r="AL59" i="9" s="1"/>
  <c r="AI59" i="9"/>
  <c r="AJ59" i="9" s="1"/>
  <c r="AG59" i="9"/>
  <c r="AH59" i="9" s="1"/>
  <c r="BC58" i="9"/>
  <c r="BD58" i="9" s="1"/>
  <c r="BA58" i="9"/>
  <c r="BB58" i="9" s="1"/>
  <c r="AY58" i="9"/>
  <c r="AZ58" i="9" s="1"/>
  <c r="AW58" i="9"/>
  <c r="AX58" i="9" s="1"/>
  <c r="AU58" i="9"/>
  <c r="AV58" i="9" s="1"/>
  <c r="AS58" i="9"/>
  <c r="AT58" i="9" s="1"/>
  <c r="AQ58" i="9"/>
  <c r="AR58" i="9" s="1"/>
  <c r="AO58" i="9"/>
  <c r="AP58" i="9" s="1"/>
  <c r="AM58" i="9"/>
  <c r="AN58" i="9" s="1"/>
  <c r="AK58" i="9"/>
  <c r="AL58" i="9" s="1"/>
  <c r="AI58" i="9"/>
  <c r="AJ58" i="9" s="1"/>
  <c r="AG58" i="9"/>
  <c r="AH58" i="9" s="1"/>
  <c r="BC57" i="9"/>
  <c r="BD57" i="9" s="1"/>
  <c r="BA57" i="9"/>
  <c r="BB57" i="9" s="1"/>
  <c r="AY57" i="9"/>
  <c r="AZ57" i="9" s="1"/>
  <c r="AW57" i="9"/>
  <c r="AX57" i="9" s="1"/>
  <c r="AU57" i="9"/>
  <c r="AV57" i="9" s="1"/>
  <c r="AS57" i="9"/>
  <c r="AT57" i="9" s="1"/>
  <c r="AQ57" i="9"/>
  <c r="AR57" i="9" s="1"/>
  <c r="AO57" i="9"/>
  <c r="AP57" i="9" s="1"/>
  <c r="AM57" i="9"/>
  <c r="AN57" i="9" s="1"/>
  <c r="AK57" i="9"/>
  <c r="AL57" i="9" s="1"/>
  <c r="AI57" i="9"/>
  <c r="AJ57" i="9" s="1"/>
  <c r="AG57" i="9"/>
  <c r="AH57" i="9" s="1"/>
  <c r="BC56" i="9"/>
  <c r="BD56" i="9" s="1"/>
  <c r="BA56" i="9"/>
  <c r="BB56" i="9" s="1"/>
  <c r="AY56" i="9"/>
  <c r="AZ56" i="9" s="1"/>
  <c r="AW56" i="9"/>
  <c r="AX56" i="9" s="1"/>
  <c r="AU56" i="9"/>
  <c r="AV56" i="9" s="1"/>
  <c r="AS56" i="9"/>
  <c r="AT56" i="9" s="1"/>
  <c r="AQ56" i="9"/>
  <c r="AR56" i="9" s="1"/>
  <c r="AO56" i="9"/>
  <c r="AP56" i="9" s="1"/>
  <c r="AM56" i="9"/>
  <c r="AN56" i="9" s="1"/>
  <c r="AK56" i="9"/>
  <c r="AL56" i="9" s="1"/>
  <c r="AI56" i="9"/>
  <c r="AJ56" i="9" s="1"/>
  <c r="AG56" i="9"/>
  <c r="AH56" i="9" s="1"/>
  <c r="BC55" i="9"/>
  <c r="BD55" i="9" s="1"/>
  <c r="BA55" i="9"/>
  <c r="BB55" i="9" s="1"/>
  <c r="AY55" i="9"/>
  <c r="AZ55" i="9" s="1"/>
  <c r="AW55" i="9"/>
  <c r="AX55" i="9" s="1"/>
  <c r="AU55" i="9"/>
  <c r="AV55" i="9" s="1"/>
  <c r="AS55" i="9"/>
  <c r="AT55" i="9" s="1"/>
  <c r="AQ55" i="9"/>
  <c r="AR55" i="9" s="1"/>
  <c r="AO55" i="9"/>
  <c r="AP55" i="9" s="1"/>
  <c r="AM55" i="9"/>
  <c r="AN55" i="9" s="1"/>
  <c r="AK55" i="9"/>
  <c r="AL55" i="9" s="1"/>
  <c r="AI55" i="9"/>
  <c r="AJ55" i="9" s="1"/>
  <c r="AG55" i="9"/>
  <c r="AH55" i="9" s="1"/>
  <c r="BC54" i="9"/>
  <c r="BD54" i="9" s="1"/>
  <c r="BA54" i="9"/>
  <c r="BB54" i="9" s="1"/>
  <c r="AY54" i="9"/>
  <c r="AZ54" i="9" s="1"/>
  <c r="AW54" i="9"/>
  <c r="AX54" i="9" s="1"/>
  <c r="AU54" i="9"/>
  <c r="AV54" i="9" s="1"/>
  <c r="AS54" i="9"/>
  <c r="AT54" i="9" s="1"/>
  <c r="AQ54" i="9"/>
  <c r="AR54" i="9" s="1"/>
  <c r="AO54" i="9"/>
  <c r="AP54" i="9" s="1"/>
  <c r="AM54" i="9"/>
  <c r="AN54" i="9" s="1"/>
  <c r="AK54" i="9"/>
  <c r="AL54" i="9" s="1"/>
  <c r="AI54" i="9"/>
  <c r="AJ54" i="9" s="1"/>
  <c r="AG54" i="9"/>
  <c r="AH54" i="9" s="1"/>
  <c r="BC53" i="9"/>
  <c r="BD53" i="9" s="1"/>
  <c r="BA53" i="9"/>
  <c r="BB53" i="9" s="1"/>
  <c r="AY53" i="9"/>
  <c r="AZ53" i="9" s="1"/>
  <c r="AW53" i="9"/>
  <c r="AX53" i="9" s="1"/>
  <c r="AU53" i="9"/>
  <c r="AV53" i="9" s="1"/>
  <c r="AS53" i="9"/>
  <c r="AT53" i="9" s="1"/>
  <c r="AQ53" i="9"/>
  <c r="AR53" i="9" s="1"/>
  <c r="AO53" i="9"/>
  <c r="AP53" i="9" s="1"/>
  <c r="AM53" i="9"/>
  <c r="AN53" i="9" s="1"/>
  <c r="AK53" i="9"/>
  <c r="AL53" i="9" s="1"/>
  <c r="AI53" i="9"/>
  <c r="AJ53" i="9" s="1"/>
  <c r="AG53" i="9"/>
  <c r="AH53" i="9" s="1"/>
  <c r="BC52" i="9"/>
  <c r="BD52" i="9" s="1"/>
  <c r="BA52" i="9"/>
  <c r="BB52" i="9" s="1"/>
  <c r="AY52" i="9"/>
  <c r="AZ52" i="9" s="1"/>
  <c r="AW52" i="9"/>
  <c r="AX52" i="9" s="1"/>
  <c r="AU52" i="9"/>
  <c r="AV52" i="9" s="1"/>
  <c r="AS52" i="9"/>
  <c r="AT52" i="9" s="1"/>
  <c r="AQ52" i="9"/>
  <c r="AR52" i="9" s="1"/>
  <c r="AO52" i="9"/>
  <c r="AP52" i="9" s="1"/>
  <c r="AM52" i="9"/>
  <c r="AN52" i="9" s="1"/>
  <c r="AK52" i="9"/>
  <c r="AL52" i="9" s="1"/>
  <c r="AI52" i="9"/>
  <c r="AJ52" i="9" s="1"/>
  <c r="AG52" i="9"/>
  <c r="AH52" i="9" s="1"/>
  <c r="BC51" i="9"/>
  <c r="BD51" i="9" s="1"/>
  <c r="BA51" i="9"/>
  <c r="BB51" i="9" s="1"/>
  <c r="AY51" i="9"/>
  <c r="AZ51" i="9" s="1"/>
  <c r="AW51" i="9"/>
  <c r="AX51" i="9" s="1"/>
  <c r="AU51" i="9"/>
  <c r="AV51" i="9" s="1"/>
  <c r="AS51" i="9"/>
  <c r="AT51" i="9" s="1"/>
  <c r="AQ51" i="9"/>
  <c r="AR51" i="9" s="1"/>
  <c r="AO51" i="9"/>
  <c r="AP51" i="9" s="1"/>
  <c r="AM51" i="9"/>
  <c r="AN51" i="9" s="1"/>
  <c r="AK51" i="9"/>
  <c r="AL51" i="9" s="1"/>
  <c r="AI51" i="9"/>
  <c r="AJ51" i="9" s="1"/>
  <c r="AG51" i="9"/>
  <c r="AH51" i="9" s="1"/>
  <c r="BC50" i="9"/>
  <c r="BD50" i="9" s="1"/>
  <c r="BA50" i="9"/>
  <c r="BB50" i="9" s="1"/>
  <c r="AY50" i="9"/>
  <c r="AZ50" i="9" s="1"/>
  <c r="AW50" i="9"/>
  <c r="AX50" i="9" s="1"/>
  <c r="AU50" i="9"/>
  <c r="AV50" i="9" s="1"/>
  <c r="AS50" i="9"/>
  <c r="AT50" i="9" s="1"/>
  <c r="AQ50" i="9"/>
  <c r="AR50" i="9" s="1"/>
  <c r="AO50" i="9"/>
  <c r="AP50" i="9" s="1"/>
  <c r="AM50" i="9"/>
  <c r="AN50" i="9" s="1"/>
  <c r="AK50" i="9"/>
  <c r="AL50" i="9" s="1"/>
  <c r="AI50" i="9"/>
  <c r="AJ50" i="9" s="1"/>
  <c r="AG50" i="9"/>
  <c r="AH50" i="9" s="1"/>
  <c r="BC49" i="9"/>
  <c r="BD49" i="9" s="1"/>
  <c r="BA49" i="9"/>
  <c r="BB49" i="9" s="1"/>
  <c r="AY49" i="9"/>
  <c r="AZ49" i="9" s="1"/>
  <c r="AW49" i="9"/>
  <c r="AX49" i="9" s="1"/>
  <c r="AU49" i="9"/>
  <c r="AV49" i="9" s="1"/>
  <c r="AS49" i="9"/>
  <c r="AT49" i="9" s="1"/>
  <c r="AQ49" i="9"/>
  <c r="AR49" i="9" s="1"/>
  <c r="AO49" i="9"/>
  <c r="AP49" i="9" s="1"/>
  <c r="AM49" i="9"/>
  <c r="AN49" i="9" s="1"/>
  <c r="AK49" i="9"/>
  <c r="AL49" i="9" s="1"/>
  <c r="AI49" i="9"/>
  <c r="AJ49" i="9" s="1"/>
  <c r="AG49" i="9"/>
  <c r="AH49" i="9" s="1"/>
  <c r="BC48" i="9"/>
  <c r="BD48" i="9" s="1"/>
  <c r="BA48" i="9"/>
  <c r="BB48" i="9" s="1"/>
  <c r="AY48" i="9"/>
  <c r="AZ48" i="9" s="1"/>
  <c r="AW48" i="9"/>
  <c r="AX48" i="9" s="1"/>
  <c r="AU48" i="9"/>
  <c r="AV48" i="9" s="1"/>
  <c r="AS48" i="9"/>
  <c r="AT48" i="9" s="1"/>
  <c r="AQ48" i="9"/>
  <c r="AR48" i="9" s="1"/>
  <c r="AO48" i="9"/>
  <c r="AP48" i="9" s="1"/>
  <c r="AM48" i="9"/>
  <c r="AN48" i="9" s="1"/>
  <c r="AK48" i="9"/>
  <c r="AL48" i="9" s="1"/>
  <c r="AI48" i="9"/>
  <c r="AJ48" i="9" s="1"/>
  <c r="AG48" i="9"/>
  <c r="AH48" i="9" s="1"/>
  <c r="BC47" i="9"/>
  <c r="BD47" i="9" s="1"/>
  <c r="BA47" i="9"/>
  <c r="BB47" i="9" s="1"/>
  <c r="AY47" i="9"/>
  <c r="AZ47" i="9" s="1"/>
  <c r="AW47" i="9"/>
  <c r="AX47" i="9" s="1"/>
  <c r="AU47" i="9"/>
  <c r="AV47" i="9" s="1"/>
  <c r="AS47" i="9"/>
  <c r="AT47" i="9" s="1"/>
  <c r="AQ47" i="9"/>
  <c r="AR47" i="9" s="1"/>
  <c r="AO47" i="9"/>
  <c r="AP47" i="9" s="1"/>
  <c r="AM47" i="9"/>
  <c r="AN47" i="9" s="1"/>
  <c r="AK47" i="9"/>
  <c r="AL47" i="9" s="1"/>
  <c r="AI47" i="9"/>
  <c r="AJ47" i="9" s="1"/>
  <c r="AG47" i="9"/>
  <c r="AH47" i="9" s="1"/>
  <c r="BC41" i="9"/>
  <c r="BD41" i="9" s="1"/>
  <c r="AU41" i="9"/>
  <c r="AV41" i="9" s="1"/>
  <c r="AC41" i="9"/>
  <c r="AB41" i="9"/>
  <c r="AA41" i="9"/>
  <c r="Z41" i="9"/>
  <c r="Y41" i="9"/>
  <c r="X41" i="9"/>
  <c r="W41" i="9"/>
  <c r="AQ41" i="9" s="1"/>
  <c r="AR41" i="9" s="1"/>
  <c r="V41" i="9"/>
  <c r="AO41" i="9" s="1"/>
  <c r="AP41" i="9" s="1"/>
  <c r="U41" i="9"/>
  <c r="T41" i="9"/>
  <c r="S41" i="9"/>
  <c r="R41" i="9"/>
  <c r="N41" i="9"/>
  <c r="M41" i="9"/>
  <c r="BA41" i="9" s="1"/>
  <c r="BB41" i="9" s="1"/>
  <c r="L41" i="9"/>
  <c r="AY41" i="9" s="1"/>
  <c r="AZ41" i="9" s="1"/>
  <c r="K41" i="9"/>
  <c r="AW41" i="9" s="1"/>
  <c r="AX41" i="9" s="1"/>
  <c r="J41" i="9"/>
  <c r="I41" i="9"/>
  <c r="H41" i="9"/>
  <c r="G41" i="9"/>
  <c r="F41" i="9"/>
  <c r="E41" i="9"/>
  <c r="D41" i="9"/>
  <c r="C41" i="9"/>
  <c r="BC40" i="9"/>
  <c r="BD40" i="9" s="1"/>
  <c r="BA40" i="9"/>
  <c r="BB40" i="9" s="1"/>
  <c r="AY40" i="9"/>
  <c r="AZ40" i="9" s="1"/>
  <c r="AW40" i="9"/>
  <c r="AX40" i="9" s="1"/>
  <c r="AU40" i="9"/>
  <c r="AV40" i="9" s="1"/>
  <c r="AS40" i="9"/>
  <c r="AT40" i="9" s="1"/>
  <c r="AQ40" i="9"/>
  <c r="AR40" i="9" s="1"/>
  <c r="AO40" i="9"/>
  <c r="AP40" i="9" s="1"/>
  <c r="AM40" i="9"/>
  <c r="AN40" i="9" s="1"/>
  <c r="AK40" i="9"/>
  <c r="AL40" i="9" s="1"/>
  <c r="AI40" i="9"/>
  <c r="AJ40" i="9" s="1"/>
  <c r="AG40" i="9"/>
  <c r="AH40" i="9" s="1"/>
  <c r="BC39" i="9"/>
  <c r="BD39" i="9" s="1"/>
  <c r="BA39" i="9"/>
  <c r="BB39" i="9" s="1"/>
  <c r="AY39" i="9"/>
  <c r="AZ39" i="9" s="1"/>
  <c r="AW39" i="9"/>
  <c r="AX39" i="9" s="1"/>
  <c r="AU39" i="9"/>
  <c r="AV39" i="9" s="1"/>
  <c r="AS39" i="9"/>
  <c r="AT39" i="9" s="1"/>
  <c r="AQ39" i="9"/>
  <c r="AR39" i="9" s="1"/>
  <c r="AO39" i="9"/>
  <c r="AP39" i="9" s="1"/>
  <c r="AM39" i="9"/>
  <c r="AN39" i="9" s="1"/>
  <c r="AK39" i="9"/>
  <c r="AL39" i="9" s="1"/>
  <c r="AI39" i="9"/>
  <c r="AJ39" i="9" s="1"/>
  <c r="AG39" i="9"/>
  <c r="AH39" i="9" s="1"/>
  <c r="BC38" i="9"/>
  <c r="BD38" i="9" s="1"/>
  <c r="BA38" i="9"/>
  <c r="BB38" i="9" s="1"/>
  <c r="AY38" i="9"/>
  <c r="AZ38" i="9" s="1"/>
  <c r="AW38" i="9"/>
  <c r="AX38" i="9" s="1"/>
  <c r="AU38" i="9"/>
  <c r="AV38" i="9" s="1"/>
  <c r="AS38" i="9"/>
  <c r="AT38" i="9" s="1"/>
  <c r="AQ38" i="9"/>
  <c r="AR38" i="9" s="1"/>
  <c r="AO38" i="9"/>
  <c r="AP38" i="9" s="1"/>
  <c r="AM38" i="9"/>
  <c r="AN38" i="9" s="1"/>
  <c r="AK38" i="9"/>
  <c r="AL38" i="9" s="1"/>
  <c r="AI38" i="9"/>
  <c r="AJ38" i="9" s="1"/>
  <c r="AG38" i="9"/>
  <c r="AH38" i="9" s="1"/>
  <c r="BC37" i="9"/>
  <c r="BD37" i="9" s="1"/>
  <c r="BA37" i="9"/>
  <c r="BB37" i="9" s="1"/>
  <c r="AY37" i="9"/>
  <c r="AZ37" i="9" s="1"/>
  <c r="AW37" i="9"/>
  <c r="AX37" i="9" s="1"/>
  <c r="AU37" i="9"/>
  <c r="AV37" i="9" s="1"/>
  <c r="AS37" i="9"/>
  <c r="AT37" i="9" s="1"/>
  <c r="AQ37" i="9"/>
  <c r="AR37" i="9" s="1"/>
  <c r="AO37" i="9"/>
  <c r="AP37" i="9" s="1"/>
  <c r="AM37" i="9"/>
  <c r="AN37" i="9" s="1"/>
  <c r="AK37" i="9"/>
  <c r="AL37" i="9" s="1"/>
  <c r="AI37" i="9"/>
  <c r="AJ37" i="9" s="1"/>
  <c r="AG37" i="9"/>
  <c r="AH37" i="9" s="1"/>
  <c r="BC36" i="9"/>
  <c r="BD36" i="9" s="1"/>
  <c r="BA36" i="9"/>
  <c r="BB36" i="9" s="1"/>
  <c r="AY36" i="9"/>
  <c r="AZ36" i="9" s="1"/>
  <c r="AW36" i="9"/>
  <c r="AX36" i="9" s="1"/>
  <c r="AU36" i="9"/>
  <c r="AV36" i="9" s="1"/>
  <c r="AS36" i="9"/>
  <c r="AT36" i="9" s="1"/>
  <c r="AQ36" i="9"/>
  <c r="AR36" i="9" s="1"/>
  <c r="AO36" i="9"/>
  <c r="AP36" i="9" s="1"/>
  <c r="AM36" i="9"/>
  <c r="AN36" i="9" s="1"/>
  <c r="AK36" i="9"/>
  <c r="AL36" i="9" s="1"/>
  <c r="AI36" i="9"/>
  <c r="AJ36" i="9" s="1"/>
  <c r="AG36" i="9"/>
  <c r="AH36" i="9" s="1"/>
  <c r="BC35" i="9"/>
  <c r="BD35" i="9" s="1"/>
  <c r="BA35" i="9"/>
  <c r="BB35" i="9" s="1"/>
  <c r="AY35" i="9"/>
  <c r="AZ35" i="9" s="1"/>
  <c r="AW35" i="9"/>
  <c r="AX35" i="9" s="1"/>
  <c r="AU35" i="9"/>
  <c r="AV35" i="9" s="1"/>
  <c r="AS35" i="9"/>
  <c r="AT35" i="9" s="1"/>
  <c r="AQ35" i="9"/>
  <c r="AR35" i="9" s="1"/>
  <c r="AO35" i="9"/>
  <c r="AP35" i="9" s="1"/>
  <c r="AM35" i="9"/>
  <c r="AN35" i="9" s="1"/>
  <c r="AK35" i="9"/>
  <c r="AL35" i="9" s="1"/>
  <c r="AI35" i="9"/>
  <c r="AJ35" i="9" s="1"/>
  <c r="AG35" i="9"/>
  <c r="AH35" i="9" s="1"/>
  <c r="BC34" i="9"/>
  <c r="BD34" i="9" s="1"/>
  <c r="BA34" i="9"/>
  <c r="BB34" i="9" s="1"/>
  <c r="AY34" i="9"/>
  <c r="AZ34" i="9" s="1"/>
  <c r="AW34" i="9"/>
  <c r="AX34" i="9" s="1"/>
  <c r="AU34" i="9"/>
  <c r="AV34" i="9" s="1"/>
  <c r="AS34" i="9"/>
  <c r="AT34" i="9" s="1"/>
  <c r="AQ34" i="9"/>
  <c r="AR34" i="9" s="1"/>
  <c r="AO34" i="9"/>
  <c r="AP34" i="9" s="1"/>
  <c r="AM34" i="9"/>
  <c r="AN34" i="9" s="1"/>
  <c r="AK34" i="9"/>
  <c r="AL34" i="9" s="1"/>
  <c r="AI34" i="9"/>
  <c r="AJ34" i="9" s="1"/>
  <c r="AG34" i="9"/>
  <c r="AH34" i="9" s="1"/>
  <c r="BC33" i="9"/>
  <c r="BD33" i="9" s="1"/>
  <c r="BA33" i="9"/>
  <c r="BB33" i="9" s="1"/>
  <c r="AY33" i="9"/>
  <c r="AZ33" i="9" s="1"/>
  <c r="AW33" i="9"/>
  <c r="AX33" i="9" s="1"/>
  <c r="AU33" i="9"/>
  <c r="AV33" i="9" s="1"/>
  <c r="AS33" i="9"/>
  <c r="AT33" i="9" s="1"/>
  <c r="AQ33" i="9"/>
  <c r="AR33" i="9" s="1"/>
  <c r="AO33" i="9"/>
  <c r="AP33" i="9" s="1"/>
  <c r="AM33" i="9"/>
  <c r="AN33" i="9" s="1"/>
  <c r="AK33" i="9"/>
  <c r="AL33" i="9" s="1"/>
  <c r="AI33" i="9"/>
  <c r="AJ33" i="9" s="1"/>
  <c r="AG33" i="9"/>
  <c r="AH33" i="9" s="1"/>
  <c r="BC32" i="9"/>
  <c r="BD32" i="9" s="1"/>
  <c r="BA32" i="9"/>
  <c r="BB32" i="9" s="1"/>
  <c r="AY32" i="9"/>
  <c r="AZ32" i="9" s="1"/>
  <c r="AW32" i="9"/>
  <c r="AX32" i="9" s="1"/>
  <c r="AU32" i="9"/>
  <c r="AV32" i="9" s="1"/>
  <c r="AS32" i="9"/>
  <c r="AT32" i="9" s="1"/>
  <c r="AQ32" i="9"/>
  <c r="AR32" i="9" s="1"/>
  <c r="AO32" i="9"/>
  <c r="AP32" i="9" s="1"/>
  <c r="AM32" i="9"/>
  <c r="AN32" i="9" s="1"/>
  <c r="AK32" i="9"/>
  <c r="AL32" i="9" s="1"/>
  <c r="AI32" i="9"/>
  <c r="AJ32" i="9" s="1"/>
  <c r="AG32" i="9"/>
  <c r="AH32" i="9" s="1"/>
  <c r="BC31" i="9"/>
  <c r="BD31" i="9" s="1"/>
  <c r="BA31" i="9"/>
  <c r="BB31" i="9" s="1"/>
  <c r="AY31" i="9"/>
  <c r="AZ31" i="9" s="1"/>
  <c r="AW31" i="9"/>
  <c r="AX31" i="9" s="1"/>
  <c r="AU31" i="9"/>
  <c r="AV31" i="9" s="1"/>
  <c r="AS31" i="9"/>
  <c r="AT31" i="9" s="1"/>
  <c r="AQ31" i="9"/>
  <c r="AR31" i="9" s="1"/>
  <c r="AO31" i="9"/>
  <c r="AP31" i="9" s="1"/>
  <c r="AM31" i="9"/>
  <c r="AN31" i="9" s="1"/>
  <c r="AK31" i="9"/>
  <c r="AL31" i="9" s="1"/>
  <c r="AI31" i="9"/>
  <c r="AJ31" i="9" s="1"/>
  <c r="AG31" i="9"/>
  <c r="AH31" i="9" s="1"/>
  <c r="BC30" i="9"/>
  <c r="BD30" i="9" s="1"/>
  <c r="BA30" i="9"/>
  <c r="BB30" i="9" s="1"/>
  <c r="AY30" i="9"/>
  <c r="AZ30" i="9" s="1"/>
  <c r="AW30" i="9"/>
  <c r="AX30" i="9" s="1"/>
  <c r="AU30" i="9"/>
  <c r="AV30" i="9" s="1"/>
  <c r="AS30" i="9"/>
  <c r="AT30" i="9" s="1"/>
  <c r="AQ30" i="9"/>
  <c r="AR30" i="9" s="1"/>
  <c r="AO30" i="9"/>
  <c r="AP30" i="9" s="1"/>
  <c r="AM30" i="9"/>
  <c r="AN30" i="9" s="1"/>
  <c r="AK30" i="9"/>
  <c r="AL30" i="9" s="1"/>
  <c r="AI30" i="9"/>
  <c r="AJ30" i="9" s="1"/>
  <c r="AG30" i="9"/>
  <c r="AH30" i="9" s="1"/>
  <c r="BC29" i="9"/>
  <c r="BD29" i="9" s="1"/>
  <c r="BA29" i="9"/>
  <c r="BB29" i="9" s="1"/>
  <c r="AY29" i="9"/>
  <c r="AZ29" i="9" s="1"/>
  <c r="AW29" i="9"/>
  <c r="AX29" i="9" s="1"/>
  <c r="AU29" i="9"/>
  <c r="AV29" i="9" s="1"/>
  <c r="AS29" i="9"/>
  <c r="AT29" i="9" s="1"/>
  <c r="AQ29" i="9"/>
  <c r="AR29" i="9" s="1"/>
  <c r="AO29" i="9"/>
  <c r="AP29" i="9" s="1"/>
  <c r="AM29" i="9"/>
  <c r="AN29" i="9" s="1"/>
  <c r="AK29" i="9"/>
  <c r="AL29" i="9" s="1"/>
  <c r="AI29" i="9"/>
  <c r="AJ29" i="9" s="1"/>
  <c r="AG29" i="9"/>
  <c r="AH29" i="9" s="1"/>
  <c r="BC28" i="9"/>
  <c r="BD28" i="9" s="1"/>
  <c r="BA28" i="9"/>
  <c r="BB28" i="9" s="1"/>
  <c r="AY28" i="9"/>
  <c r="AZ28" i="9" s="1"/>
  <c r="AW28" i="9"/>
  <c r="AX28" i="9" s="1"/>
  <c r="AU28" i="9"/>
  <c r="AV28" i="9" s="1"/>
  <c r="AS28" i="9"/>
  <c r="AT28" i="9" s="1"/>
  <c r="AQ28" i="9"/>
  <c r="AR28" i="9" s="1"/>
  <c r="AO28" i="9"/>
  <c r="AP28" i="9" s="1"/>
  <c r="AM28" i="9"/>
  <c r="AN28" i="9" s="1"/>
  <c r="AK28" i="9"/>
  <c r="AL28" i="9" s="1"/>
  <c r="AI28" i="9"/>
  <c r="AJ28" i="9" s="1"/>
  <c r="AG28" i="9"/>
  <c r="AH28" i="9" s="1"/>
  <c r="BC27" i="9"/>
  <c r="BD27" i="9" s="1"/>
  <c r="BB27" i="9"/>
  <c r="BA27" i="9"/>
  <c r="AY27" i="9"/>
  <c r="AZ27" i="9" s="1"/>
  <c r="AW27" i="9"/>
  <c r="AX27" i="9" s="1"/>
  <c r="AU27" i="9"/>
  <c r="AV27" i="9" s="1"/>
  <c r="AS27" i="9"/>
  <c r="AT27" i="9" s="1"/>
  <c r="AQ27" i="9"/>
  <c r="AR27" i="9" s="1"/>
  <c r="AO27" i="9"/>
  <c r="AP27" i="9" s="1"/>
  <c r="AM27" i="9"/>
  <c r="AN27" i="9" s="1"/>
  <c r="AK27" i="9"/>
  <c r="AL27" i="9" s="1"/>
  <c r="AI27" i="9"/>
  <c r="AJ27" i="9" s="1"/>
  <c r="AG27" i="9"/>
  <c r="AH27" i="9" s="1"/>
  <c r="AU21" i="9"/>
  <c r="AV21" i="9" s="1"/>
  <c r="AC21" i="9"/>
  <c r="AB21" i="9"/>
  <c r="AA21" i="9"/>
  <c r="Z21" i="9"/>
  <c r="Y21" i="9"/>
  <c r="X21" i="9"/>
  <c r="W21" i="9"/>
  <c r="V21" i="9"/>
  <c r="S21" i="9"/>
  <c r="R21" i="9"/>
  <c r="N21" i="9"/>
  <c r="BC21" i="9" s="1"/>
  <c r="BD21" i="9" s="1"/>
  <c r="M21" i="9"/>
  <c r="L21" i="9"/>
  <c r="K21" i="9"/>
  <c r="AW21" i="9" s="1"/>
  <c r="AX21" i="9" s="1"/>
  <c r="J21" i="9"/>
  <c r="I21" i="9"/>
  <c r="AS21" i="9" s="1"/>
  <c r="AT21" i="9" s="1"/>
  <c r="H21" i="9"/>
  <c r="AQ21" i="9" s="1"/>
  <c r="AR21" i="9" s="1"/>
  <c r="G21" i="9"/>
  <c r="AO21" i="9" s="1"/>
  <c r="AP21" i="9" s="1"/>
  <c r="D21" i="9"/>
  <c r="C21" i="9"/>
  <c r="BC20" i="9"/>
  <c r="BD20" i="9" s="1"/>
  <c r="BA20" i="9"/>
  <c r="BB20" i="9" s="1"/>
  <c r="AY20" i="9"/>
  <c r="AZ20" i="9" s="1"/>
  <c r="AW20" i="9"/>
  <c r="AX20" i="9" s="1"/>
  <c r="AU20" i="9"/>
  <c r="AV20" i="9" s="1"/>
  <c r="AS20" i="9"/>
  <c r="AT20" i="9" s="1"/>
  <c r="AQ20" i="9"/>
  <c r="AR20" i="9" s="1"/>
  <c r="AO20" i="9"/>
  <c r="AP20" i="9" s="1"/>
  <c r="AI20" i="9"/>
  <c r="AJ20" i="9" s="1"/>
  <c r="AG20" i="9"/>
  <c r="AH20" i="9" s="1"/>
  <c r="AM20" i="9"/>
  <c r="AN20" i="9" s="1"/>
  <c r="AK20" i="9"/>
  <c r="AL20" i="9" s="1"/>
  <c r="BC19" i="9"/>
  <c r="BD19" i="9" s="1"/>
  <c r="BA19" i="9"/>
  <c r="BB19" i="9" s="1"/>
  <c r="AY19" i="9"/>
  <c r="AZ19" i="9" s="1"/>
  <c r="AW19" i="9"/>
  <c r="AX19" i="9" s="1"/>
  <c r="AV19" i="9"/>
  <c r="AU19" i="9"/>
  <c r="AT19" i="9"/>
  <c r="AS19" i="9"/>
  <c r="AQ19" i="9"/>
  <c r="AR19" i="9" s="1"/>
  <c r="AP19" i="9"/>
  <c r="AO19" i="9"/>
  <c r="AI19" i="9"/>
  <c r="AJ19" i="9" s="1"/>
  <c r="AG19" i="9"/>
  <c r="AH19" i="9" s="1"/>
  <c r="AM19" i="9"/>
  <c r="AN19" i="9" s="1"/>
  <c r="AK19" i="9"/>
  <c r="AL19" i="9" s="1"/>
  <c r="BC18" i="9"/>
  <c r="BD18" i="9" s="1"/>
  <c r="BA18" i="9"/>
  <c r="BB18" i="9" s="1"/>
  <c r="AZ18" i="9"/>
  <c r="AY18" i="9"/>
  <c r="AX18" i="9"/>
  <c r="AW18" i="9"/>
  <c r="AU18" i="9"/>
  <c r="AV18" i="9" s="1"/>
  <c r="AS18" i="9"/>
  <c r="AT18" i="9" s="1"/>
  <c r="AR18" i="9"/>
  <c r="AQ18" i="9"/>
  <c r="AP18" i="9"/>
  <c r="AO18" i="9"/>
  <c r="AI18" i="9"/>
  <c r="AJ18" i="9" s="1"/>
  <c r="AG18" i="9"/>
  <c r="AH18" i="9" s="1"/>
  <c r="T21" i="9"/>
  <c r="F21" i="9"/>
  <c r="AK18" i="9"/>
  <c r="AL18" i="9" s="1"/>
  <c r="BD17" i="9"/>
  <c r="BC17" i="9"/>
  <c r="BB17" i="9"/>
  <c r="BA17" i="9"/>
  <c r="AY17" i="9"/>
  <c r="AZ17" i="9" s="1"/>
  <c r="AW17" i="9"/>
  <c r="AX17" i="9" s="1"/>
  <c r="AV17" i="9"/>
  <c r="AU17" i="9"/>
  <c r="AT17" i="9"/>
  <c r="AS17" i="9"/>
  <c r="AQ17" i="9"/>
  <c r="AR17" i="9" s="1"/>
  <c r="AO17" i="9"/>
  <c r="AP17" i="9" s="1"/>
  <c r="AI17" i="9"/>
  <c r="AJ17" i="9" s="1"/>
  <c r="AG17" i="9"/>
  <c r="AH17" i="9" s="1"/>
  <c r="AM17" i="9"/>
  <c r="AN17" i="9" s="1"/>
  <c r="E21" i="9"/>
  <c r="BC10" i="9"/>
  <c r="BD10" i="9" s="1"/>
  <c r="AM10" i="9"/>
  <c r="AN10" i="9" s="1"/>
  <c r="AC10" i="9"/>
  <c r="AB10" i="9"/>
  <c r="BA10" i="9" s="1"/>
  <c r="BB10" i="9" s="1"/>
  <c r="AA10" i="9"/>
  <c r="Z10" i="9"/>
  <c r="Y10" i="9"/>
  <c r="X10" i="9"/>
  <c r="W10" i="9"/>
  <c r="V10" i="9"/>
  <c r="U10" i="9"/>
  <c r="T10" i="9"/>
  <c r="S10" i="9"/>
  <c r="R10" i="9"/>
  <c r="N10" i="9"/>
  <c r="M10" i="9"/>
  <c r="L10" i="9"/>
  <c r="K10" i="9"/>
  <c r="AW10" i="9" s="1"/>
  <c r="AX10" i="9" s="1"/>
  <c r="J10" i="9"/>
  <c r="AU10" i="9" s="1"/>
  <c r="AV10" i="9" s="1"/>
  <c r="I10" i="9"/>
  <c r="AS10" i="9" s="1"/>
  <c r="AT10" i="9" s="1"/>
  <c r="H10" i="9"/>
  <c r="AQ10" i="9" s="1"/>
  <c r="AR10" i="9" s="1"/>
  <c r="G10" i="9"/>
  <c r="AO10" i="9" s="1"/>
  <c r="AP10" i="9" s="1"/>
  <c r="F10" i="9"/>
  <c r="E10" i="9"/>
  <c r="D10" i="9"/>
  <c r="C10" i="9"/>
  <c r="BC9" i="9"/>
  <c r="BD9" i="9" s="1"/>
  <c r="BA9" i="9"/>
  <c r="BB9" i="9" s="1"/>
  <c r="AY9" i="9"/>
  <c r="AZ9" i="9" s="1"/>
  <c r="AX9" i="9"/>
  <c r="AW9" i="9"/>
  <c r="AU9" i="9"/>
  <c r="AV9" i="9" s="1"/>
  <c r="AS9" i="9"/>
  <c r="AT9" i="9" s="1"/>
  <c r="AR9" i="9"/>
  <c r="AQ9" i="9"/>
  <c r="AO9" i="9"/>
  <c r="AP9" i="9" s="1"/>
  <c r="AM9" i="9"/>
  <c r="AN9" i="9" s="1"/>
  <c r="AK9" i="9"/>
  <c r="AL9" i="9" s="1"/>
  <c r="AI9" i="9"/>
  <c r="AJ9" i="9" s="1"/>
  <c r="AG9" i="9"/>
  <c r="AH9" i="9" s="1"/>
  <c r="BC8" i="9"/>
  <c r="BD8" i="9" s="1"/>
  <c r="BA8" i="9"/>
  <c r="BB8" i="9" s="1"/>
  <c r="AZ8" i="9"/>
  <c r="AY8" i="9"/>
  <c r="AX8" i="9"/>
  <c r="AW8" i="9"/>
  <c r="AU8" i="9"/>
  <c r="AV8" i="9" s="1"/>
  <c r="AT8" i="9"/>
  <c r="AS8" i="9"/>
  <c r="AQ8" i="9"/>
  <c r="AR8" i="9" s="1"/>
  <c r="AP8" i="9"/>
  <c r="AO8" i="9"/>
  <c r="AM8" i="9"/>
  <c r="AN8" i="9" s="1"/>
  <c r="AK8" i="9"/>
  <c r="AL8" i="9" s="1"/>
  <c r="AI8" i="9"/>
  <c r="AJ8" i="9" s="1"/>
  <c r="AG8" i="9"/>
  <c r="AH8" i="9" s="1"/>
  <c r="BC7" i="9"/>
  <c r="BD7" i="9" s="1"/>
  <c r="BB7" i="9"/>
  <c r="BA7" i="9"/>
  <c r="AZ7" i="9"/>
  <c r="AY7" i="9"/>
  <c r="AW7" i="9"/>
  <c r="AX7" i="9" s="1"/>
  <c r="AU7" i="9"/>
  <c r="AV7" i="9" s="1"/>
  <c r="AS7" i="9"/>
  <c r="AT7" i="9" s="1"/>
  <c r="AR7" i="9"/>
  <c r="AQ7" i="9"/>
  <c r="AO7" i="9"/>
  <c r="AP7" i="9" s="1"/>
  <c r="AM7" i="9"/>
  <c r="AN7" i="9" s="1"/>
  <c r="AK7" i="9"/>
  <c r="AL7" i="9" s="1"/>
  <c r="AI7" i="9"/>
  <c r="AJ7" i="9" s="1"/>
  <c r="AG7" i="9"/>
  <c r="AH7" i="9" s="1"/>
  <c r="BC6" i="9"/>
  <c r="BD6" i="9" s="1"/>
  <c r="BB6" i="9"/>
  <c r="BA6" i="9"/>
  <c r="AZ6" i="9"/>
  <c r="AY6" i="9"/>
  <c r="AX6" i="9"/>
  <c r="AW6" i="9"/>
  <c r="AU6" i="9"/>
  <c r="AV6" i="9" s="1"/>
  <c r="AT6" i="9"/>
  <c r="AS6" i="9"/>
  <c r="AQ6" i="9"/>
  <c r="AR6" i="9" s="1"/>
  <c r="AO6" i="9"/>
  <c r="AP6" i="9" s="1"/>
  <c r="AM6" i="9"/>
  <c r="AN6" i="9" s="1"/>
  <c r="AK6" i="9"/>
  <c r="AL6" i="9" s="1"/>
  <c r="AI6" i="9"/>
  <c r="AJ6" i="9" s="1"/>
  <c r="AG6" i="9"/>
  <c r="AH6" i="9" s="1"/>
  <c r="BC5" i="9"/>
  <c r="BD5" i="9" s="1"/>
  <c r="BA5" i="9"/>
  <c r="BB5" i="9" s="1"/>
  <c r="AZ5" i="9"/>
  <c r="AY5" i="9"/>
  <c r="AW5" i="9"/>
  <c r="AX5" i="9" s="1"/>
  <c r="AU5" i="9"/>
  <c r="AV5" i="9" s="1"/>
  <c r="AS5" i="9"/>
  <c r="AT5" i="9" s="1"/>
  <c r="AR5" i="9"/>
  <c r="AQ5" i="9"/>
  <c r="AO5" i="9"/>
  <c r="AP5" i="9" s="1"/>
  <c r="AM5" i="9"/>
  <c r="AN5" i="9" s="1"/>
  <c r="AL5" i="9"/>
  <c r="AK5" i="9"/>
  <c r="AI5" i="9"/>
  <c r="AJ5" i="9" s="1"/>
  <c r="AH5" i="9"/>
  <c r="AG5" i="9"/>
  <c r="AC61" i="8"/>
  <c r="AB61" i="8"/>
  <c r="AA61" i="8"/>
  <c r="Z61" i="8"/>
  <c r="Y61" i="8"/>
  <c r="X61" i="8"/>
  <c r="W61" i="8"/>
  <c r="V61" i="8"/>
  <c r="U61" i="8"/>
  <c r="T61" i="8"/>
  <c r="S61" i="8"/>
  <c r="R61" i="8"/>
  <c r="N61" i="8"/>
  <c r="M61" i="8"/>
  <c r="L61" i="8"/>
  <c r="K61" i="8"/>
  <c r="J61" i="8"/>
  <c r="I61" i="8"/>
  <c r="H61" i="8"/>
  <c r="AQ61" i="8" s="1"/>
  <c r="AR61" i="8" s="1"/>
  <c r="G61" i="8"/>
  <c r="AO61" i="8" s="1"/>
  <c r="AP61" i="8" s="1"/>
  <c r="F61" i="8"/>
  <c r="AM61" i="8" s="1"/>
  <c r="AN61" i="8" s="1"/>
  <c r="E61" i="8"/>
  <c r="D61" i="8"/>
  <c r="C61" i="8"/>
  <c r="BC60" i="8"/>
  <c r="BD60" i="8" s="1"/>
  <c r="BA60" i="8"/>
  <c r="BB60" i="8" s="1"/>
  <c r="AY60" i="8"/>
  <c r="AZ60" i="8" s="1"/>
  <c r="AW60" i="8"/>
  <c r="AX60" i="8" s="1"/>
  <c r="AU60" i="8"/>
  <c r="AV60" i="8" s="1"/>
  <c r="AS60" i="8"/>
  <c r="AT60" i="8" s="1"/>
  <c r="AR60" i="8"/>
  <c r="AQ60" i="8"/>
  <c r="AO60" i="8"/>
  <c r="AP60" i="8" s="1"/>
  <c r="AM60" i="8"/>
  <c r="AN60" i="8" s="1"/>
  <c r="AK60" i="8"/>
  <c r="AL60" i="8" s="1"/>
  <c r="AJ60" i="8"/>
  <c r="AI60" i="8"/>
  <c r="AG60" i="8"/>
  <c r="AH60" i="8" s="1"/>
  <c r="BC59" i="8"/>
  <c r="BD59" i="8" s="1"/>
  <c r="BA59" i="8"/>
  <c r="BB59" i="8" s="1"/>
  <c r="AY59" i="8"/>
  <c r="AZ59" i="8" s="1"/>
  <c r="AW59" i="8"/>
  <c r="AX59" i="8" s="1"/>
  <c r="AU59" i="8"/>
  <c r="AV59" i="8" s="1"/>
  <c r="AS59" i="8"/>
  <c r="AT59" i="8" s="1"/>
  <c r="AQ59" i="8"/>
  <c r="AR59" i="8" s="1"/>
  <c r="AO59" i="8"/>
  <c r="AP59" i="8" s="1"/>
  <c r="AM59" i="8"/>
  <c r="AN59" i="8" s="1"/>
  <c r="AK59" i="8"/>
  <c r="AL59" i="8" s="1"/>
  <c r="AI59" i="8"/>
  <c r="AJ59" i="8" s="1"/>
  <c r="AG59" i="8"/>
  <c r="AH59" i="8" s="1"/>
  <c r="BC58" i="8"/>
  <c r="BD58" i="8" s="1"/>
  <c r="BA58" i="8"/>
  <c r="BB58" i="8" s="1"/>
  <c r="AY58" i="8"/>
  <c r="AZ58" i="8" s="1"/>
  <c r="AW58" i="8"/>
  <c r="AX58" i="8" s="1"/>
  <c r="AU58" i="8"/>
  <c r="AV58" i="8" s="1"/>
  <c r="AS58" i="8"/>
  <c r="AT58" i="8" s="1"/>
  <c r="AQ58" i="8"/>
  <c r="AR58" i="8" s="1"/>
  <c r="AO58" i="8"/>
  <c r="AP58" i="8" s="1"/>
  <c r="AM58" i="8"/>
  <c r="AN58" i="8" s="1"/>
  <c r="AK58" i="8"/>
  <c r="AL58" i="8" s="1"/>
  <c r="AI58" i="8"/>
  <c r="AJ58" i="8" s="1"/>
  <c r="AG58" i="8"/>
  <c r="AH58" i="8" s="1"/>
  <c r="BC57" i="8"/>
  <c r="BD57" i="8" s="1"/>
  <c r="BA57" i="8"/>
  <c r="BB57" i="8" s="1"/>
  <c r="AY57" i="8"/>
  <c r="AZ57" i="8" s="1"/>
  <c r="AW57" i="8"/>
  <c r="AX57" i="8" s="1"/>
  <c r="AU57" i="8"/>
  <c r="AV57" i="8" s="1"/>
  <c r="AS57" i="8"/>
  <c r="AT57" i="8" s="1"/>
  <c r="AR57" i="8"/>
  <c r="AQ57" i="8"/>
  <c r="AO57" i="8"/>
  <c r="AP57" i="8" s="1"/>
  <c r="AM57" i="8"/>
  <c r="AN57" i="8" s="1"/>
  <c r="AK57" i="8"/>
  <c r="AL57" i="8" s="1"/>
  <c r="AI57" i="8"/>
  <c r="AJ57" i="8" s="1"/>
  <c r="AG57" i="8"/>
  <c r="AH57" i="8" s="1"/>
  <c r="BC56" i="8"/>
  <c r="BD56" i="8" s="1"/>
  <c r="BA56" i="8"/>
  <c r="BB56" i="8" s="1"/>
  <c r="AY56" i="8"/>
  <c r="AZ56" i="8" s="1"/>
  <c r="AW56" i="8"/>
  <c r="AX56" i="8" s="1"/>
  <c r="AU56" i="8"/>
  <c r="AV56" i="8" s="1"/>
  <c r="AS56" i="8"/>
  <c r="AT56" i="8" s="1"/>
  <c r="AQ56" i="8"/>
  <c r="AR56" i="8" s="1"/>
  <c r="AO56" i="8"/>
  <c r="AP56" i="8" s="1"/>
  <c r="AM56" i="8"/>
  <c r="AN56" i="8" s="1"/>
  <c r="AK56" i="8"/>
  <c r="AL56" i="8" s="1"/>
  <c r="AI56" i="8"/>
  <c r="AJ56" i="8" s="1"/>
  <c r="AG56" i="8"/>
  <c r="AH56" i="8" s="1"/>
  <c r="BC55" i="8"/>
  <c r="BD55" i="8" s="1"/>
  <c r="BA55" i="8"/>
  <c r="BB55" i="8" s="1"/>
  <c r="AY55" i="8"/>
  <c r="AZ55" i="8" s="1"/>
  <c r="AW55" i="8"/>
  <c r="AX55" i="8" s="1"/>
  <c r="AU55" i="8"/>
  <c r="AV55" i="8" s="1"/>
  <c r="AS55" i="8"/>
  <c r="AT55" i="8" s="1"/>
  <c r="AQ55" i="8"/>
  <c r="AR55" i="8" s="1"/>
  <c r="AO55" i="8"/>
  <c r="AP55" i="8" s="1"/>
  <c r="AM55" i="8"/>
  <c r="AN55" i="8" s="1"/>
  <c r="AK55" i="8"/>
  <c r="AL55" i="8" s="1"/>
  <c r="AI55" i="8"/>
  <c r="AJ55" i="8" s="1"/>
  <c r="AG55" i="8"/>
  <c r="AH55" i="8" s="1"/>
  <c r="BC54" i="8"/>
  <c r="BD54" i="8" s="1"/>
  <c r="BA54" i="8"/>
  <c r="BB54" i="8" s="1"/>
  <c r="AY54" i="8"/>
  <c r="AZ54" i="8" s="1"/>
  <c r="AW54" i="8"/>
  <c r="AX54" i="8" s="1"/>
  <c r="AU54" i="8"/>
  <c r="AV54" i="8" s="1"/>
  <c r="AS54" i="8"/>
  <c r="AT54" i="8" s="1"/>
  <c r="AQ54" i="8"/>
  <c r="AR54" i="8" s="1"/>
  <c r="AO54" i="8"/>
  <c r="AP54" i="8" s="1"/>
  <c r="AM54" i="8"/>
  <c r="AN54" i="8" s="1"/>
  <c r="AK54" i="8"/>
  <c r="AL54" i="8" s="1"/>
  <c r="AI54" i="8"/>
  <c r="AJ54" i="8" s="1"/>
  <c r="AG54" i="8"/>
  <c r="AH54" i="8" s="1"/>
  <c r="BC53" i="8"/>
  <c r="BD53" i="8" s="1"/>
  <c r="BA53" i="8"/>
  <c r="BB53" i="8" s="1"/>
  <c r="AY53" i="8"/>
  <c r="AZ53" i="8" s="1"/>
  <c r="AW53" i="8"/>
  <c r="AX53" i="8" s="1"/>
  <c r="AU53" i="8"/>
  <c r="AV53" i="8" s="1"/>
  <c r="AS53" i="8"/>
  <c r="AT53" i="8" s="1"/>
  <c r="AQ53" i="8"/>
  <c r="AR53" i="8" s="1"/>
  <c r="AO53" i="8"/>
  <c r="AP53" i="8" s="1"/>
  <c r="AM53" i="8"/>
  <c r="AN53" i="8" s="1"/>
  <c r="AK53" i="8"/>
  <c r="AL53" i="8" s="1"/>
  <c r="AI53" i="8"/>
  <c r="AJ53" i="8" s="1"/>
  <c r="AG53" i="8"/>
  <c r="AH53" i="8" s="1"/>
  <c r="BC52" i="8"/>
  <c r="BD52" i="8" s="1"/>
  <c r="BA52" i="8"/>
  <c r="BB52" i="8" s="1"/>
  <c r="AY52" i="8"/>
  <c r="AZ52" i="8" s="1"/>
  <c r="AW52" i="8"/>
  <c r="AX52" i="8" s="1"/>
  <c r="AU52" i="8"/>
  <c r="AV52" i="8" s="1"/>
  <c r="AS52" i="8"/>
  <c r="AT52" i="8" s="1"/>
  <c r="AQ52" i="8"/>
  <c r="AR52" i="8" s="1"/>
  <c r="AO52" i="8"/>
  <c r="AP52" i="8" s="1"/>
  <c r="AM52" i="8"/>
  <c r="AN52" i="8" s="1"/>
  <c r="AK52" i="8"/>
  <c r="AL52" i="8" s="1"/>
  <c r="AI52" i="8"/>
  <c r="AJ52" i="8" s="1"/>
  <c r="AG52" i="8"/>
  <c r="AH52" i="8" s="1"/>
  <c r="BC51" i="8"/>
  <c r="BD51" i="8" s="1"/>
  <c r="BA51" i="8"/>
  <c r="BB51" i="8" s="1"/>
  <c r="AY51" i="8"/>
  <c r="AZ51" i="8" s="1"/>
  <c r="AW51" i="8"/>
  <c r="AX51" i="8" s="1"/>
  <c r="AU51" i="8"/>
  <c r="AV51" i="8" s="1"/>
  <c r="AS51" i="8"/>
  <c r="AT51" i="8" s="1"/>
  <c r="AQ51" i="8"/>
  <c r="AR51" i="8" s="1"/>
  <c r="AO51" i="8"/>
  <c r="AP51" i="8" s="1"/>
  <c r="AM51" i="8"/>
  <c r="AN51" i="8" s="1"/>
  <c r="AK51" i="8"/>
  <c r="AL51" i="8" s="1"/>
  <c r="AI51" i="8"/>
  <c r="AJ51" i="8" s="1"/>
  <c r="AG51" i="8"/>
  <c r="AH51" i="8" s="1"/>
  <c r="BC50" i="8"/>
  <c r="BD50" i="8" s="1"/>
  <c r="BA50" i="8"/>
  <c r="BB50" i="8" s="1"/>
  <c r="AY50" i="8"/>
  <c r="AZ50" i="8" s="1"/>
  <c r="AW50" i="8"/>
  <c r="AX50" i="8" s="1"/>
  <c r="AU50" i="8"/>
  <c r="AV50" i="8" s="1"/>
  <c r="AS50" i="8"/>
  <c r="AT50" i="8" s="1"/>
  <c r="AQ50" i="8"/>
  <c r="AR50" i="8" s="1"/>
  <c r="AO50" i="8"/>
  <c r="AP50" i="8" s="1"/>
  <c r="AM50" i="8"/>
  <c r="AN50" i="8" s="1"/>
  <c r="AK50" i="8"/>
  <c r="AL50" i="8" s="1"/>
  <c r="AI50" i="8"/>
  <c r="AJ50" i="8" s="1"/>
  <c r="AG50" i="8"/>
  <c r="AH50" i="8" s="1"/>
  <c r="BC49" i="8"/>
  <c r="BD49" i="8" s="1"/>
  <c r="BA49" i="8"/>
  <c r="BB49" i="8" s="1"/>
  <c r="AZ49" i="8"/>
  <c r="AY49" i="8"/>
  <c r="AW49" i="8"/>
  <c r="AX49" i="8" s="1"/>
  <c r="AU49" i="8"/>
  <c r="AV49" i="8" s="1"/>
  <c r="AS49" i="8"/>
  <c r="AT49" i="8" s="1"/>
  <c r="AQ49" i="8"/>
  <c r="AR49" i="8" s="1"/>
  <c r="AO49" i="8"/>
  <c r="AP49" i="8" s="1"/>
  <c r="AM49" i="8"/>
  <c r="AN49" i="8" s="1"/>
  <c r="AK49" i="8"/>
  <c r="AL49" i="8" s="1"/>
  <c r="AI49" i="8"/>
  <c r="AJ49" i="8" s="1"/>
  <c r="AG49" i="8"/>
  <c r="AH49" i="8" s="1"/>
  <c r="BC48" i="8"/>
  <c r="BD48" i="8" s="1"/>
  <c r="BA48" i="8"/>
  <c r="BB48" i="8" s="1"/>
  <c r="AY48" i="8"/>
  <c r="AZ48" i="8" s="1"/>
  <c r="AW48" i="8"/>
  <c r="AX48" i="8" s="1"/>
  <c r="AU48" i="8"/>
  <c r="AV48" i="8" s="1"/>
  <c r="AS48" i="8"/>
  <c r="AT48" i="8" s="1"/>
  <c r="AQ48" i="8"/>
  <c r="AR48" i="8" s="1"/>
  <c r="AO48" i="8"/>
  <c r="AP48" i="8" s="1"/>
  <c r="AM48" i="8"/>
  <c r="AN48" i="8" s="1"/>
  <c r="AK48" i="8"/>
  <c r="AL48" i="8" s="1"/>
  <c r="AI48" i="8"/>
  <c r="AJ48" i="8" s="1"/>
  <c r="AG48" i="8"/>
  <c r="AH48" i="8" s="1"/>
  <c r="BC47" i="8"/>
  <c r="BD47" i="8" s="1"/>
  <c r="BA47" i="8"/>
  <c r="BB47" i="8" s="1"/>
  <c r="AY47" i="8"/>
  <c r="AZ47" i="8" s="1"/>
  <c r="AW47" i="8"/>
  <c r="AX47" i="8" s="1"/>
  <c r="AU47" i="8"/>
  <c r="AV47" i="8" s="1"/>
  <c r="AS47" i="8"/>
  <c r="AT47" i="8" s="1"/>
  <c r="AQ47" i="8"/>
  <c r="AR47" i="8" s="1"/>
  <c r="AO47" i="8"/>
  <c r="AP47" i="8" s="1"/>
  <c r="AM47" i="8"/>
  <c r="AN47" i="8" s="1"/>
  <c r="AK47" i="8"/>
  <c r="AL47" i="8" s="1"/>
  <c r="AI47" i="8"/>
  <c r="AJ47" i="8" s="1"/>
  <c r="AG47" i="8"/>
  <c r="AH47" i="8" s="1"/>
  <c r="AY41" i="8"/>
  <c r="AZ41" i="8" s="1"/>
  <c r="AC41" i="8"/>
  <c r="AB41" i="8"/>
  <c r="AA41" i="8"/>
  <c r="Z41" i="8"/>
  <c r="Y41" i="8"/>
  <c r="AU41" i="8" s="1"/>
  <c r="AV41" i="8" s="1"/>
  <c r="X41" i="8"/>
  <c r="W41" i="8"/>
  <c r="V41" i="8"/>
  <c r="U41" i="8"/>
  <c r="T41" i="8"/>
  <c r="S41" i="8"/>
  <c r="AI41" i="8" s="1"/>
  <c r="AJ41" i="8" s="1"/>
  <c r="R41" i="8"/>
  <c r="N41" i="8"/>
  <c r="BC41" i="8" s="1"/>
  <c r="BD41" i="8" s="1"/>
  <c r="M41" i="8"/>
  <c r="BA41" i="8" s="1"/>
  <c r="BB41" i="8" s="1"/>
  <c r="L41" i="8"/>
  <c r="K41" i="8"/>
  <c r="AW41" i="8" s="1"/>
  <c r="AX41" i="8" s="1"/>
  <c r="J41" i="8"/>
  <c r="I41" i="8"/>
  <c r="H41" i="8"/>
  <c r="AQ41" i="8" s="1"/>
  <c r="AR41" i="8" s="1"/>
  <c r="G41" i="8"/>
  <c r="F41" i="8"/>
  <c r="E41" i="8"/>
  <c r="D41" i="8"/>
  <c r="C41" i="8"/>
  <c r="BC40" i="8"/>
  <c r="BD40" i="8" s="1"/>
  <c r="BA40" i="8"/>
  <c r="BB40" i="8" s="1"/>
  <c r="AY40" i="8"/>
  <c r="AZ40" i="8" s="1"/>
  <c r="AW40" i="8"/>
  <c r="AX40" i="8" s="1"/>
  <c r="AU40" i="8"/>
  <c r="AV40" i="8" s="1"/>
  <c r="AS40" i="8"/>
  <c r="AT40" i="8" s="1"/>
  <c r="AQ40" i="8"/>
  <c r="AR40" i="8" s="1"/>
  <c r="AO40" i="8"/>
  <c r="AP40" i="8" s="1"/>
  <c r="AM40" i="8"/>
  <c r="AN40" i="8" s="1"/>
  <c r="AK40" i="8"/>
  <c r="AL40" i="8" s="1"/>
  <c r="AI40" i="8"/>
  <c r="AJ40" i="8" s="1"/>
  <c r="AH40" i="8"/>
  <c r="AG40" i="8"/>
  <c r="BC39" i="8"/>
  <c r="BD39" i="8" s="1"/>
  <c r="BA39" i="8"/>
  <c r="BB39" i="8" s="1"/>
  <c r="AY39" i="8"/>
  <c r="AZ39" i="8" s="1"/>
  <c r="AW39" i="8"/>
  <c r="AX39" i="8" s="1"/>
  <c r="AU39" i="8"/>
  <c r="AV39" i="8" s="1"/>
  <c r="AS39" i="8"/>
  <c r="AT39" i="8" s="1"/>
  <c r="AQ39" i="8"/>
  <c r="AR39" i="8" s="1"/>
  <c r="AO39" i="8"/>
  <c r="AP39" i="8" s="1"/>
  <c r="AM39" i="8"/>
  <c r="AN39" i="8" s="1"/>
  <c r="AK39" i="8"/>
  <c r="AL39" i="8" s="1"/>
  <c r="AI39" i="8"/>
  <c r="AJ39" i="8" s="1"/>
  <c r="AH39" i="8"/>
  <c r="AG39" i="8"/>
  <c r="BC38" i="8"/>
  <c r="BD38" i="8" s="1"/>
  <c r="BA38" i="8"/>
  <c r="BB38" i="8" s="1"/>
  <c r="AY38" i="8"/>
  <c r="AZ38" i="8" s="1"/>
  <c r="AX38" i="8"/>
  <c r="AW38" i="8"/>
  <c r="AU38" i="8"/>
  <c r="AV38" i="8" s="1"/>
  <c r="AS38" i="8"/>
  <c r="AT38" i="8" s="1"/>
  <c r="AQ38" i="8"/>
  <c r="AR38" i="8" s="1"/>
  <c r="AO38" i="8"/>
  <c r="AP38" i="8" s="1"/>
  <c r="AM38" i="8"/>
  <c r="AN38" i="8" s="1"/>
  <c r="AK38" i="8"/>
  <c r="AL38" i="8" s="1"/>
  <c r="AI38" i="8"/>
  <c r="AJ38" i="8" s="1"/>
  <c r="AG38" i="8"/>
  <c r="AH38" i="8" s="1"/>
  <c r="BC37" i="8"/>
  <c r="BD37" i="8" s="1"/>
  <c r="BA37" i="8"/>
  <c r="BB37" i="8" s="1"/>
  <c r="AY37" i="8"/>
  <c r="AZ37" i="8" s="1"/>
  <c r="AX37" i="8"/>
  <c r="AW37" i="8"/>
  <c r="AU37" i="8"/>
  <c r="AV37" i="8" s="1"/>
  <c r="AS37" i="8"/>
  <c r="AT37" i="8" s="1"/>
  <c r="AQ37" i="8"/>
  <c r="AR37" i="8" s="1"/>
  <c r="AP37" i="8"/>
  <c r="AO37" i="8"/>
  <c r="AM37" i="8"/>
  <c r="AN37" i="8" s="1"/>
  <c r="AK37" i="8"/>
  <c r="AL37" i="8" s="1"/>
  <c r="AI37" i="8"/>
  <c r="AJ37" i="8" s="1"/>
  <c r="AH37" i="8"/>
  <c r="AG37" i="8"/>
  <c r="BC36" i="8"/>
  <c r="BD36" i="8" s="1"/>
  <c r="BA36" i="8"/>
  <c r="BB36" i="8" s="1"/>
  <c r="AY36" i="8"/>
  <c r="AZ36" i="8" s="1"/>
  <c r="AX36" i="8"/>
  <c r="AW36" i="8"/>
  <c r="AU36" i="8"/>
  <c r="AV36" i="8" s="1"/>
  <c r="AS36" i="8"/>
  <c r="AT36" i="8" s="1"/>
  <c r="AQ36" i="8"/>
  <c r="AR36" i="8" s="1"/>
  <c r="AP36" i="8"/>
  <c r="AO36" i="8"/>
  <c r="AM36" i="8"/>
  <c r="AN36" i="8" s="1"/>
  <c r="AK36" i="8"/>
  <c r="AL36" i="8" s="1"/>
  <c r="AI36" i="8"/>
  <c r="AJ36" i="8" s="1"/>
  <c r="AG36" i="8"/>
  <c r="AH36" i="8" s="1"/>
  <c r="BC35" i="8"/>
  <c r="BD35" i="8" s="1"/>
  <c r="BA35" i="8"/>
  <c r="BB35" i="8" s="1"/>
  <c r="AZ35" i="8"/>
  <c r="AY35" i="8"/>
  <c r="AX35" i="8"/>
  <c r="AW35" i="8"/>
  <c r="AU35" i="8"/>
  <c r="AV35" i="8" s="1"/>
  <c r="AS35" i="8"/>
  <c r="AT35" i="8" s="1"/>
  <c r="AQ35" i="8"/>
  <c r="AR35" i="8" s="1"/>
  <c r="AP35" i="8"/>
  <c r="AO35" i="8"/>
  <c r="AM35" i="8"/>
  <c r="AN35" i="8" s="1"/>
  <c r="AK35" i="8"/>
  <c r="AL35" i="8" s="1"/>
  <c r="AI35" i="8"/>
  <c r="AJ35" i="8" s="1"/>
  <c r="AG35" i="8"/>
  <c r="AH35" i="8" s="1"/>
  <c r="BC34" i="8"/>
  <c r="BD34" i="8" s="1"/>
  <c r="BA34" i="8"/>
  <c r="BB34" i="8" s="1"/>
  <c r="AY34" i="8"/>
  <c r="AZ34" i="8" s="1"/>
  <c r="AW34" i="8"/>
  <c r="AX34" i="8" s="1"/>
  <c r="AU34" i="8"/>
  <c r="AV34" i="8" s="1"/>
  <c r="AS34" i="8"/>
  <c r="AT34" i="8" s="1"/>
  <c r="AR34" i="8"/>
  <c r="AQ34" i="8"/>
  <c r="AP34" i="8"/>
  <c r="AO34" i="8"/>
  <c r="AM34" i="8"/>
  <c r="AN34" i="8" s="1"/>
  <c r="AK34" i="8"/>
  <c r="AL34" i="8" s="1"/>
  <c r="AI34" i="8"/>
  <c r="AJ34" i="8" s="1"/>
  <c r="AG34" i="8"/>
  <c r="AH34" i="8" s="1"/>
  <c r="BC33" i="8"/>
  <c r="BD33" i="8" s="1"/>
  <c r="BA33" i="8"/>
  <c r="BB33" i="8" s="1"/>
  <c r="AY33" i="8"/>
  <c r="AZ33" i="8" s="1"/>
  <c r="AX33" i="8"/>
  <c r="AW33" i="8"/>
  <c r="AU33" i="8"/>
  <c r="AV33" i="8" s="1"/>
  <c r="AS33" i="8"/>
  <c r="AT33" i="8" s="1"/>
  <c r="AQ33" i="8"/>
  <c r="AR33" i="8" s="1"/>
  <c r="AP33" i="8"/>
  <c r="AO33" i="8"/>
  <c r="AM33" i="8"/>
  <c r="AN33" i="8" s="1"/>
  <c r="AK33" i="8"/>
  <c r="AL33" i="8" s="1"/>
  <c r="AI33" i="8"/>
  <c r="AJ33" i="8" s="1"/>
  <c r="AG33" i="8"/>
  <c r="AH33" i="8" s="1"/>
  <c r="BC32" i="8"/>
  <c r="BD32" i="8" s="1"/>
  <c r="BA32" i="8"/>
  <c r="BB32" i="8" s="1"/>
  <c r="AY32" i="8"/>
  <c r="AZ32" i="8" s="1"/>
  <c r="AX32" i="8"/>
  <c r="AW32" i="8"/>
  <c r="AU32" i="8"/>
  <c r="AV32" i="8" s="1"/>
  <c r="AS32" i="8"/>
  <c r="AT32" i="8" s="1"/>
  <c r="AQ32" i="8"/>
  <c r="AR32" i="8" s="1"/>
  <c r="AO32" i="8"/>
  <c r="AP32" i="8" s="1"/>
  <c r="AM32" i="8"/>
  <c r="AN32" i="8" s="1"/>
  <c r="AK32" i="8"/>
  <c r="AL32" i="8" s="1"/>
  <c r="AI32" i="8"/>
  <c r="AJ32" i="8" s="1"/>
  <c r="AG32" i="8"/>
  <c r="AH32" i="8" s="1"/>
  <c r="BC31" i="8"/>
  <c r="BD31" i="8" s="1"/>
  <c r="BA31" i="8"/>
  <c r="BB31" i="8" s="1"/>
  <c r="AY31" i="8"/>
  <c r="AZ31" i="8" s="1"/>
  <c r="AW31" i="8"/>
  <c r="AX31" i="8" s="1"/>
  <c r="AU31" i="8"/>
  <c r="AV31" i="8" s="1"/>
  <c r="AS31" i="8"/>
  <c r="AT31" i="8" s="1"/>
  <c r="AQ31" i="8"/>
  <c r="AR31" i="8" s="1"/>
  <c r="AP31" i="8"/>
  <c r="AO31" i="8"/>
  <c r="AM31" i="8"/>
  <c r="AN31" i="8" s="1"/>
  <c r="AK31" i="8"/>
  <c r="AL31" i="8" s="1"/>
  <c r="AI31" i="8"/>
  <c r="AJ31" i="8" s="1"/>
  <c r="AG31" i="8"/>
  <c r="AH31" i="8" s="1"/>
  <c r="BC30" i="8"/>
  <c r="BD30" i="8" s="1"/>
  <c r="BA30" i="8"/>
  <c r="BB30" i="8" s="1"/>
  <c r="AY30" i="8"/>
  <c r="AZ30" i="8" s="1"/>
  <c r="AW30" i="8"/>
  <c r="AX30" i="8" s="1"/>
  <c r="AU30" i="8"/>
  <c r="AV30" i="8" s="1"/>
  <c r="AS30" i="8"/>
  <c r="AT30" i="8" s="1"/>
  <c r="AQ30" i="8"/>
  <c r="AR30" i="8" s="1"/>
  <c r="AO30" i="8"/>
  <c r="AP30" i="8" s="1"/>
  <c r="AM30" i="8"/>
  <c r="AN30" i="8" s="1"/>
  <c r="AK30" i="8"/>
  <c r="AL30" i="8" s="1"/>
  <c r="AI30" i="8"/>
  <c r="AJ30" i="8" s="1"/>
  <c r="AG30" i="8"/>
  <c r="AH30" i="8" s="1"/>
  <c r="BC29" i="8"/>
  <c r="BD29" i="8" s="1"/>
  <c r="BA29" i="8"/>
  <c r="BB29" i="8" s="1"/>
  <c r="AY29" i="8"/>
  <c r="AZ29" i="8" s="1"/>
  <c r="AX29" i="8"/>
  <c r="AW29" i="8"/>
  <c r="AU29" i="8"/>
  <c r="AV29" i="8" s="1"/>
  <c r="AS29" i="8"/>
  <c r="AT29" i="8" s="1"/>
  <c r="AQ29" i="8"/>
  <c r="AR29" i="8" s="1"/>
  <c r="AO29" i="8"/>
  <c r="AP29" i="8" s="1"/>
  <c r="AM29" i="8"/>
  <c r="AN29" i="8" s="1"/>
  <c r="AK29" i="8"/>
  <c r="AL29" i="8" s="1"/>
  <c r="AI29" i="8"/>
  <c r="AJ29" i="8" s="1"/>
  <c r="AG29" i="8"/>
  <c r="AH29" i="8" s="1"/>
  <c r="BC28" i="8"/>
  <c r="BD28" i="8" s="1"/>
  <c r="BA28" i="8"/>
  <c r="BB28" i="8" s="1"/>
  <c r="AY28" i="8"/>
  <c r="AZ28" i="8" s="1"/>
  <c r="AW28" i="8"/>
  <c r="AX28" i="8" s="1"/>
  <c r="AU28" i="8"/>
  <c r="AV28" i="8" s="1"/>
  <c r="AS28" i="8"/>
  <c r="AT28" i="8" s="1"/>
  <c r="AQ28" i="8"/>
  <c r="AR28" i="8" s="1"/>
  <c r="AP28" i="8"/>
  <c r="AO28" i="8"/>
  <c r="AM28" i="8"/>
  <c r="AN28" i="8" s="1"/>
  <c r="AK28" i="8"/>
  <c r="AL28" i="8" s="1"/>
  <c r="AI28" i="8"/>
  <c r="AJ28" i="8" s="1"/>
  <c r="AG28" i="8"/>
  <c r="AH28" i="8" s="1"/>
  <c r="BC27" i="8"/>
  <c r="BD27" i="8" s="1"/>
  <c r="BA27" i="8"/>
  <c r="BB27" i="8" s="1"/>
  <c r="AY27" i="8"/>
  <c r="AZ27" i="8" s="1"/>
  <c r="AW27" i="8"/>
  <c r="AX27" i="8" s="1"/>
  <c r="AU27" i="8"/>
  <c r="AV27" i="8" s="1"/>
  <c r="AS27" i="8"/>
  <c r="AT27" i="8" s="1"/>
  <c r="AQ27" i="8"/>
  <c r="AR27" i="8" s="1"/>
  <c r="AO27" i="8"/>
  <c r="AP27" i="8" s="1"/>
  <c r="AM27" i="8"/>
  <c r="AN27" i="8" s="1"/>
  <c r="AK27" i="8"/>
  <c r="AL27" i="8" s="1"/>
  <c r="AI27" i="8"/>
  <c r="AJ27" i="8" s="1"/>
  <c r="AG27" i="8"/>
  <c r="AH27" i="8" s="1"/>
  <c r="AQ21" i="8"/>
  <c r="AR21" i="8" s="1"/>
  <c r="AC21" i="8"/>
  <c r="AB21" i="8"/>
  <c r="AA21" i="8"/>
  <c r="Z21" i="8"/>
  <c r="Y21" i="8"/>
  <c r="X21" i="8"/>
  <c r="W21" i="8"/>
  <c r="V21" i="8"/>
  <c r="S21" i="8"/>
  <c r="R21" i="8"/>
  <c r="N21" i="8"/>
  <c r="BC21" i="8" s="1"/>
  <c r="BD21" i="8" s="1"/>
  <c r="M21" i="8"/>
  <c r="L21" i="8"/>
  <c r="K21" i="8"/>
  <c r="J21" i="8"/>
  <c r="AU21" i="8" s="1"/>
  <c r="AV21" i="8" s="1"/>
  <c r="I21" i="8"/>
  <c r="AS21" i="8" s="1"/>
  <c r="AT21" i="8" s="1"/>
  <c r="H21" i="8"/>
  <c r="G21" i="8"/>
  <c r="AO21" i="8" s="1"/>
  <c r="AP21" i="8" s="1"/>
  <c r="D21" i="8"/>
  <c r="C21" i="8"/>
  <c r="BC20" i="8"/>
  <c r="BD20" i="8" s="1"/>
  <c r="BA20" i="8"/>
  <c r="BB20" i="8" s="1"/>
  <c r="AY20" i="8"/>
  <c r="AZ20" i="8" s="1"/>
  <c r="AW20" i="8"/>
  <c r="AX20" i="8" s="1"/>
  <c r="AU20" i="8"/>
  <c r="AV20" i="8" s="1"/>
  <c r="AS20" i="8"/>
  <c r="AT20" i="8" s="1"/>
  <c r="AQ20" i="8"/>
  <c r="AR20" i="8" s="1"/>
  <c r="AO20" i="8"/>
  <c r="AP20" i="8" s="1"/>
  <c r="AI20" i="8"/>
  <c r="AJ20" i="8" s="1"/>
  <c r="AG20" i="8"/>
  <c r="AH20" i="8" s="1"/>
  <c r="BD19" i="8"/>
  <c r="BC19" i="8"/>
  <c r="BB19" i="8"/>
  <c r="BA19" i="8"/>
  <c r="AY19" i="8"/>
  <c r="AZ19" i="8" s="1"/>
  <c r="AW19" i="8"/>
  <c r="AX19" i="8" s="1"/>
  <c r="AU19" i="8"/>
  <c r="AV19" i="8" s="1"/>
  <c r="AS19" i="8"/>
  <c r="AT19" i="8" s="1"/>
  <c r="AQ19" i="8"/>
  <c r="AR19" i="8" s="1"/>
  <c r="AO19" i="8"/>
  <c r="AP19" i="8" s="1"/>
  <c r="AI19" i="8"/>
  <c r="AJ19" i="8" s="1"/>
  <c r="AG19" i="8"/>
  <c r="AH19" i="8" s="1"/>
  <c r="BC18" i="8"/>
  <c r="BD18" i="8" s="1"/>
  <c r="BB18" i="8"/>
  <c r="BA18" i="8"/>
  <c r="AY18" i="8"/>
  <c r="AZ18" i="8" s="1"/>
  <c r="AX18" i="8"/>
  <c r="AW18" i="8"/>
  <c r="AU18" i="8"/>
  <c r="AV18" i="8" s="1"/>
  <c r="AT18" i="8"/>
  <c r="AS18" i="8"/>
  <c r="AQ18" i="8"/>
  <c r="AR18" i="8" s="1"/>
  <c r="AO18" i="8"/>
  <c r="AP18" i="8" s="1"/>
  <c r="AI18" i="8"/>
  <c r="AJ18" i="8" s="1"/>
  <c r="AG18" i="8"/>
  <c r="AH18" i="8" s="1"/>
  <c r="AM18" i="8"/>
  <c r="AN18" i="8" s="1"/>
  <c r="AK18" i="8"/>
  <c r="AL18" i="8" s="1"/>
  <c r="BC17" i="8"/>
  <c r="BD17" i="8" s="1"/>
  <c r="BB17" i="8"/>
  <c r="BA17" i="8"/>
  <c r="AY17" i="8"/>
  <c r="AZ17" i="8" s="1"/>
  <c r="AX17" i="8"/>
  <c r="AW17" i="8"/>
  <c r="AU17" i="8"/>
  <c r="AV17" i="8" s="1"/>
  <c r="AT17" i="8"/>
  <c r="AS17" i="8"/>
  <c r="AQ17" i="8"/>
  <c r="AR17" i="8" s="1"/>
  <c r="AO17" i="8"/>
  <c r="AP17" i="8" s="1"/>
  <c r="AI17" i="8"/>
  <c r="AJ17" i="8" s="1"/>
  <c r="AG17" i="8"/>
  <c r="AH17" i="8" s="1"/>
  <c r="T21" i="8"/>
  <c r="AY10" i="8"/>
  <c r="AZ10" i="8" s="1"/>
  <c r="AC10" i="8"/>
  <c r="AB10" i="8"/>
  <c r="AA10" i="8"/>
  <c r="Z10" i="8"/>
  <c r="Y10" i="8"/>
  <c r="X10" i="8"/>
  <c r="W10" i="8"/>
  <c r="AQ10" i="8" s="1"/>
  <c r="AR10" i="8" s="1"/>
  <c r="V10" i="8"/>
  <c r="U10" i="8"/>
  <c r="T10" i="8"/>
  <c r="S10" i="8"/>
  <c r="R10" i="8"/>
  <c r="N10" i="8"/>
  <c r="BC10" i="8" s="1"/>
  <c r="BD10" i="8" s="1"/>
  <c r="M10" i="8"/>
  <c r="L10" i="8"/>
  <c r="K10" i="8"/>
  <c r="AW10" i="8" s="1"/>
  <c r="AX10" i="8" s="1"/>
  <c r="J10" i="8"/>
  <c r="AU10" i="8" s="1"/>
  <c r="AV10" i="8" s="1"/>
  <c r="I10" i="8"/>
  <c r="H10" i="8"/>
  <c r="G10" i="8"/>
  <c r="F10" i="8"/>
  <c r="E10" i="8"/>
  <c r="D10" i="8"/>
  <c r="C10" i="8"/>
  <c r="BC9" i="8"/>
  <c r="BD9" i="8" s="1"/>
  <c r="BA9" i="8"/>
  <c r="BB9" i="8" s="1"/>
  <c r="AY9" i="8"/>
  <c r="AZ9" i="8" s="1"/>
  <c r="AW9" i="8"/>
  <c r="AX9" i="8" s="1"/>
  <c r="AU9" i="8"/>
  <c r="AV9" i="8" s="1"/>
  <c r="AS9" i="8"/>
  <c r="AT9" i="8" s="1"/>
  <c r="AQ9" i="8"/>
  <c r="AR9" i="8" s="1"/>
  <c r="AO9" i="8"/>
  <c r="AP9" i="8" s="1"/>
  <c r="AM9" i="8"/>
  <c r="AN9" i="8" s="1"/>
  <c r="AK9" i="8"/>
  <c r="AL9" i="8" s="1"/>
  <c r="AI9" i="8"/>
  <c r="AJ9" i="8" s="1"/>
  <c r="AG9" i="8"/>
  <c r="AH9" i="8" s="1"/>
  <c r="BC8" i="8"/>
  <c r="BD8" i="8" s="1"/>
  <c r="BA8" i="8"/>
  <c r="BB8" i="8" s="1"/>
  <c r="AY8" i="8"/>
  <c r="AZ8" i="8" s="1"/>
  <c r="AW8" i="8"/>
  <c r="AX8" i="8" s="1"/>
  <c r="AV8" i="8"/>
  <c r="AU8" i="8"/>
  <c r="AS8" i="8"/>
  <c r="AT8" i="8" s="1"/>
  <c r="AQ8" i="8"/>
  <c r="AR8" i="8" s="1"/>
  <c r="AO8" i="8"/>
  <c r="AP8" i="8" s="1"/>
  <c r="AN8" i="8"/>
  <c r="AM8" i="8"/>
  <c r="AK8" i="8"/>
  <c r="AL8" i="8" s="1"/>
  <c r="AI8" i="8"/>
  <c r="AJ8" i="8" s="1"/>
  <c r="AG8" i="8"/>
  <c r="AH8" i="8" s="1"/>
  <c r="BD7" i="8"/>
  <c r="BC7" i="8"/>
  <c r="BA7" i="8"/>
  <c r="BB7" i="8" s="1"/>
  <c r="AY7" i="8"/>
  <c r="AZ7" i="8" s="1"/>
  <c r="AW7" i="8"/>
  <c r="AX7" i="8" s="1"/>
  <c r="AV7" i="8"/>
  <c r="AU7" i="8"/>
  <c r="AS7" i="8"/>
  <c r="AT7" i="8" s="1"/>
  <c r="AQ7" i="8"/>
  <c r="AR7" i="8" s="1"/>
  <c r="AO7" i="8"/>
  <c r="AP7" i="8" s="1"/>
  <c r="AN7" i="8"/>
  <c r="AM7" i="8"/>
  <c r="AK7" i="8"/>
  <c r="AL7" i="8" s="1"/>
  <c r="AI7" i="8"/>
  <c r="AJ7" i="8" s="1"/>
  <c r="AG7" i="8"/>
  <c r="AH7" i="8" s="1"/>
  <c r="BC6" i="8"/>
  <c r="BD6" i="8" s="1"/>
  <c r="BA6" i="8"/>
  <c r="BB6" i="8" s="1"/>
  <c r="AY6" i="8"/>
  <c r="AZ6" i="8" s="1"/>
  <c r="AW6" i="8"/>
  <c r="AX6" i="8" s="1"/>
  <c r="AU6" i="8"/>
  <c r="AV6" i="8" s="1"/>
  <c r="AS6" i="8"/>
  <c r="AT6" i="8" s="1"/>
  <c r="AQ6" i="8"/>
  <c r="AR6" i="8" s="1"/>
  <c r="AO6" i="8"/>
  <c r="AP6" i="8" s="1"/>
  <c r="AM6" i="8"/>
  <c r="AN6" i="8" s="1"/>
  <c r="AK6" i="8"/>
  <c r="AL6" i="8" s="1"/>
  <c r="AI6" i="8"/>
  <c r="AJ6" i="8" s="1"/>
  <c r="AG6" i="8"/>
  <c r="AH6" i="8" s="1"/>
  <c r="BC5" i="8"/>
  <c r="BD5" i="8" s="1"/>
  <c r="BA5" i="8"/>
  <c r="BB5" i="8" s="1"/>
  <c r="AY5" i="8"/>
  <c r="AZ5" i="8" s="1"/>
  <c r="AW5" i="8"/>
  <c r="AX5" i="8" s="1"/>
  <c r="AU5" i="8"/>
  <c r="AV5" i="8" s="1"/>
  <c r="AS5" i="8"/>
  <c r="AT5" i="8" s="1"/>
  <c r="AQ5" i="8"/>
  <c r="AR5" i="8" s="1"/>
  <c r="AO5" i="8"/>
  <c r="AP5" i="8" s="1"/>
  <c r="AN5" i="8"/>
  <c r="AM5" i="8"/>
  <c r="AK5" i="8"/>
  <c r="AL5" i="8" s="1"/>
  <c r="AI5" i="8"/>
  <c r="AJ5" i="8" s="1"/>
  <c r="AG5" i="8"/>
  <c r="AH5" i="8" s="1"/>
  <c r="AC61" i="7"/>
  <c r="AB61" i="7"/>
  <c r="AA61" i="7"/>
  <c r="Z61" i="7"/>
  <c r="Y61" i="7"/>
  <c r="X61" i="7"/>
  <c r="W61" i="7"/>
  <c r="V61" i="7"/>
  <c r="U61" i="7"/>
  <c r="T61" i="7"/>
  <c r="S61" i="7"/>
  <c r="R61" i="7"/>
  <c r="N61" i="7"/>
  <c r="BC61" i="7" s="1"/>
  <c r="BD61" i="7" s="1"/>
  <c r="M61" i="7"/>
  <c r="L61" i="7"/>
  <c r="AY61" i="7" s="1"/>
  <c r="AZ61" i="7" s="1"/>
  <c r="K61" i="7"/>
  <c r="J61" i="7"/>
  <c r="I61" i="7"/>
  <c r="AS61" i="7" s="1"/>
  <c r="AT61" i="7" s="1"/>
  <c r="H61" i="7"/>
  <c r="AQ61" i="7" s="1"/>
  <c r="AR61" i="7" s="1"/>
  <c r="G61" i="7"/>
  <c r="F61" i="7"/>
  <c r="AM61" i="7" s="1"/>
  <c r="AN61" i="7" s="1"/>
  <c r="E61" i="7"/>
  <c r="D61" i="7"/>
  <c r="C61" i="7"/>
  <c r="BC60" i="7"/>
  <c r="BD60" i="7" s="1"/>
  <c r="BA60" i="7"/>
  <c r="BB60" i="7" s="1"/>
  <c r="AY60" i="7"/>
  <c r="AZ60" i="7" s="1"/>
  <c r="AX60" i="7"/>
  <c r="AW60" i="7"/>
  <c r="AU60" i="7"/>
  <c r="AV60" i="7" s="1"/>
  <c r="AS60" i="7"/>
  <c r="AT60" i="7" s="1"/>
  <c r="AQ60" i="7"/>
  <c r="AR60" i="7" s="1"/>
  <c r="AO60" i="7"/>
  <c r="AP60" i="7" s="1"/>
  <c r="AM60" i="7"/>
  <c r="AN60" i="7" s="1"/>
  <c r="AK60" i="7"/>
  <c r="AL60" i="7" s="1"/>
  <c r="AI60" i="7"/>
  <c r="AJ60" i="7" s="1"/>
  <c r="AG60" i="7"/>
  <c r="AH60" i="7" s="1"/>
  <c r="BC59" i="7"/>
  <c r="BD59" i="7" s="1"/>
  <c r="BA59" i="7"/>
  <c r="BB59" i="7" s="1"/>
  <c r="AY59" i="7"/>
  <c r="AZ59" i="7" s="1"/>
  <c r="AW59" i="7"/>
  <c r="AX59" i="7" s="1"/>
  <c r="AU59" i="7"/>
  <c r="AV59" i="7" s="1"/>
  <c r="AS59" i="7"/>
  <c r="AT59" i="7" s="1"/>
  <c r="AQ59" i="7"/>
  <c r="AR59" i="7" s="1"/>
  <c r="AP59" i="7"/>
  <c r="AO59" i="7"/>
  <c r="AM59" i="7"/>
  <c r="AN59" i="7" s="1"/>
  <c r="AK59" i="7"/>
  <c r="AL59" i="7" s="1"/>
  <c r="AI59" i="7"/>
  <c r="AJ59" i="7" s="1"/>
  <c r="AG59" i="7"/>
  <c r="AH59" i="7" s="1"/>
  <c r="BC58" i="7"/>
  <c r="BD58" i="7" s="1"/>
  <c r="BA58" i="7"/>
  <c r="BB58" i="7" s="1"/>
  <c r="AY58" i="7"/>
  <c r="AZ58" i="7" s="1"/>
  <c r="AX58" i="7"/>
  <c r="AW58" i="7"/>
  <c r="AU58" i="7"/>
  <c r="AV58" i="7" s="1"/>
  <c r="AS58" i="7"/>
  <c r="AT58" i="7" s="1"/>
  <c r="AQ58" i="7"/>
  <c r="AR58" i="7" s="1"/>
  <c r="AO58" i="7"/>
  <c r="AP58" i="7" s="1"/>
  <c r="AM58" i="7"/>
  <c r="AN58" i="7" s="1"/>
  <c r="AK58" i="7"/>
  <c r="AL58" i="7" s="1"/>
  <c r="AI58" i="7"/>
  <c r="AJ58" i="7" s="1"/>
  <c r="AG58" i="7"/>
  <c r="AH58" i="7" s="1"/>
  <c r="BC57" i="7"/>
  <c r="BD57" i="7" s="1"/>
  <c r="BA57" i="7"/>
  <c r="BB57" i="7" s="1"/>
  <c r="AY57" i="7"/>
  <c r="AZ57" i="7" s="1"/>
  <c r="AW57" i="7"/>
  <c r="AX57" i="7" s="1"/>
  <c r="AU57" i="7"/>
  <c r="AV57" i="7" s="1"/>
  <c r="AS57" i="7"/>
  <c r="AT57" i="7" s="1"/>
  <c r="AQ57" i="7"/>
  <c r="AR57" i="7" s="1"/>
  <c r="AO57" i="7"/>
  <c r="AP57" i="7" s="1"/>
  <c r="AM57" i="7"/>
  <c r="AN57" i="7" s="1"/>
  <c r="AK57" i="7"/>
  <c r="AL57" i="7" s="1"/>
  <c r="AI57" i="7"/>
  <c r="AJ57" i="7" s="1"/>
  <c r="AG57" i="7"/>
  <c r="AH57" i="7" s="1"/>
  <c r="BC56" i="7"/>
  <c r="BD56" i="7" s="1"/>
  <c r="BA56" i="7"/>
  <c r="BB56" i="7" s="1"/>
  <c r="AY56" i="7"/>
  <c r="AZ56" i="7" s="1"/>
  <c r="AW56" i="7"/>
  <c r="AX56" i="7" s="1"/>
  <c r="AU56" i="7"/>
  <c r="AV56" i="7" s="1"/>
  <c r="AS56" i="7"/>
  <c r="AT56" i="7" s="1"/>
  <c r="AR56" i="7"/>
  <c r="AQ56" i="7"/>
  <c r="AO56" i="7"/>
  <c r="AP56" i="7" s="1"/>
  <c r="AM56" i="7"/>
  <c r="AN56" i="7" s="1"/>
  <c r="AK56" i="7"/>
  <c r="AL56" i="7" s="1"/>
  <c r="AI56" i="7"/>
  <c r="AJ56" i="7" s="1"/>
  <c r="AG56" i="7"/>
  <c r="AH56" i="7" s="1"/>
  <c r="BC55" i="7"/>
  <c r="BD55" i="7" s="1"/>
  <c r="BA55" i="7"/>
  <c r="BB55" i="7" s="1"/>
  <c r="AY55" i="7"/>
  <c r="AZ55" i="7" s="1"/>
  <c r="AW55" i="7"/>
  <c r="AX55" i="7" s="1"/>
  <c r="AU55" i="7"/>
  <c r="AV55" i="7" s="1"/>
  <c r="AS55" i="7"/>
  <c r="AT55" i="7" s="1"/>
  <c r="AQ55" i="7"/>
  <c r="AR55" i="7" s="1"/>
  <c r="AO55" i="7"/>
  <c r="AP55" i="7" s="1"/>
  <c r="AM55" i="7"/>
  <c r="AN55" i="7" s="1"/>
  <c r="AK55" i="7"/>
  <c r="AL55" i="7" s="1"/>
  <c r="AI55" i="7"/>
  <c r="AJ55" i="7" s="1"/>
  <c r="AG55" i="7"/>
  <c r="AH55" i="7" s="1"/>
  <c r="BC54" i="7"/>
  <c r="BD54" i="7" s="1"/>
  <c r="BA54" i="7"/>
  <c r="BB54" i="7" s="1"/>
  <c r="AY54" i="7"/>
  <c r="AZ54" i="7" s="1"/>
  <c r="AW54" i="7"/>
  <c r="AX54" i="7" s="1"/>
  <c r="AU54" i="7"/>
  <c r="AV54" i="7" s="1"/>
  <c r="AS54" i="7"/>
  <c r="AT54" i="7" s="1"/>
  <c r="AQ54" i="7"/>
  <c r="AR54" i="7" s="1"/>
  <c r="AO54" i="7"/>
  <c r="AP54" i="7" s="1"/>
  <c r="AM54" i="7"/>
  <c r="AN54" i="7" s="1"/>
  <c r="AK54" i="7"/>
  <c r="AL54" i="7" s="1"/>
  <c r="AI54" i="7"/>
  <c r="AJ54" i="7" s="1"/>
  <c r="AG54" i="7"/>
  <c r="AH54" i="7" s="1"/>
  <c r="BC53" i="7"/>
  <c r="BD53" i="7" s="1"/>
  <c r="BA53" i="7"/>
  <c r="BB53" i="7" s="1"/>
  <c r="AY53" i="7"/>
  <c r="AZ53" i="7" s="1"/>
  <c r="AW53" i="7"/>
  <c r="AX53" i="7" s="1"/>
  <c r="AU53" i="7"/>
  <c r="AV53" i="7" s="1"/>
  <c r="AS53" i="7"/>
  <c r="AT53" i="7" s="1"/>
  <c r="AQ53" i="7"/>
  <c r="AR53" i="7" s="1"/>
  <c r="AO53" i="7"/>
  <c r="AP53" i="7" s="1"/>
  <c r="AM53" i="7"/>
  <c r="AN53" i="7" s="1"/>
  <c r="AK53" i="7"/>
  <c r="AL53" i="7" s="1"/>
  <c r="AI53" i="7"/>
  <c r="AJ53" i="7" s="1"/>
  <c r="AG53" i="7"/>
  <c r="AH53" i="7" s="1"/>
  <c r="BD52" i="7"/>
  <c r="BC52" i="7"/>
  <c r="BA52" i="7"/>
  <c r="BB52" i="7" s="1"/>
  <c r="AY52" i="7"/>
  <c r="AZ52" i="7" s="1"/>
  <c r="AW52" i="7"/>
  <c r="AX52" i="7" s="1"/>
  <c r="AU52" i="7"/>
  <c r="AV52" i="7" s="1"/>
  <c r="AS52" i="7"/>
  <c r="AT52" i="7" s="1"/>
  <c r="AR52" i="7"/>
  <c r="AQ52" i="7"/>
  <c r="AO52" i="7"/>
  <c r="AP52" i="7" s="1"/>
  <c r="AN52" i="7"/>
  <c r="AM52" i="7"/>
  <c r="AK52" i="7"/>
  <c r="AL52" i="7" s="1"/>
  <c r="AI52" i="7"/>
  <c r="AJ52" i="7" s="1"/>
  <c r="AG52" i="7"/>
  <c r="AH52" i="7" s="1"/>
  <c r="BD51" i="7"/>
  <c r="BC51" i="7"/>
  <c r="BA51" i="7"/>
  <c r="BB51" i="7" s="1"/>
  <c r="AY51" i="7"/>
  <c r="AZ51" i="7" s="1"/>
  <c r="AW51" i="7"/>
  <c r="AX51" i="7" s="1"/>
  <c r="AU51" i="7"/>
  <c r="AV51" i="7" s="1"/>
  <c r="AS51" i="7"/>
  <c r="AT51" i="7" s="1"/>
  <c r="AQ51" i="7"/>
  <c r="AR51" i="7" s="1"/>
  <c r="AO51" i="7"/>
  <c r="AP51" i="7" s="1"/>
  <c r="AN51" i="7"/>
  <c r="AM51" i="7"/>
  <c r="AK51" i="7"/>
  <c r="AL51" i="7" s="1"/>
  <c r="AI51" i="7"/>
  <c r="AJ51" i="7" s="1"/>
  <c r="AG51" i="7"/>
  <c r="AH51" i="7" s="1"/>
  <c r="BD50" i="7"/>
  <c r="BC50" i="7"/>
  <c r="BA50" i="7"/>
  <c r="BB50" i="7" s="1"/>
  <c r="AY50" i="7"/>
  <c r="AZ50" i="7" s="1"/>
  <c r="AX50" i="7"/>
  <c r="AW50" i="7"/>
  <c r="AU50" i="7"/>
  <c r="AV50" i="7" s="1"/>
  <c r="AS50" i="7"/>
  <c r="AT50" i="7" s="1"/>
  <c r="AQ50" i="7"/>
  <c r="AR50" i="7" s="1"/>
  <c r="AO50" i="7"/>
  <c r="AP50" i="7" s="1"/>
  <c r="AN50" i="7"/>
  <c r="AM50" i="7"/>
  <c r="AK50" i="7"/>
  <c r="AL50" i="7" s="1"/>
  <c r="AI50" i="7"/>
  <c r="AJ50" i="7" s="1"/>
  <c r="AG50" i="7"/>
  <c r="AH50" i="7" s="1"/>
  <c r="BC49" i="7"/>
  <c r="BD49" i="7" s="1"/>
  <c r="BA49" i="7"/>
  <c r="BB49" i="7" s="1"/>
  <c r="AY49" i="7"/>
  <c r="AZ49" i="7" s="1"/>
  <c r="AW49" i="7"/>
  <c r="AX49" i="7" s="1"/>
  <c r="AU49" i="7"/>
  <c r="AV49" i="7" s="1"/>
  <c r="AS49" i="7"/>
  <c r="AT49" i="7" s="1"/>
  <c r="AQ49" i="7"/>
  <c r="AR49" i="7" s="1"/>
  <c r="AP49" i="7"/>
  <c r="AO49" i="7"/>
  <c r="AM49" i="7"/>
  <c r="AN49" i="7" s="1"/>
  <c r="AK49" i="7"/>
  <c r="AL49" i="7" s="1"/>
  <c r="AI49" i="7"/>
  <c r="AJ49" i="7" s="1"/>
  <c r="AG49" i="7"/>
  <c r="AH49" i="7" s="1"/>
  <c r="BC48" i="7"/>
  <c r="BD48" i="7" s="1"/>
  <c r="BA48" i="7"/>
  <c r="BB48" i="7" s="1"/>
  <c r="AZ48" i="7"/>
  <c r="AY48" i="7"/>
  <c r="AW48" i="7"/>
  <c r="AX48" i="7" s="1"/>
  <c r="AU48" i="7"/>
  <c r="AV48" i="7" s="1"/>
  <c r="AS48" i="7"/>
  <c r="AT48" i="7" s="1"/>
  <c r="AQ48" i="7"/>
  <c r="AR48" i="7" s="1"/>
  <c r="AO48" i="7"/>
  <c r="AP48" i="7" s="1"/>
  <c r="AM48" i="7"/>
  <c r="AN48" i="7" s="1"/>
  <c r="AK48" i="7"/>
  <c r="AL48" i="7" s="1"/>
  <c r="AI48" i="7"/>
  <c r="AJ48" i="7" s="1"/>
  <c r="AG48" i="7"/>
  <c r="AH48" i="7" s="1"/>
  <c r="BC47" i="7"/>
  <c r="BD47" i="7" s="1"/>
  <c r="BA47" i="7"/>
  <c r="BB47" i="7" s="1"/>
  <c r="AY47" i="7"/>
  <c r="AZ47" i="7" s="1"/>
  <c r="AW47" i="7"/>
  <c r="AX47" i="7" s="1"/>
  <c r="AU47" i="7"/>
  <c r="AV47" i="7" s="1"/>
  <c r="AS47" i="7"/>
  <c r="AT47" i="7" s="1"/>
  <c r="AR47" i="7"/>
  <c r="AQ47" i="7"/>
  <c r="AO47" i="7"/>
  <c r="AP47" i="7" s="1"/>
  <c r="AM47" i="7"/>
  <c r="AN47" i="7" s="1"/>
  <c r="AK47" i="7"/>
  <c r="AL47" i="7" s="1"/>
  <c r="AI47" i="7"/>
  <c r="AJ47" i="7" s="1"/>
  <c r="AG47" i="7"/>
  <c r="AH47" i="7" s="1"/>
  <c r="AC41" i="7"/>
  <c r="AB41" i="7"/>
  <c r="AA41" i="7"/>
  <c r="Z41" i="7"/>
  <c r="Y41" i="7"/>
  <c r="X41" i="7"/>
  <c r="AS41" i="7" s="1"/>
  <c r="AT41" i="7" s="1"/>
  <c r="W41" i="7"/>
  <c r="AQ41" i="7" s="1"/>
  <c r="AR41" i="7" s="1"/>
  <c r="V41" i="7"/>
  <c r="U41" i="7"/>
  <c r="T41" i="7"/>
  <c r="S41" i="7"/>
  <c r="R41" i="7"/>
  <c r="N41" i="7"/>
  <c r="BC41" i="7" s="1"/>
  <c r="BD41" i="7" s="1"/>
  <c r="M41" i="7"/>
  <c r="BA41" i="7" s="1"/>
  <c r="BB41" i="7" s="1"/>
  <c r="L41" i="7"/>
  <c r="AY41" i="7" s="1"/>
  <c r="AZ41" i="7" s="1"/>
  <c r="K41" i="7"/>
  <c r="AW41" i="7" s="1"/>
  <c r="AX41" i="7" s="1"/>
  <c r="J41" i="7"/>
  <c r="I41" i="7"/>
  <c r="H41" i="7"/>
  <c r="G41" i="7"/>
  <c r="AO41" i="7" s="1"/>
  <c r="AP41" i="7" s="1"/>
  <c r="F41" i="7"/>
  <c r="E41" i="7"/>
  <c r="D41" i="7"/>
  <c r="C41" i="7"/>
  <c r="BD40" i="7"/>
  <c r="BC40" i="7"/>
  <c r="BA40" i="7"/>
  <c r="BB40" i="7" s="1"/>
  <c r="AY40" i="7"/>
  <c r="AZ40" i="7" s="1"/>
  <c r="AW40" i="7"/>
  <c r="AX40" i="7" s="1"/>
  <c r="AV40" i="7"/>
  <c r="AU40" i="7"/>
  <c r="AS40" i="7"/>
  <c r="AT40" i="7" s="1"/>
  <c r="AR40" i="7"/>
  <c r="AQ40" i="7"/>
  <c r="AO40" i="7"/>
  <c r="AP40" i="7" s="1"/>
  <c r="AM40" i="7"/>
  <c r="AN40" i="7" s="1"/>
  <c r="AK40" i="7"/>
  <c r="AL40" i="7" s="1"/>
  <c r="AI40" i="7"/>
  <c r="AJ40" i="7" s="1"/>
  <c r="AG40" i="7"/>
  <c r="AH40" i="7" s="1"/>
  <c r="BD39" i="7"/>
  <c r="BC39" i="7"/>
  <c r="BA39" i="7"/>
  <c r="BB39" i="7" s="1"/>
  <c r="AY39" i="7"/>
  <c r="AZ39" i="7" s="1"/>
  <c r="AW39" i="7"/>
  <c r="AX39" i="7" s="1"/>
  <c r="AV39" i="7"/>
  <c r="AU39" i="7"/>
  <c r="AS39" i="7"/>
  <c r="AT39" i="7" s="1"/>
  <c r="AQ39" i="7"/>
  <c r="AR39" i="7" s="1"/>
  <c r="AO39" i="7"/>
  <c r="AP39" i="7" s="1"/>
  <c r="AM39" i="7"/>
  <c r="AN39" i="7" s="1"/>
  <c r="AK39" i="7"/>
  <c r="AL39" i="7" s="1"/>
  <c r="AI39" i="7"/>
  <c r="AJ39" i="7" s="1"/>
  <c r="AG39" i="7"/>
  <c r="AH39" i="7" s="1"/>
  <c r="BD38" i="7"/>
  <c r="BC38" i="7"/>
  <c r="BA38" i="7"/>
  <c r="BB38" i="7" s="1"/>
  <c r="AY38" i="7"/>
  <c r="AZ38" i="7" s="1"/>
  <c r="AW38" i="7"/>
  <c r="AX38" i="7" s="1"/>
  <c r="AV38" i="7"/>
  <c r="AU38" i="7"/>
  <c r="AS38" i="7"/>
  <c r="AT38" i="7" s="1"/>
  <c r="AQ38" i="7"/>
  <c r="AR38" i="7" s="1"/>
  <c r="AP38" i="7"/>
  <c r="AO38" i="7"/>
  <c r="AM38" i="7"/>
  <c r="AN38" i="7" s="1"/>
  <c r="AK38" i="7"/>
  <c r="AL38" i="7" s="1"/>
  <c r="AI38" i="7"/>
  <c r="AJ38" i="7" s="1"/>
  <c r="AG38" i="7"/>
  <c r="AH38" i="7" s="1"/>
  <c r="BD37" i="7"/>
  <c r="BC37" i="7"/>
  <c r="BA37" i="7"/>
  <c r="BB37" i="7" s="1"/>
  <c r="AY37" i="7"/>
  <c r="AZ37" i="7" s="1"/>
  <c r="AW37" i="7"/>
  <c r="AX37" i="7" s="1"/>
  <c r="AU37" i="7"/>
  <c r="AV37" i="7" s="1"/>
  <c r="AS37" i="7"/>
  <c r="AT37" i="7" s="1"/>
  <c r="AQ37" i="7"/>
  <c r="AR37" i="7" s="1"/>
  <c r="AO37" i="7"/>
  <c r="AP37" i="7" s="1"/>
  <c r="AM37" i="7"/>
  <c r="AN37" i="7" s="1"/>
  <c r="AK37" i="7"/>
  <c r="AL37" i="7" s="1"/>
  <c r="AI37" i="7"/>
  <c r="AJ37" i="7" s="1"/>
  <c r="AG37" i="7"/>
  <c r="AH37" i="7" s="1"/>
  <c r="BC36" i="7"/>
  <c r="BD36" i="7" s="1"/>
  <c r="BA36" i="7"/>
  <c r="BB36" i="7" s="1"/>
  <c r="AY36" i="7"/>
  <c r="AZ36" i="7" s="1"/>
  <c r="AW36" i="7"/>
  <c r="AX36" i="7" s="1"/>
  <c r="AU36" i="7"/>
  <c r="AV36" i="7" s="1"/>
  <c r="AS36" i="7"/>
  <c r="AT36" i="7" s="1"/>
  <c r="AQ36" i="7"/>
  <c r="AR36" i="7" s="1"/>
  <c r="AO36" i="7"/>
  <c r="AP36" i="7" s="1"/>
  <c r="AM36" i="7"/>
  <c r="AN36" i="7" s="1"/>
  <c r="AK36" i="7"/>
  <c r="AL36" i="7" s="1"/>
  <c r="AI36" i="7"/>
  <c r="AJ36" i="7" s="1"/>
  <c r="AG36" i="7"/>
  <c r="AH36" i="7" s="1"/>
  <c r="BC35" i="7"/>
  <c r="BD35" i="7" s="1"/>
  <c r="BA35" i="7"/>
  <c r="BB35" i="7" s="1"/>
  <c r="AY35" i="7"/>
  <c r="AZ35" i="7" s="1"/>
  <c r="AW35" i="7"/>
  <c r="AX35" i="7" s="1"/>
  <c r="AU35" i="7"/>
  <c r="AV35" i="7" s="1"/>
  <c r="AS35" i="7"/>
  <c r="AT35" i="7" s="1"/>
  <c r="AR35" i="7"/>
  <c r="AQ35" i="7"/>
  <c r="AO35" i="7"/>
  <c r="AP35" i="7" s="1"/>
  <c r="AM35" i="7"/>
  <c r="AN35" i="7" s="1"/>
  <c r="AK35" i="7"/>
  <c r="AL35" i="7" s="1"/>
  <c r="AI35" i="7"/>
  <c r="AJ35" i="7" s="1"/>
  <c r="AG35" i="7"/>
  <c r="AH35" i="7" s="1"/>
  <c r="BC34" i="7"/>
  <c r="BD34" i="7" s="1"/>
  <c r="BA34" i="7"/>
  <c r="BB34" i="7" s="1"/>
  <c r="AY34" i="7"/>
  <c r="AZ34" i="7" s="1"/>
  <c r="AW34" i="7"/>
  <c r="AX34" i="7" s="1"/>
  <c r="AU34" i="7"/>
  <c r="AV34" i="7" s="1"/>
  <c r="AS34" i="7"/>
  <c r="AT34" i="7" s="1"/>
  <c r="AQ34" i="7"/>
  <c r="AR34" i="7" s="1"/>
  <c r="AO34" i="7"/>
  <c r="AP34" i="7" s="1"/>
  <c r="AM34" i="7"/>
  <c r="AN34" i="7" s="1"/>
  <c r="AK34" i="7"/>
  <c r="AL34" i="7" s="1"/>
  <c r="AI34" i="7"/>
  <c r="AJ34" i="7" s="1"/>
  <c r="AG34" i="7"/>
  <c r="AH34" i="7" s="1"/>
  <c r="BC33" i="7"/>
  <c r="BD33" i="7" s="1"/>
  <c r="BA33" i="7"/>
  <c r="BB33" i="7" s="1"/>
  <c r="AY33" i="7"/>
  <c r="AZ33" i="7" s="1"/>
  <c r="AW33" i="7"/>
  <c r="AX33" i="7" s="1"/>
  <c r="AV33" i="7"/>
  <c r="AU33" i="7"/>
  <c r="AS33" i="7"/>
  <c r="AT33" i="7" s="1"/>
  <c r="AR33" i="7"/>
  <c r="AQ33" i="7"/>
  <c r="AO33" i="7"/>
  <c r="AP33" i="7" s="1"/>
  <c r="AM33" i="7"/>
  <c r="AN33" i="7" s="1"/>
  <c r="AK33" i="7"/>
  <c r="AL33" i="7" s="1"/>
  <c r="AI33" i="7"/>
  <c r="AJ33" i="7" s="1"/>
  <c r="AG33" i="7"/>
  <c r="AH33" i="7" s="1"/>
  <c r="BC32" i="7"/>
  <c r="BD32" i="7" s="1"/>
  <c r="BA32" i="7"/>
  <c r="BB32" i="7" s="1"/>
  <c r="AY32" i="7"/>
  <c r="AZ32" i="7" s="1"/>
  <c r="AW32" i="7"/>
  <c r="AX32" i="7" s="1"/>
  <c r="AU32" i="7"/>
  <c r="AV32" i="7" s="1"/>
  <c r="AS32" i="7"/>
  <c r="AT32" i="7" s="1"/>
  <c r="AQ32" i="7"/>
  <c r="AR32" i="7" s="1"/>
  <c r="AO32" i="7"/>
  <c r="AP32" i="7" s="1"/>
  <c r="AM32" i="7"/>
  <c r="AN32" i="7" s="1"/>
  <c r="AK32" i="7"/>
  <c r="AL32" i="7" s="1"/>
  <c r="AI32" i="7"/>
  <c r="AJ32" i="7" s="1"/>
  <c r="AG32" i="7"/>
  <c r="AH32" i="7" s="1"/>
  <c r="BC31" i="7"/>
  <c r="BD31" i="7" s="1"/>
  <c r="BA31" i="7"/>
  <c r="BB31" i="7" s="1"/>
  <c r="AY31" i="7"/>
  <c r="AZ31" i="7" s="1"/>
  <c r="AW31" i="7"/>
  <c r="AX31" i="7" s="1"/>
  <c r="AV31" i="7"/>
  <c r="AU31" i="7"/>
  <c r="AS31" i="7"/>
  <c r="AT31" i="7" s="1"/>
  <c r="AR31" i="7"/>
  <c r="AQ31" i="7"/>
  <c r="AO31" i="7"/>
  <c r="AP31" i="7" s="1"/>
  <c r="AM31" i="7"/>
  <c r="AN31" i="7" s="1"/>
  <c r="AK31" i="7"/>
  <c r="AL31" i="7" s="1"/>
  <c r="AI31" i="7"/>
  <c r="AJ31" i="7" s="1"/>
  <c r="AG31" i="7"/>
  <c r="AH31" i="7" s="1"/>
  <c r="BC30" i="7"/>
  <c r="BD30" i="7" s="1"/>
  <c r="BA30" i="7"/>
  <c r="BB30" i="7" s="1"/>
  <c r="AY30" i="7"/>
  <c r="AZ30" i="7" s="1"/>
  <c r="AW30" i="7"/>
  <c r="AX30" i="7" s="1"/>
  <c r="AU30" i="7"/>
  <c r="AV30" i="7" s="1"/>
  <c r="AS30" i="7"/>
  <c r="AT30" i="7" s="1"/>
  <c r="AQ30" i="7"/>
  <c r="AR30" i="7" s="1"/>
  <c r="AO30" i="7"/>
  <c r="AP30" i="7" s="1"/>
  <c r="AM30" i="7"/>
  <c r="AN30" i="7" s="1"/>
  <c r="AK30" i="7"/>
  <c r="AL30" i="7" s="1"/>
  <c r="AI30" i="7"/>
  <c r="AJ30" i="7" s="1"/>
  <c r="AG30" i="7"/>
  <c r="AH30" i="7" s="1"/>
  <c r="BC29" i="7"/>
  <c r="BD29" i="7" s="1"/>
  <c r="BA29" i="7"/>
  <c r="BB29" i="7" s="1"/>
  <c r="AY29" i="7"/>
  <c r="AZ29" i="7" s="1"/>
  <c r="AW29" i="7"/>
  <c r="AX29" i="7" s="1"/>
  <c r="AV29" i="7"/>
  <c r="AU29" i="7"/>
  <c r="AS29" i="7"/>
  <c r="AT29" i="7" s="1"/>
  <c r="AR29" i="7"/>
  <c r="AQ29" i="7"/>
  <c r="AO29" i="7"/>
  <c r="AP29" i="7" s="1"/>
  <c r="AM29" i="7"/>
  <c r="AN29" i="7" s="1"/>
  <c r="AK29" i="7"/>
  <c r="AL29" i="7" s="1"/>
  <c r="AI29" i="7"/>
  <c r="AJ29" i="7" s="1"/>
  <c r="AG29" i="7"/>
  <c r="AH29" i="7" s="1"/>
  <c r="BC28" i="7"/>
  <c r="BD28" i="7" s="1"/>
  <c r="BA28" i="7"/>
  <c r="BB28" i="7" s="1"/>
  <c r="AZ28" i="7"/>
  <c r="AY28" i="7"/>
  <c r="AW28" i="7"/>
  <c r="AX28" i="7" s="1"/>
  <c r="AU28" i="7"/>
  <c r="AV28" i="7" s="1"/>
  <c r="AS28" i="7"/>
  <c r="AT28" i="7" s="1"/>
  <c r="AQ28" i="7"/>
  <c r="AR28" i="7" s="1"/>
  <c r="AO28" i="7"/>
  <c r="AP28" i="7" s="1"/>
  <c r="AM28" i="7"/>
  <c r="AN28" i="7" s="1"/>
  <c r="AK28" i="7"/>
  <c r="AL28" i="7" s="1"/>
  <c r="AJ28" i="7"/>
  <c r="AI28" i="7"/>
  <c r="AG28" i="7"/>
  <c r="AH28" i="7" s="1"/>
  <c r="BD27" i="7"/>
  <c r="BC27" i="7"/>
  <c r="BA27" i="7"/>
  <c r="BB27" i="7" s="1"/>
  <c r="AY27" i="7"/>
  <c r="AZ27" i="7" s="1"/>
  <c r="AW27" i="7"/>
  <c r="AX27" i="7" s="1"/>
  <c r="AU27" i="7"/>
  <c r="AV27" i="7" s="1"/>
  <c r="AS27" i="7"/>
  <c r="AT27" i="7" s="1"/>
  <c r="AQ27" i="7"/>
  <c r="AR27" i="7" s="1"/>
  <c r="AO27" i="7"/>
  <c r="AP27" i="7" s="1"/>
  <c r="AM27" i="7"/>
  <c r="AN27" i="7" s="1"/>
  <c r="AK27" i="7"/>
  <c r="AL27" i="7" s="1"/>
  <c r="AI27" i="7"/>
  <c r="AJ27" i="7" s="1"/>
  <c r="AG27" i="7"/>
  <c r="AH27" i="7" s="1"/>
  <c r="AQ21" i="7"/>
  <c r="AR21" i="7" s="1"/>
  <c r="AC21" i="7"/>
  <c r="AB21" i="7"/>
  <c r="AA21" i="7"/>
  <c r="AY21" i="7" s="1"/>
  <c r="AZ21" i="7" s="1"/>
  <c r="Z21" i="7"/>
  <c r="Y21" i="7"/>
  <c r="X21" i="7"/>
  <c r="W21" i="7"/>
  <c r="V21" i="7"/>
  <c r="S21" i="7"/>
  <c r="R21" i="7"/>
  <c r="N21" i="7"/>
  <c r="BC21" i="7" s="1"/>
  <c r="BD21" i="7" s="1"/>
  <c r="M21" i="7"/>
  <c r="BA21" i="7" s="1"/>
  <c r="BB21" i="7" s="1"/>
  <c r="L21" i="7"/>
  <c r="K21" i="7"/>
  <c r="J21" i="7"/>
  <c r="AU21" i="7" s="1"/>
  <c r="AV21" i="7" s="1"/>
  <c r="I21" i="7"/>
  <c r="H21" i="7"/>
  <c r="G21" i="7"/>
  <c r="D21" i="7"/>
  <c r="C21" i="7"/>
  <c r="BC20" i="7"/>
  <c r="BD20" i="7" s="1"/>
  <c r="BA20" i="7"/>
  <c r="BB20" i="7" s="1"/>
  <c r="AY20" i="7"/>
  <c r="AZ20" i="7" s="1"/>
  <c r="AW20" i="7"/>
  <c r="AX20" i="7" s="1"/>
  <c r="AU20" i="7"/>
  <c r="AV20" i="7" s="1"/>
  <c r="AS20" i="7"/>
  <c r="AT20" i="7" s="1"/>
  <c r="AQ20" i="7"/>
  <c r="AR20" i="7" s="1"/>
  <c r="AO20" i="7"/>
  <c r="AP20" i="7" s="1"/>
  <c r="AI20" i="7"/>
  <c r="AJ20" i="7" s="1"/>
  <c r="AG20" i="7"/>
  <c r="AH20" i="7" s="1"/>
  <c r="AM20" i="7"/>
  <c r="AN20" i="7" s="1"/>
  <c r="BC19" i="7"/>
  <c r="BD19" i="7" s="1"/>
  <c r="BA19" i="7"/>
  <c r="BB19" i="7" s="1"/>
  <c r="AZ19" i="7"/>
  <c r="AY19" i="7"/>
  <c r="AW19" i="7"/>
  <c r="AX19" i="7" s="1"/>
  <c r="AU19" i="7"/>
  <c r="AV19" i="7" s="1"/>
  <c r="AS19" i="7"/>
  <c r="AT19" i="7" s="1"/>
  <c r="AQ19" i="7"/>
  <c r="AR19" i="7" s="1"/>
  <c r="AO19" i="7"/>
  <c r="AP19" i="7" s="1"/>
  <c r="AK19" i="7"/>
  <c r="AL19" i="7" s="1"/>
  <c r="AI19" i="7"/>
  <c r="AJ19" i="7" s="1"/>
  <c r="AG19" i="7"/>
  <c r="AH19" i="7" s="1"/>
  <c r="AM19" i="7"/>
  <c r="AN19" i="7" s="1"/>
  <c r="BC18" i="7"/>
  <c r="BD18" i="7" s="1"/>
  <c r="BA18" i="7"/>
  <c r="BB18" i="7" s="1"/>
  <c r="AY18" i="7"/>
  <c r="AZ18" i="7" s="1"/>
  <c r="AW18" i="7"/>
  <c r="AX18" i="7" s="1"/>
  <c r="AU18" i="7"/>
  <c r="AV18" i="7" s="1"/>
  <c r="AS18" i="7"/>
  <c r="AT18" i="7" s="1"/>
  <c r="AQ18" i="7"/>
  <c r="AR18" i="7" s="1"/>
  <c r="AO18" i="7"/>
  <c r="AP18" i="7" s="1"/>
  <c r="AK18" i="7"/>
  <c r="AL18" i="7" s="1"/>
  <c r="AI18" i="7"/>
  <c r="AJ18" i="7" s="1"/>
  <c r="AG18" i="7"/>
  <c r="AH18" i="7" s="1"/>
  <c r="AM18" i="7"/>
  <c r="AN18" i="7" s="1"/>
  <c r="BC17" i="7"/>
  <c r="BD17" i="7" s="1"/>
  <c r="BA17" i="7"/>
  <c r="BB17" i="7" s="1"/>
  <c r="AY17" i="7"/>
  <c r="AZ17" i="7" s="1"/>
  <c r="AX17" i="7"/>
  <c r="AW17" i="7"/>
  <c r="AU17" i="7"/>
  <c r="AV17" i="7" s="1"/>
  <c r="AS17" i="7"/>
  <c r="AT17" i="7" s="1"/>
  <c r="AQ17" i="7"/>
  <c r="AR17" i="7" s="1"/>
  <c r="AO17" i="7"/>
  <c r="AP17" i="7" s="1"/>
  <c r="AK17" i="7"/>
  <c r="AL17" i="7" s="1"/>
  <c r="AI17" i="7"/>
  <c r="AJ17" i="7" s="1"/>
  <c r="AG17" i="7"/>
  <c r="AH17" i="7" s="1"/>
  <c r="U21" i="7"/>
  <c r="T21" i="7"/>
  <c r="E21" i="7"/>
  <c r="BB10" i="7"/>
  <c r="AO10" i="7"/>
  <c r="AP10" i="7" s="1"/>
  <c r="AC10" i="7"/>
  <c r="AB10" i="7"/>
  <c r="AA10" i="7"/>
  <c r="Z10" i="7"/>
  <c r="Y10" i="7"/>
  <c r="X10" i="7"/>
  <c r="AS10" i="7" s="1"/>
  <c r="AT10" i="7" s="1"/>
  <c r="W10" i="7"/>
  <c r="V10" i="7"/>
  <c r="U10" i="7"/>
  <c r="T10" i="7"/>
  <c r="S10" i="7"/>
  <c r="R10" i="7"/>
  <c r="N10" i="7"/>
  <c r="M10" i="7"/>
  <c r="BA10" i="7" s="1"/>
  <c r="L10" i="7"/>
  <c r="AY10" i="7" s="1"/>
  <c r="AZ10" i="7" s="1"/>
  <c r="K10" i="7"/>
  <c r="J10" i="7"/>
  <c r="I10" i="7"/>
  <c r="H10" i="7"/>
  <c r="G10" i="7"/>
  <c r="F10" i="7"/>
  <c r="E10" i="7"/>
  <c r="D10" i="7"/>
  <c r="C10" i="7"/>
  <c r="BC9" i="7"/>
  <c r="BD9" i="7" s="1"/>
  <c r="BA9" i="7"/>
  <c r="BB9" i="7" s="1"/>
  <c r="AY9" i="7"/>
  <c r="AZ9" i="7" s="1"/>
  <c r="AW9" i="7"/>
  <c r="AX9" i="7" s="1"/>
  <c r="AU9" i="7"/>
  <c r="AV9" i="7" s="1"/>
  <c r="AS9" i="7"/>
  <c r="AT9" i="7" s="1"/>
  <c r="AQ9" i="7"/>
  <c r="AR9" i="7" s="1"/>
  <c r="AO9" i="7"/>
  <c r="AP9" i="7" s="1"/>
  <c r="AM9" i="7"/>
  <c r="AN9" i="7" s="1"/>
  <c r="AK9" i="7"/>
  <c r="AL9" i="7" s="1"/>
  <c r="AI9" i="7"/>
  <c r="AJ9" i="7" s="1"/>
  <c r="AG9" i="7"/>
  <c r="AH9" i="7" s="1"/>
  <c r="BC8" i="7"/>
  <c r="BD8" i="7" s="1"/>
  <c r="BA8" i="7"/>
  <c r="BB8" i="7" s="1"/>
  <c r="AY8" i="7"/>
  <c r="AZ8" i="7" s="1"/>
  <c r="AW8" i="7"/>
  <c r="AX8" i="7" s="1"/>
  <c r="AU8" i="7"/>
  <c r="AV8" i="7" s="1"/>
  <c r="AS8" i="7"/>
  <c r="AT8" i="7" s="1"/>
  <c r="AQ8" i="7"/>
  <c r="AR8" i="7" s="1"/>
  <c r="AO8" i="7"/>
  <c r="AP8" i="7" s="1"/>
  <c r="AM8" i="7"/>
  <c r="AN8" i="7" s="1"/>
  <c r="AK8" i="7"/>
  <c r="AL8" i="7" s="1"/>
  <c r="AI8" i="7"/>
  <c r="AJ8" i="7" s="1"/>
  <c r="AG8" i="7"/>
  <c r="AH8" i="7" s="1"/>
  <c r="BC7" i="7"/>
  <c r="BD7" i="7" s="1"/>
  <c r="BA7" i="7"/>
  <c r="BB7" i="7" s="1"/>
  <c r="AY7" i="7"/>
  <c r="AZ7" i="7" s="1"/>
  <c r="AW7" i="7"/>
  <c r="AX7" i="7" s="1"/>
  <c r="AU7" i="7"/>
  <c r="AV7" i="7" s="1"/>
  <c r="AS7" i="7"/>
  <c r="AT7" i="7" s="1"/>
  <c r="AQ7" i="7"/>
  <c r="AR7" i="7" s="1"/>
  <c r="AP7" i="7"/>
  <c r="AO7" i="7"/>
  <c r="AM7" i="7"/>
  <c r="AN7" i="7" s="1"/>
  <c r="AK7" i="7"/>
  <c r="AL7" i="7" s="1"/>
  <c r="AI7" i="7"/>
  <c r="AJ7" i="7" s="1"/>
  <c r="AG7" i="7"/>
  <c r="AH7" i="7" s="1"/>
  <c r="BC6" i="7"/>
  <c r="BD6" i="7" s="1"/>
  <c r="BA6" i="7"/>
  <c r="BB6" i="7" s="1"/>
  <c r="AZ6" i="7"/>
  <c r="AY6" i="7"/>
  <c r="AW6" i="7"/>
  <c r="AX6" i="7" s="1"/>
  <c r="AU6" i="7"/>
  <c r="AV6" i="7" s="1"/>
  <c r="AS6" i="7"/>
  <c r="AT6" i="7" s="1"/>
  <c r="AQ6" i="7"/>
  <c r="AR6" i="7" s="1"/>
  <c r="AO6" i="7"/>
  <c r="AP6" i="7" s="1"/>
  <c r="AM6" i="7"/>
  <c r="AN6" i="7" s="1"/>
  <c r="AK6" i="7"/>
  <c r="AL6" i="7" s="1"/>
  <c r="AI6" i="7"/>
  <c r="AJ6" i="7" s="1"/>
  <c r="AG6" i="7"/>
  <c r="AH6" i="7" s="1"/>
  <c r="BC5" i="7"/>
  <c r="BD5" i="7" s="1"/>
  <c r="BA5" i="7"/>
  <c r="BB5" i="7" s="1"/>
  <c r="AY5" i="7"/>
  <c r="AZ5" i="7" s="1"/>
  <c r="AW5" i="7"/>
  <c r="AX5" i="7" s="1"/>
  <c r="AU5" i="7"/>
  <c r="AV5" i="7" s="1"/>
  <c r="AS5" i="7"/>
  <c r="AT5" i="7" s="1"/>
  <c r="AR5" i="7"/>
  <c r="AQ5" i="7"/>
  <c r="AO5" i="7"/>
  <c r="AP5" i="7" s="1"/>
  <c r="AM5" i="7"/>
  <c r="AN5" i="7" s="1"/>
  <c r="AK5" i="7"/>
  <c r="AL5" i="7" s="1"/>
  <c r="AJ5" i="7"/>
  <c r="AI5" i="7"/>
  <c r="AG5" i="7"/>
  <c r="AH5" i="7" s="1"/>
  <c r="AC61" i="6"/>
  <c r="AB61" i="6"/>
  <c r="AA61" i="6"/>
  <c r="Z61" i="6"/>
  <c r="Y61" i="6"/>
  <c r="X61" i="6"/>
  <c r="W61" i="6"/>
  <c r="V61" i="6"/>
  <c r="AO61" i="6" s="1"/>
  <c r="AP61" i="6" s="1"/>
  <c r="U61" i="6"/>
  <c r="T61" i="6"/>
  <c r="S61" i="6"/>
  <c r="R61" i="6"/>
  <c r="N61" i="6"/>
  <c r="BC61" i="6" s="1"/>
  <c r="BD61" i="6" s="1"/>
  <c r="M61" i="6"/>
  <c r="BA61" i="6" s="1"/>
  <c r="BB61" i="6" s="1"/>
  <c r="L61" i="6"/>
  <c r="AY61" i="6" s="1"/>
  <c r="AZ61" i="6" s="1"/>
  <c r="K61" i="6"/>
  <c r="J61" i="6"/>
  <c r="AU61" i="6" s="1"/>
  <c r="AV61" i="6" s="1"/>
  <c r="I61" i="6"/>
  <c r="H61" i="6"/>
  <c r="G61" i="6"/>
  <c r="F61" i="6"/>
  <c r="E61" i="6"/>
  <c r="D61" i="6"/>
  <c r="C61" i="6"/>
  <c r="BC60" i="6"/>
  <c r="BD60" i="6" s="1"/>
  <c r="BA60" i="6"/>
  <c r="BB60" i="6" s="1"/>
  <c r="AY60" i="6"/>
  <c r="AZ60" i="6" s="1"/>
  <c r="AW60" i="6"/>
  <c r="AX60" i="6" s="1"/>
  <c r="AU60" i="6"/>
  <c r="AV60" i="6" s="1"/>
  <c r="AS60" i="6"/>
  <c r="AT60" i="6" s="1"/>
  <c r="AQ60" i="6"/>
  <c r="AR60" i="6" s="1"/>
  <c r="AO60" i="6"/>
  <c r="AP60" i="6" s="1"/>
  <c r="AM60" i="6"/>
  <c r="AN60" i="6" s="1"/>
  <c r="AK60" i="6"/>
  <c r="AL60" i="6" s="1"/>
  <c r="AI60" i="6"/>
  <c r="AJ60" i="6" s="1"/>
  <c r="AG60" i="6"/>
  <c r="AH60" i="6" s="1"/>
  <c r="BC59" i="6"/>
  <c r="BD59" i="6" s="1"/>
  <c r="BA59" i="6"/>
  <c r="BB59" i="6" s="1"/>
  <c r="AY59" i="6"/>
  <c r="AZ59" i="6" s="1"/>
  <c r="AW59" i="6"/>
  <c r="AX59" i="6" s="1"/>
  <c r="AU59" i="6"/>
  <c r="AV59" i="6" s="1"/>
  <c r="AS59" i="6"/>
  <c r="AT59" i="6" s="1"/>
  <c r="AQ59" i="6"/>
  <c r="AR59" i="6" s="1"/>
  <c r="AO59" i="6"/>
  <c r="AP59" i="6" s="1"/>
  <c r="AM59" i="6"/>
  <c r="AN59" i="6" s="1"/>
  <c r="AK59" i="6"/>
  <c r="AL59" i="6" s="1"/>
  <c r="AI59" i="6"/>
  <c r="AJ59" i="6" s="1"/>
  <c r="AG59" i="6"/>
  <c r="AH59" i="6" s="1"/>
  <c r="BC58" i="6"/>
  <c r="BD58" i="6" s="1"/>
  <c r="BA58" i="6"/>
  <c r="BB58" i="6" s="1"/>
  <c r="AY58" i="6"/>
  <c r="AZ58" i="6" s="1"/>
  <c r="AW58" i="6"/>
  <c r="AX58" i="6" s="1"/>
  <c r="AU58" i="6"/>
  <c r="AV58" i="6" s="1"/>
  <c r="AS58" i="6"/>
  <c r="AT58" i="6" s="1"/>
  <c r="AQ58" i="6"/>
  <c r="AR58" i="6" s="1"/>
  <c r="AO58" i="6"/>
  <c r="AP58" i="6" s="1"/>
  <c r="AM58" i="6"/>
  <c r="AN58" i="6" s="1"/>
  <c r="AK58" i="6"/>
  <c r="AL58" i="6" s="1"/>
  <c r="AI58" i="6"/>
  <c r="AJ58" i="6" s="1"/>
  <c r="AG58" i="6"/>
  <c r="AH58" i="6" s="1"/>
  <c r="BC57" i="6"/>
  <c r="BD57" i="6" s="1"/>
  <c r="BA57" i="6"/>
  <c r="BB57" i="6" s="1"/>
  <c r="AY57" i="6"/>
  <c r="AZ57" i="6" s="1"/>
  <c r="AW57" i="6"/>
  <c r="AX57" i="6" s="1"/>
  <c r="AU57" i="6"/>
  <c r="AV57" i="6" s="1"/>
  <c r="AS57" i="6"/>
  <c r="AT57" i="6" s="1"/>
  <c r="AQ57" i="6"/>
  <c r="AR57" i="6" s="1"/>
  <c r="AO57" i="6"/>
  <c r="AP57" i="6" s="1"/>
  <c r="AM57" i="6"/>
  <c r="AN57" i="6" s="1"/>
  <c r="AK57" i="6"/>
  <c r="AL57" i="6" s="1"/>
  <c r="AI57" i="6"/>
  <c r="AJ57" i="6" s="1"/>
  <c r="AG57" i="6"/>
  <c r="AH57" i="6" s="1"/>
  <c r="BC56" i="6"/>
  <c r="BD56" i="6" s="1"/>
  <c r="BA56" i="6"/>
  <c r="BB56" i="6" s="1"/>
  <c r="AY56" i="6"/>
  <c r="AZ56" i="6" s="1"/>
  <c r="AW56" i="6"/>
  <c r="AX56" i="6" s="1"/>
  <c r="AU56" i="6"/>
  <c r="AV56" i="6" s="1"/>
  <c r="AS56" i="6"/>
  <c r="AT56" i="6" s="1"/>
  <c r="AQ56" i="6"/>
  <c r="AR56" i="6" s="1"/>
  <c r="AO56" i="6"/>
  <c r="AP56" i="6" s="1"/>
  <c r="AM56" i="6"/>
  <c r="AN56" i="6" s="1"/>
  <c r="AK56" i="6"/>
  <c r="AL56" i="6" s="1"/>
  <c r="AI56" i="6"/>
  <c r="AJ56" i="6" s="1"/>
  <c r="AG56" i="6"/>
  <c r="AH56" i="6" s="1"/>
  <c r="BC55" i="6"/>
  <c r="BD55" i="6" s="1"/>
  <c r="BA55" i="6"/>
  <c r="BB55" i="6" s="1"/>
  <c r="AY55" i="6"/>
  <c r="AZ55" i="6" s="1"/>
  <c r="AW55" i="6"/>
  <c r="AX55" i="6" s="1"/>
  <c r="AU55" i="6"/>
  <c r="AV55" i="6" s="1"/>
  <c r="AS55" i="6"/>
  <c r="AT55" i="6" s="1"/>
  <c r="AQ55" i="6"/>
  <c r="AR55" i="6" s="1"/>
  <c r="AO55" i="6"/>
  <c r="AP55" i="6" s="1"/>
  <c r="AM55" i="6"/>
  <c r="AN55" i="6" s="1"/>
  <c r="AK55" i="6"/>
  <c r="AL55" i="6" s="1"/>
  <c r="AI55" i="6"/>
  <c r="AJ55" i="6" s="1"/>
  <c r="AG55" i="6"/>
  <c r="AH55" i="6" s="1"/>
  <c r="BC54" i="6"/>
  <c r="BD54" i="6" s="1"/>
  <c r="BA54" i="6"/>
  <c r="BB54" i="6" s="1"/>
  <c r="AY54" i="6"/>
  <c r="AZ54" i="6" s="1"/>
  <c r="AW54" i="6"/>
  <c r="AX54" i="6" s="1"/>
  <c r="AU54" i="6"/>
  <c r="AV54" i="6" s="1"/>
  <c r="AS54" i="6"/>
  <c r="AT54" i="6" s="1"/>
  <c r="AQ54" i="6"/>
  <c r="AR54" i="6" s="1"/>
  <c r="AO54" i="6"/>
  <c r="AP54" i="6" s="1"/>
  <c r="AM54" i="6"/>
  <c r="AN54" i="6" s="1"/>
  <c r="AK54" i="6"/>
  <c r="AL54" i="6" s="1"/>
  <c r="AI54" i="6"/>
  <c r="AJ54" i="6" s="1"/>
  <c r="AG54" i="6"/>
  <c r="AH54" i="6" s="1"/>
  <c r="BC53" i="6"/>
  <c r="BD53" i="6" s="1"/>
  <c r="BA53" i="6"/>
  <c r="BB53" i="6" s="1"/>
  <c r="AY53" i="6"/>
  <c r="AZ53" i="6" s="1"/>
  <c r="AW53" i="6"/>
  <c r="AX53" i="6" s="1"/>
  <c r="AU53" i="6"/>
  <c r="AV53" i="6" s="1"/>
  <c r="AS53" i="6"/>
  <c r="AT53" i="6" s="1"/>
  <c r="AQ53" i="6"/>
  <c r="AR53" i="6" s="1"/>
  <c r="AO53" i="6"/>
  <c r="AP53" i="6" s="1"/>
  <c r="AM53" i="6"/>
  <c r="AN53" i="6" s="1"/>
  <c r="AK53" i="6"/>
  <c r="AL53" i="6" s="1"/>
  <c r="AI53" i="6"/>
  <c r="AJ53" i="6" s="1"/>
  <c r="AG53" i="6"/>
  <c r="AH53" i="6" s="1"/>
  <c r="BC52" i="6"/>
  <c r="BD52" i="6" s="1"/>
  <c r="BA52" i="6"/>
  <c r="BB52" i="6" s="1"/>
  <c r="AY52" i="6"/>
  <c r="AZ52" i="6" s="1"/>
  <c r="AW52" i="6"/>
  <c r="AX52" i="6" s="1"/>
  <c r="AU52" i="6"/>
  <c r="AV52" i="6" s="1"/>
  <c r="AS52" i="6"/>
  <c r="AT52" i="6" s="1"/>
  <c r="AQ52" i="6"/>
  <c r="AR52" i="6" s="1"/>
  <c r="AO52" i="6"/>
  <c r="AP52" i="6" s="1"/>
  <c r="AM52" i="6"/>
  <c r="AN52" i="6" s="1"/>
  <c r="AK52" i="6"/>
  <c r="AL52" i="6" s="1"/>
  <c r="AI52" i="6"/>
  <c r="AJ52" i="6" s="1"/>
  <c r="AG52" i="6"/>
  <c r="AH52" i="6" s="1"/>
  <c r="BC51" i="6"/>
  <c r="BD51" i="6" s="1"/>
  <c r="BA51" i="6"/>
  <c r="BB51" i="6" s="1"/>
  <c r="AY51" i="6"/>
  <c r="AZ51" i="6" s="1"/>
  <c r="AW51" i="6"/>
  <c r="AX51" i="6" s="1"/>
  <c r="AU51" i="6"/>
  <c r="AV51" i="6" s="1"/>
  <c r="AS51" i="6"/>
  <c r="AT51" i="6" s="1"/>
  <c r="AQ51" i="6"/>
  <c r="AR51" i="6" s="1"/>
  <c r="AO51" i="6"/>
  <c r="AP51" i="6" s="1"/>
  <c r="AM51" i="6"/>
  <c r="AN51" i="6" s="1"/>
  <c r="AK51" i="6"/>
  <c r="AL51" i="6" s="1"/>
  <c r="AI51" i="6"/>
  <c r="AJ51" i="6" s="1"/>
  <c r="AG51" i="6"/>
  <c r="AH51" i="6" s="1"/>
  <c r="BC50" i="6"/>
  <c r="BD50" i="6" s="1"/>
  <c r="BA50" i="6"/>
  <c r="BB50" i="6" s="1"/>
  <c r="AY50" i="6"/>
  <c r="AZ50" i="6" s="1"/>
  <c r="AW50" i="6"/>
  <c r="AX50" i="6" s="1"/>
  <c r="AU50" i="6"/>
  <c r="AV50" i="6" s="1"/>
  <c r="AS50" i="6"/>
  <c r="AT50" i="6" s="1"/>
  <c r="AQ50" i="6"/>
  <c r="AR50" i="6" s="1"/>
  <c r="AO50" i="6"/>
  <c r="AP50" i="6" s="1"/>
  <c r="AM50" i="6"/>
  <c r="AN50" i="6" s="1"/>
  <c r="AK50" i="6"/>
  <c r="AL50" i="6" s="1"/>
  <c r="AI50" i="6"/>
  <c r="AJ50" i="6" s="1"/>
  <c r="AG50" i="6"/>
  <c r="AH50" i="6" s="1"/>
  <c r="BC49" i="6"/>
  <c r="BD49" i="6" s="1"/>
  <c r="BA49" i="6"/>
  <c r="BB49" i="6" s="1"/>
  <c r="AY49" i="6"/>
  <c r="AZ49" i="6" s="1"/>
  <c r="AW49" i="6"/>
  <c r="AX49" i="6" s="1"/>
  <c r="AU49" i="6"/>
  <c r="AV49" i="6" s="1"/>
  <c r="AS49" i="6"/>
  <c r="AT49" i="6" s="1"/>
  <c r="AQ49" i="6"/>
  <c r="AR49" i="6" s="1"/>
  <c r="AO49" i="6"/>
  <c r="AP49" i="6" s="1"/>
  <c r="AM49" i="6"/>
  <c r="AN49" i="6" s="1"/>
  <c r="AK49" i="6"/>
  <c r="AL49" i="6" s="1"/>
  <c r="AI49" i="6"/>
  <c r="AJ49" i="6" s="1"/>
  <c r="AG49" i="6"/>
  <c r="AH49" i="6" s="1"/>
  <c r="BC48" i="6"/>
  <c r="BD48" i="6" s="1"/>
  <c r="BA48" i="6"/>
  <c r="BB48" i="6" s="1"/>
  <c r="AY48" i="6"/>
  <c r="AZ48" i="6" s="1"/>
  <c r="AW48" i="6"/>
  <c r="AX48" i="6" s="1"/>
  <c r="AU48" i="6"/>
  <c r="AV48" i="6" s="1"/>
  <c r="AS48" i="6"/>
  <c r="AT48" i="6" s="1"/>
  <c r="AQ48" i="6"/>
  <c r="AR48" i="6" s="1"/>
  <c r="AO48" i="6"/>
  <c r="AP48" i="6" s="1"/>
  <c r="AM48" i="6"/>
  <c r="AN48" i="6" s="1"/>
  <c r="AK48" i="6"/>
  <c r="AL48" i="6" s="1"/>
  <c r="AI48" i="6"/>
  <c r="AJ48" i="6" s="1"/>
  <c r="AG48" i="6"/>
  <c r="AH48" i="6" s="1"/>
  <c r="BC47" i="6"/>
  <c r="BD47" i="6" s="1"/>
  <c r="BA47" i="6"/>
  <c r="BB47" i="6" s="1"/>
  <c r="AY47" i="6"/>
  <c r="AZ47" i="6" s="1"/>
  <c r="AW47" i="6"/>
  <c r="AX47" i="6" s="1"/>
  <c r="AU47" i="6"/>
  <c r="AV47" i="6" s="1"/>
  <c r="AS47" i="6"/>
  <c r="AT47" i="6" s="1"/>
  <c r="AQ47" i="6"/>
  <c r="AR47" i="6" s="1"/>
  <c r="AO47" i="6"/>
  <c r="AP47" i="6" s="1"/>
  <c r="AM47" i="6"/>
  <c r="AN47" i="6" s="1"/>
  <c r="AK47" i="6"/>
  <c r="AL47" i="6" s="1"/>
  <c r="AI47" i="6"/>
  <c r="AJ47" i="6" s="1"/>
  <c r="AG47" i="6"/>
  <c r="AH47" i="6" s="1"/>
  <c r="AC41" i="6"/>
  <c r="AB41" i="6"/>
  <c r="AA41" i="6"/>
  <c r="Z41" i="6"/>
  <c r="Y41" i="6"/>
  <c r="X41" i="6"/>
  <c r="W41" i="6"/>
  <c r="V41" i="6"/>
  <c r="U41" i="6"/>
  <c r="T41" i="6"/>
  <c r="S41" i="6"/>
  <c r="R41" i="6"/>
  <c r="N41" i="6"/>
  <c r="BC41" i="6" s="1"/>
  <c r="BD41" i="6" s="1"/>
  <c r="M41" i="6"/>
  <c r="L41" i="6"/>
  <c r="AY41" i="6" s="1"/>
  <c r="AZ41" i="6" s="1"/>
  <c r="K41" i="6"/>
  <c r="J41" i="6"/>
  <c r="I41" i="6"/>
  <c r="AS41" i="6" s="1"/>
  <c r="AT41" i="6" s="1"/>
  <c r="H41" i="6"/>
  <c r="G41" i="6"/>
  <c r="F41" i="6"/>
  <c r="AM41" i="6" s="1"/>
  <c r="AN41" i="6" s="1"/>
  <c r="E41" i="6"/>
  <c r="D41" i="6"/>
  <c r="C41" i="6"/>
  <c r="BC40" i="6"/>
  <c r="BD40" i="6" s="1"/>
  <c r="BA40" i="6"/>
  <c r="BB40" i="6" s="1"/>
  <c r="AY40" i="6"/>
  <c r="AZ40" i="6" s="1"/>
  <c r="AW40" i="6"/>
  <c r="AX40" i="6" s="1"/>
  <c r="AU40" i="6"/>
  <c r="AV40" i="6" s="1"/>
  <c r="AS40" i="6"/>
  <c r="AT40" i="6" s="1"/>
  <c r="AQ40" i="6"/>
  <c r="AR40" i="6" s="1"/>
  <c r="AO40" i="6"/>
  <c r="AP40" i="6" s="1"/>
  <c r="AM40" i="6"/>
  <c r="AN40" i="6" s="1"/>
  <c r="AK40" i="6"/>
  <c r="AL40" i="6" s="1"/>
  <c r="AI40" i="6"/>
  <c r="AJ40" i="6" s="1"/>
  <c r="AG40" i="6"/>
  <c r="AH40" i="6" s="1"/>
  <c r="BC39" i="6"/>
  <c r="BD39" i="6" s="1"/>
  <c r="BA39" i="6"/>
  <c r="BB39" i="6" s="1"/>
  <c r="AY39" i="6"/>
  <c r="AZ39" i="6" s="1"/>
  <c r="AW39" i="6"/>
  <c r="AX39" i="6" s="1"/>
  <c r="AU39" i="6"/>
  <c r="AV39" i="6" s="1"/>
  <c r="AS39" i="6"/>
  <c r="AT39" i="6" s="1"/>
  <c r="AQ39" i="6"/>
  <c r="AR39" i="6" s="1"/>
  <c r="AO39" i="6"/>
  <c r="AP39" i="6" s="1"/>
  <c r="AM39" i="6"/>
  <c r="AN39" i="6" s="1"/>
  <c r="AK39" i="6"/>
  <c r="AL39" i="6" s="1"/>
  <c r="AI39" i="6"/>
  <c r="AJ39" i="6" s="1"/>
  <c r="AG39" i="6"/>
  <c r="AH39" i="6" s="1"/>
  <c r="BC38" i="6"/>
  <c r="BD38" i="6" s="1"/>
  <c r="BA38" i="6"/>
  <c r="BB38" i="6" s="1"/>
  <c r="AY38" i="6"/>
  <c r="AZ38" i="6" s="1"/>
  <c r="AW38" i="6"/>
  <c r="AX38" i="6" s="1"/>
  <c r="AU38" i="6"/>
  <c r="AV38" i="6" s="1"/>
  <c r="AS38" i="6"/>
  <c r="AT38" i="6" s="1"/>
  <c r="AQ38" i="6"/>
  <c r="AR38" i="6" s="1"/>
  <c r="AO38" i="6"/>
  <c r="AP38" i="6" s="1"/>
  <c r="AM38" i="6"/>
  <c r="AN38" i="6" s="1"/>
  <c r="AK38" i="6"/>
  <c r="AL38" i="6" s="1"/>
  <c r="AI38" i="6"/>
  <c r="AJ38" i="6" s="1"/>
  <c r="AG38" i="6"/>
  <c r="AH38" i="6" s="1"/>
  <c r="BC37" i="6"/>
  <c r="BD37" i="6" s="1"/>
  <c r="BA37" i="6"/>
  <c r="BB37" i="6" s="1"/>
  <c r="AY37" i="6"/>
  <c r="AZ37" i="6" s="1"/>
  <c r="AW37" i="6"/>
  <c r="AX37" i="6" s="1"/>
  <c r="AU37" i="6"/>
  <c r="AV37" i="6" s="1"/>
  <c r="AS37" i="6"/>
  <c r="AT37" i="6" s="1"/>
  <c r="AQ37" i="6"/>
  <c r="AR37" i="6" s="1"/>
  <c r="AO37" i="6"/>
  <c r="AP37" i="6" s="1"/>
  <c r="AM37" i="6"/>
  <c r="AN37" i="6" s="1"/>
  <c r="AK37" i="6"/>
  <c r="AL37" i="6" s="1"/>
  <c r="AI37" i="6"/>
  <c r="AJ37" i="6" s="1"/>
  <c r="AG37" i="6"/>
  <c r="AH37" i="6" s="1"/>
  <c r="BC36" i="6"/>
  <c r="BD36" i="6" s="1"/>
  <c r="BA36" i="6"/>
  <c r="BB36" i="6" s="1"/>
  <c r="AY36" i="6"/>
  <c r="AZ36" i="6" s="1"/>
  <c r="AW36" i="6"/>
  <c r="AX36" i="6" s="1"/>
  <c r="AU36" i="6"/>
  <c r="AV36" i="6" s="1"/>
  <c r="AS36" i="6"/>
  <c r="AT36" i="6" s="1"/>
  <c r="AQ36" i="6"/>
  <c r="AR36" i="6" s="1"/>
  <c r="AO36" i="6"/>
  <c r="AP36" i="6" s="1"/>
  <c r="AM36" i="6"/>
  <c r="AN36" i="6" s="1"/>
  <c r="AK36" i="6"/>
  <c r="AL36" i="6" s="1"/>
  <c r="AI36" i="6"/>
  <c r="AJ36" i="6" s="1"/>
  <c r="AG36" i="6"/>
  <c r="AH36" i="6" s="1"/>
  <c r="BC35" i="6"/>
  <c r="BD35" i="6" s="1"/>
  <c r="BA35" i="6"/>
  <c r="BB35" i="6" s="1"/>
  <c r="AY35" i="6"/>
  <c r="AZ35" i="6" s="1"/>
  <c r="AW35" i="6"/>
  <c r="AX35" i="6" s="1"/>
  <c r="AU35" i="6"/>
  <c r="AV35" i="6" s="1"/>
  <c r="AS35" i="6"/>
  <c r="AT35" i="6" s="1"/>
  <c r="AQ35" i="6"/>
  <c r="AR35" i="6" s="1"/>
  <c r="AO35" i="6"/>
  <c r="AP35" i="6" s="1"/>
  <c r="AM35" i="6"/>
  <c r="AN35" i="6" s="1"/>
  <c r="AK35" i="6"/>
  <c r="AL35" i="6" s="1"/>
  <c r="AI35" i="6"/>
  <c r="AJ35" i="6" s="1"/>
  <c r="AG35" i="6"/>
  <c r="AH35" i="6" s="1"/>
  <c r="BC34" i="6"/>
  <c r="BD34" i="6" s="1"/>
  <c r="BA34" i="6"/>
  <c r="BB34" i="6" s="1"/>
  <c r="AY34" i="6"/>
  <c r="AZ34" i="6" s="1"/>
  <c r="AW34" i="6"/>
  <c r="AX34" i="6" s="1"/>
  <c r="AU34" i="6"/>
  <c r="AV34" i="6" s="1"/>
  <c r="AS34" i="6"/>
  <c r="AT34" i="6" s="1"/>
  <c r="AQ34" i="6"/>
  <c r="AR34" i="6" s="1"/>
  <c r="AO34" i="6"/>
  <c r="AP34" i="6" s="1"/>
  <c r="AM34" i="6"/>
  <c r="AN34" i="6" s="1"/>
  <c r="AK34" i="6"/>
  <c r="AL34" i="6" s="1"/>
  <c r="AI34" i="6"/>
  <c r="AJ34" i="6" s="1"/>
  <c r="AG34" i="6"/>
  <c r="AH34" i="6" s="1"/>
  <c r="BC33" i="6"/>
  <c r="BD33" i="6" s="1"/>
  <c r="BA33" i="6"/>
  <c r="BB33" i="6" s="1"/>
  <c r="AY33" i="6"/>
  <c r="AZ33" i="6" s="1"/>
  <c r="AW33" i="6"/>
  <c r="AX33" i="6" s="1"/>
  <c r="AU33" i="6"/>
  <c r="AV33" i="6" s="1"/>
  <c r="AS33" i="6"/>
  <c r="AT33" i="6" s="1"/>
  <c r="AQ33" i="6"/>
  <c r="AR33" i="6" s="1"/>
  <c r="AO33" i="6"/>
  <c r="AP33" i="6" s="1"/>
  <c r="AM33" i="6"/>
  <c r="AN33" i="6" s="1"/>
  <c r="AK33" i="6"/>
  <c r="AL33" i="6" s="1"/>
  <c r="AI33" i="6"/>
  <c r="AJ33" i="6" s="1"/>
  <c r="AG33" i="6"/>
  <c r="AH33" i="6" s="1"/>
  <c r="BC32" i="6"/>
  <c r="BD32" i="6" s="1"/>
  <c r="BA32" i="6"/>
  <c r="BB32" i="6" s="1"/>
  <c r="AY32" i="6"/>
  <c r="AZ32" i="6" s="1"/>
  <c r="AW32" i="6"/>
  <c r="AX32" i="6" s="1"/>
  <c r="AU32" i="6"/>
  <c r="AV32" i="6" s="1"/>
  <c r="AS32" i="6"/>
  <c r="AT32" i="6" s="1"/>
  <c r="AQ32" i="6"/>
  <c r="AR32" i="6" s="1"/>
  <c r="AO32" i="6"/>
  <c r="AP32" i="6" s="1"/>
  <c r="AM32" i="6"/>
  <c r="AN32" i="6" s="1"/>
  <c r="AK32" i="6"/>
  <c r="AL32" i="6" s="1"/>
  <c r="AI32" i="6"/>
  <c r="AJ32" i="6" s="1"/>
  <c r="AG32" i="6"/>
  <c r="AH32" i="6" s="1"/>
  <c r="BC31" i="6"/>
  <c r="BD31" i="6" s="1"/>
  <c r="BA31" i="6"/>
  <c r="BB31" i="6" s="1"/>
  <c r="AY31" i="6"/>
  <c r="AZ31" i="6" s="1"/>
  <c r="AW31" i="6"/>
  <c r="AX31" i="6" s="1"/>
  <c r="AU31" i="6"/>
  <c r="AV31" i="6" s="1"/>
  <c r="AS31" i="6"/>
  <c r="AT31" i="6" s="1"/>
  <c r="AQ31" i="6"/>
  <c r="AR31" i="6" s="1"/>
  <c r="AO31" i="6"/>
  <c r="AP31" i="6" s="1"/>
  <c r="AM31" i="6"/>
  <c r="AN31" i="6" s="1"/>
  <c r="AK31" i="6"/>
  <c r="AL31" i="6" s="1"/>
  <c r="AI31" i="6"/>
  <c r="AJ31" i="6" s="1"/>
  <c r="AG31" i="6"/>
  <c r="AH31" i="6" s="1"/>
  <c r="BC30" i="6"/>
  <c r="BD30" i="6" s="1"/>
  <c r="BA30" i="6"/>
  <c r="BB30" i="6" s="1"/>
  <c r="AY30" i="6"/>
  <c r="AZ30" i="6" s="1"/>
  <c r="AW30" i="6"/>
  <c r="AX30" i="6" s="1"/>
  <c r="AU30" i="6"/>
  <c r="AV30" i="6" s="1"/>
  <c r="AS30" i="6"/>
  <c r="AT30" i="6" s="1"/>
  <c r="AQ30" i="6"/>
  <c r="AR30" i="6" s="1"/>
  <c r="AO30" i="6"/>
  <c r="AP30" i="6" s="1"/>
  <c r="AM30" i="6"/>
  <c r="AN30" i="6" s="1"/>
  <c r="AK30" i="6"/>
  <c r="AL30" i="6" s="1"/>
  <c r="AI30" i="6"/>
  <c r="AJ30" i="6" s="1"/>
  <c r="AG30" i="6"/>
  <c r="AH30" i="6" s="1"/>
  <c r="BC29" i="6"/>
  <c r="BD29" i="6" s="1"/>
  <c r="BA29" i="6"/>
  <c r="BB29" i="6" s="1"/>
  <c r="AY29" i="6"/>
  <c r="AZ29" i="6" s="1"/>
  <c r="AW29" i="6"/>
  <c r="AX29" i="6" s="1"/>
  <c r="AU29" i="6"/>
  <c r="AV29" i="6" s="1"/>
  <c r="AS29" i="6"/>
  <c r="AT29" i="6" s="1"/>
  <c r="AQ29" i="6"/>
  <c r="AR29" i="6" s="1"/>
  <c r="AO29" i="6"/>
  <c r="AP29" i="6" s="1"/>
  <c r="AM29" i="6"/>
  <c r="AN29" i="6" s="1"/>
  <c r="AK29" i="6"/>
  <c r="AL29" i="6" s="1"/>
  <c r="AI29" i="6"/>
  <c r="AJ29" i="6" s="1"/>
  <c r="AG29" i="6"/>
  <c r="AH29" i="6" s="1"/>
  <c r="BC28" i="6"/>
  <c r="BD28" i="6" s="1"/>
  <c r="BA28" i="6"/>
  <c r="BB28" i="6" s="1"/>
  <c r="AY28" i="6"/>
  <c r="AZ28" i="6" s="1"/>
  <c r="AW28" i="6"/>
  <c r="AX28" i="6" s="1"/>
  <c r="AU28" i="6"/>
  <c r="AV28" i="6" s="1"/>
  <c r="AS28" i="6"/>
  <c r="AT28" i="6" s="1"/>
  <c r="AR28" i="6"/>
  <c r="AQ28" i="6"/>
  <c r="AP28" i="6"/>
  <c r="AO28" i="6"/>
  <c r="AM28" i="6"/>
  <c r="AN28" i="6" s="1"/>
  <c r="AK28" i="6"/>
  <c r="AL28" i="6" s="1"/>
  <c r="AI28" i="6"/>
  <c r="AJ28" i="6" s="1"/>
  <c r="AG28" i="6"/>
  <c r="AH28" i="6" s="1"/>
  <c r="BC27" i="6"/>
  <c r="BD27" i="6" s="1"/>
  <c r="BA27" i="6"/>
  <c r="BB27" i="6" s="1"/>
  <c r="AZ27" i="6"/>
  <c r="AY27" i="6"/>
  <c r="AW27" i="6"/>
  <c r="AX27" i="6" s="1"/>
  <c r="AU27" i="6"/>
  <c r="AV27" i="6" s="1"/>
  <c r="AS27" i="6"/>
  <c r="AT27" i="6" s="1"/>
  <c r="AR27" i="6"/>
  <c r="AQ27" i="6"/>
  <c r="AP27" i="6"/>
  <c r="AO27" i="6"/>
  <c r="AM27" i="6"/>
  <c r="AN27" i="6" s="1"/>
  <c r="AK27" i="6"/>
  <c r="AL27" i="6" s="1"/>
  <c r="AI27" i="6"/>
  <c r="AJ27" i="6" s="1"/>
  <c r="AG27" i="6"/>
  <c r="AH27" i="6" s="1"/>
  <c r="AC21" i="6"/>
  <c r="AB21" i="6"/>
  <c r="AA21" i="6"/>
  <c r="Z21" i="6"/>
  <c r="Y21" i="6"/>
  <c r="X21" i="6"/>
  <c r="W21" i="6"/>
  <c r="AQ21" i="6" s="1"/>
  <c r="AR21" i="6" s="1"/>
  <c r="V21" i="6"/>
  <c r="S21" i="6"/>
  <c r="R21" i="6"/>
  <c r="N21" i="6"/>
  <c r="BC21" i="6" s="1"/>
  <c r="BD21" i="6" s="1"/>
  <c r="M21" i="6"/>
  <c r="BA21" i="6" s="1"/>
  <c r="BB21" i="6" s="1"/>
  <c r="L21" i="6"/>
  <c r="K21" i="6"/>
  <c r="J21" i="6"/>
  <c r="I21" i="6"/>
  <c r="AS21" i="6" s="1"/>
  <c r="AT21" i="6" s="1"/>
  <c r="H21" i="6"/>
  <c r="G21" i="6"/>
  <c r="D21" i="6"/>
  <c r="C21" i="6"/>
  <c r="BC20" i="6"/>
  <c r="BD20" i="6" s="1"/>
  <c r="BA20" i="6"/>
  <c r="BB20" i="6" s="1"/>
  <c r="AZ20" i="6"/>
  <c r="AY20" i="6"/>
  <c r="AX20" i="6"/>
  <c r="AW20" i="6"/>
  <c r="AU20" i="6"/>
  <c r="AV20" i="6" s="1"/>
  <c r="AS20" i="6"/>
  <c r="AT20" i="6" s="1"/>
  <c r="AR20" i="6"/>
  <c r="AQ20" i="6"/>
  <c r="AO20" i="6"/>
  <c r="AP20" i="6" s="1"/>
  <c r="AI20" i="6"/>
  <c r="AJ20" i="6" s="1"/>
  <c r="AG20" i="6"/>
  <c r="AH20" i="6" s="1"/>
  <c r="AM20" i="6"/>
  <c r="AN20" i="6" s="1"/>
  <c r="BD19" i="6"/>
  <c r="BC19" i="6"/>
  <c r="BB19" i="6"/>
  <c r="BA19" i="6"/>
  <c r="AZ19" i="6"/>
  <c r="AY19" i="6"/>
  <c r="AW19" i="6"/>
  <c r="AX19" i="6" s="1"/>
  <c r="AU19" i="6"/>
  <c r="AV19" i="6" s="1"/>
  <c r="AT19" i="6"/>
  <c r="AS19" i="6"/>
  <c r="AQ19" i="6"/>
  <c r="AR19" i="6" s="1"/>
  <c r="AO19" i="6"/>
  <c r="AP19" i="6" s="1"/>
  <c r="AI19" i="6"/>
  <c r="AJ19" i="6" s="1"/>
  <c r="AG19" i="6"/>
  <c r="AH19" i="6" s="1"/>
  <c r="AM19" i="6"/>
  <c r="AN19" i="6" s="1"/>
  <c r="AK19" i="6"/>
  <c r="AL19" i="6" s="1"/>
  <c r="BD18" i="6"/>
  <c r="BC18" i="6"/>
  <c r="BA18" i="6"/>
  <c r="BB18" i="6" s="1"/>
  <c r="AZ18" i="6"/>
  <c r="AY18" i="6"/>
  <c r="AW18" i="6"/>
  <c r="AX18" i="6" s="1"/>
  <c r="AV18" i="6"/>
  <c r="AU18" i="6"/>
  <c r="AS18" i="6"/>
  <c r="AT18" i="6" s="1"/>
  <c r="AQ18" i="6"/>
  <c r="AR18" i="6" s="1"/>
  <c r="AO18" i="6"/>
  <c r="AP18" i="6" s="1"/>
  <c r="AI18" i="6"/>
  <c r="AJ18" i="6" s="1"/>
  <c r="AG18" i="6"/>
  <c r="AH18" i="6" s="1"/>
  <c r="AM18" i="6"/>
  <c r="AN18" i="6" s="1"/>
  <c r="BC17" i="6"/>
  <c r="BD17" i="6" s="1"/>
  <c r="BB17" i="6"/>
  <c r="BA17" i="6"/>
  <c r="AY17" i="6"/>
  <c r="AZ17" i="6" s="1"/>
  <c r="AW17" i="6"/>
  <c r="AX17" i="6" s="1"/>
  <c r="AU17" i="6"/>
  <c r="AV17" i="6" s="1"/>
  <c r="AS17" i="6"/>
  <c r="AT17" i="6" s="1"/>
  <c r="AR17" i="6"/>
  <c r="AQ17" i="6"/>
  <c r="AO17" i="6"/>
  <c r="AP17" i="6" s="1"/>
  <c r="AI17" i="6"/>
  <c r="AJ17" i="6" s="1"/>
  <c r="AG17" i="6"/>
  <c r="AH17" i="6" s="1"/>
  <c r="U21" i="6"/>
  <c r="T21" i="6"/>
  <c r="AK17" i="6"/>
  <c r="AL17" i="6" s="1"/>
  <c r="AC10" i="6"/>
  <c r="AB10" i="6"/>
  <c r="AA10" i="6"/>
  <c r="Z10" i="6"/>
  <c r="Y10" i="6"/>
  <c r="X10" i="6"/>
  <c r="W10" i="6"/>
  <c r="AQ10" i="6" s="1"/>
  <c r="AR10" i="6" s="1"/>
  <c r="V10" i="6"/>
  <c r="U10" i="6"/>
  <c r="T10" i="6"/>
  <c r="S10" i="6"/>
  <c r="R10" i="6"/>
  <c r="N10" i="6"/>
  <c r="BC10" i="6" s="1"/>
  <c r="BD10" i="6" s="1"/>
  <c r="M10" i="6"/>
  <c r="BA10" i="6" s="1"/>
  <c r="BB10" i="6" s="1"/>
  <c r="L10" i="6"/>
  <c r="AY10" i="6" s="1"/>
  <c r="AZ10" i="6" s="1"/>
  <c r="K10" i="6"/>
  <c r="J10" i="6"/>
  <c r="I10" i="6"/>
  <c r="AS10" i="6" s="1"/>
  <c r="AT10" i="6" s="1"/>
  <c r="H10" i="6"/>
  <c r="G10" i="6"/>
  <c r="F10" i="6"/>
  <c r="E10" i="6"/>
  <c r="D10" i="6"/>
  <c r="C10" i="6"/>
  <c r="BD9" i="6"/>
  <c r="BC9" i="6"/>
  <c r="BA9" i="6"/>
  <c r="BB9" i="6" s="1"/>
  <c r="AY9" i="6"/>
  <c r="AZ9" i="6" s="1"/>
  <c r="AX9" i="6"/>
  <c r="AW9" i="6"/>
  <c r="AU9" i="6"/>
  <c r="AV9" i="6" s="1"/>
  <c r="AS9" i="6"/>
  <c r="AT9" i="6" s="1"/>
  <c r="AQ9" i="6"/>
  <c r="AR9" i="6" s="1"/>
  <c r="AO9" i="6"/>
  <c r="AP9" i="6" s="1"/>
  <c r="AM9" i="6"/>
  <c r="AN9" i="6" s="1"/>
  <c r="AK9" i="6"/>
  <c r="AL9" i="6" s="1"/>
  <c r="AI9" i="6"/>
  <c r="AJ9" i="6" s="1"/>
  <c r="AG9" i="6"/>
  <c r="AH9" i="6" s="1"/>
  <c r="BC8" i="6"/>
  <c r="BD8" i="6" s="1"/>
  <c r="BA8" i="6"/>
  <c r="BB8" i="6" s="1"/>
  <c r="AZ8" i="6"/>
  <c r="AY8" i="6"/>
  <c r="AW8" i="6"/>
  <c r="AX8" i="6" s="1"/>
  <c r="AU8" i="6"/>
  <c r="AV8" i="6" s="1"/>
  <c r="AS8" i="6"/>
  <c r="AT8" i="6" s="1"/>
  <c r="AR8" i="6"/>
  <c r="AQ8" i="6"/>
  <c r="AO8" i="6"/>
  <c r="AP8" i="6" s="1"/>
  <c r="AM8" i="6"/>
  <c r="AN8" i="6" s="1"/>
  <c r="AK8" i="6"/>
  <c r="AL8" i="6" s="1"/>
  <c r="AI8" i="6"/>
  <c r="AJ8" i="6" s="1"/>
  <c r="AG8" i="6"/>
  <c r="AH8" i="6" s="1"/>
  <c r="BD7" i="6"/>
  <c r="BC7" i="6"/>
  <c r="BA7" i="6"/>
  <c r="BB7" i="6" s="1"/>
  <c r="AZ7" i="6"/>
  <c r="AY7" i="6"/>
  <c r="AW7" i="6"/>
  <c r="AX7" i="6" s="1"/>
  <c r="AU7" i="6"/>
  <c r="AV7" i="6" s="1"/>
  <c r="AS7" i="6"/>
  <c r="AT7" i="6" s="1"/>
  <c r="AR7" i="6"/>
  <c r="AQ7" i="6"/>
  <c r="AP7" i="6"/>
  <c r="AO7" i="6"/>
  <c r="AM7" i="6"/>
  <c r="AN7" i="6" s="1"/>
  <c r="AK7" i="6"/>
  <c r="AL7" i="6" s="1"/>
  <c r="AI7" i="6"/>
  <c r="AJ7" i="6" s="1"/>
  <c r="AG7" i="6"/>
  <c r="AH7" i="6" s="1"/>
  <c r="BD6" i="6"/>
  <c r="BC6" i="6"/>
  <c r="BA6" i="6"/>
  <c r="BB6" i="6" s="1"/>
  <c r="AY6" i="6"/>
  <c r="AZ6" i="6" s="1"/>
  <c r="AW6" i="6"/>
  <c r="AX6" i="6" s="1"/>
  <c r="AV6" i="6"/>
  <c r="AU6" i="6"/>
  <c r="AS6" i="6"/>
  <c r="AT6" i="6" s="1"/>
  <c r="AQ6" i="6"/>
  <c r="AR6" i="6" s="1"/>
  <c r="AP6" i="6"/>
  <c r="AO6" i="6"/>
  <c r="AM6" i="6"/>
  <c r="AN6" i="6" s="1"/>
  <c r="AK6" i="6"/>
  <c r="AL6" i="6" s="1"/>
  <c r="AI6" i="6"/>
  <c r="AJ6" i="6" s="1"/>
  <c r="AG6" i="6"/>
  <c r="AH6" i="6" s="1"/>
  <c r="BC5" i="6"/>
  <c r="BD5" i="6" s="1"/>
  <c r="BA5" i="6"/>
  <c r="BB5" i="6" s="1"/>
  <c r="AY5" i="6"/>
  <c r="AZ5" i="6" s="1"/>
  <c r="AW5" i="6"/>
  <c r="AX5" i="6" s="1"/>
  <c r="AU5" i="6"/>
  <c r="AV5" i="6" s="1"/>
  <c r="AS5" i="6"/>
  <c r="AT5" i="6" s="1"/>
  <c r="AR5" i="6"/>
  <c r="AQ5" i="6"/>
  <c r="AO5" i="6"/>
  <c r="AP5" i="6" s="1"/>
  <c r="AM5" i="6"/>
  <c r="AN5" i="6" s="1"/>
  <c r="AK5" i="6"/>
  <c r="AL5" i="6" s="1"/>
  <c r="AJ5" i="6"/>
  <c r="AI5" i="6"/>
  <c r="AH5" i="6"/>
  <c r="AG5" i="6"/>
  <c r="AC61" i="5"/>
  <c r="AB61" i="5"/>
  <c r="AA61" i="5"/>
  <c r="Z61" i="5"/>
  <c r="Y61" i="5"/>
  <c r="X61" i="5"/>
  <c r="W61" i="5"/>
  <c r="V61" i="5"/>
  <c r="U61" i="5"/>
  <c r="T61" i="5"/>
  <c r="S61" i="5"/>
  <c r="R61" i="5"/>
  <c r="N61" i="5"/>
  <c r="BC61" i="5" s="1"/>
  <c r="BD61" i="5" s="1"/>
  <c r="M61" i="5"/>
  <c r="L61" i="5"/>
  <c r="K61" i="5"/>
  <c r="AW61" i="5" s="1"/>
  <c r="AX61" i="5" s="1"/>
  <c r="J61" i="5"/>
  <c r="AU61" i="5" s="1"/>
  <c r="AV61" i="5" s="1"/>
  <c r="I61" i="5"/>
  <c r="AS61" i="5" s="1"/>
  <c r="AT61" i="5" s="1"/>
  <c r="H61" i="5"/>
  <c r="AQ61" i="5" s="1"/>
  <c r="AR61" i="5" s="1"/>
  <c r="G61" i="5"/>
  <c r="F61" i="5"/>
  <c r="E61" i="5"/>
  <c r="D61" i="5"/>
  <c r="C61" i="5"/>
  <c r="BC60" i="5"/>
  <c r="BD60" i="5" s="1"/>
  <c r="BA60" i="5"/>
  <c r="BB60" i="5" s="1"/>
  <c r="AY60" i="5"/>
  <c r="AZ60" i="5" s="1"/>
  <c r="AX60" i="5"/>
  <c r="AW60" i="5"/>
  <c r="AU60" i="5"/>
  <c r="AV60" i="5" s="1"/>
  <c r="AS60" i="5"/>
  <c r="AT60" i="5" s="1"/>
  <c r="AQ60" i="5"/>
  <c r="AR60" i="5" s="1"/>
  <c r="AO60" i="5"/>
  <c r="AP60" i="5" s="1"/>
  <c r="AM60" i="5"/>
  <c r="AN60" i="5" s="1"/>
  <c r="AK60" i="5"/>
  <c r="AL60" i="5" s="1"/>
  <c r="AI60" i="5"/>
  <c r="AJ60" i="5" s="1"/>
  <c r="AG60" i="5"/>
  <c r="AH60" i="5" s="1"/>
  <c r="BC59" i="5"/>
  <c r="BD59" i="5" s="1"/>
  <c r="BA59" i="5"/>
  <c r="BB59" i="5" s="1"/>
  <c r="AY59" i="5"/>
  <c r="AZ59" i="5" s="1"/>
  <c r="AW59" i="5"/>
  <c r="AX59" i="5" s="1"/>
  <c r="AU59" i="5"/>
  <c r="AV59" i="5" s="1"/>
  <c r="AS59" i="5"/>
  <c r="AT59" i="5" s="1"/>
  <c r="AQ59" i="5"/>
  <c r="AR59" i="5" s="1"/>
  <c r="AO59" i="5"/>
  <c r="AP59" i="5" s="1"/>
  <c r="AM59" i="5"/>
  <c r="AN59" i="5" s="1"/>
  <c r="AK59" i="5"/>
  <c r="AL59" i="5" s="1"/>
  <c r="AI59" i="5"/>
  <c r="AJ59" i="5" s="1"/>
  <c r="AG59" i="5"/>
  <c r="AH59" i="5" s="1"/>
  <c r="BC58" i="5"/>
  <c r="BD58" i="5" s="1"/>
  <c r="BA58" i="5"/>
  <c r="BB58" i="5" s="1"/>
  <c r="AY58" i="5"/>
  <c r="AZ58" i="5" s="1"/>
  <c r="AX58" i="5"/>
  <c r="AW58" i="5"/>
  <c r="AU58" i="5"/>
  <c r="AV58" i="5" s="1"/>
  <c r="AS58" i="5"/>
  <c r="AT58" i="5" s="1"/>
  <c r="AQ58" i="5"/>
  <c r="AR58" i="5" s="1"/>
  <c r="AO58" i="5"/>
  <c r="AP58" i="5" s="1"/>
  <c r="AM58" i="5"/>
  <c r="AN58" i="5" s="1"/>
  <c r="AK58" i="5"/>
  <c r="AL58" i="5" s="1"/>
  <c r="AI58" i="5"/>
  <c r="AJ58" i="5" s="1"/>
  <c r="AG58" i="5"/>
  <c r="AH58" i="5" s="1"/>
  <c r="BC57" i="5"/>
  <c r="BD57" i="5" s="1"/>
  <c r="BA57" i="5"/>
  <c r="BB57" i="5" s="1"/>
  <c r="AY57" i="5"/>
  <c r="AZ57" i="5" s="1"/>
  <c r="AW57" i="5"/>
  <c r="AX57" i="5" s="1"/>
  <c r="AU57" i="5"/>
  <c r="AV57" i="5" s="1"/>
  <c r="AS57" i="5"/>
  <c r="AT57" i="5" s="1"/>
  <c r="AQ57" i="5"/>
  <c r="AR57" i="5" s="1"/>
  <c r="AO57" i="5"/>
  <c r="AP57" i="5" s="1"/>
  <c r="AM57" i="5"/>
  <c r="AN57" i="5" s="1"/>
  <c r="AK57" i="5"/>
  <c r="AL57" i="5" s="1"/>
  <c r="AI57" i="5"/>
  <c r="AJ57" i="5" s="1"/>
  <c r="AG57" i="5"/>
  <c r="AH57" i="5" s="1"/>
  <c r="BC56" i="5"/>
  <c r="BD56" i="5" s="1"/>
  <c r="BA56" i="5"/>
  <c r="BB56" i="5" s="1"/>
  <c r="AY56" i="5"/>
  <c r="AZ56" i="5" s="1"/>
  <c r="AW56" i="5"/>
  <c r="AX56" i="5" s="1"/>
  <c r="AU56" i="5"/>
  <c r="AV56" i="5" s="1"/>
  <c r="AS56" i="5"/>
  <c r="AT56" i="5" s="1"/>
  <c r="AQ56" i="5"/>
  <c r="AR56" i="5" s="1"/>
  <c r="AO56" i="5"/>
  <c r="AP56" i="5" s="1"/>
  <c r="AM56" i="5"/>
  <c r="AN56" i="5" s="1"/>
  <c r="AK56" i="5"/>
  <c r="AL56" i="5" s="1"/>
  <c r="AI56" i="5"/>
  <c r="AJ56" i="5" s="1"/>
  <c r="AG56" i="5"/>
  <c r="AH56" i="5" s="1"/>
  <c r="BC55" i="5"/>
  <c r="BD55" i="5" s="1"/>
  <c r="BA55" i="5"/>
  <c r="BB55" i="5" s="1"/>
  <c r="AY55" i="5"/>
  <c r="AZ55" i="5" s="1"/>
  <c r="AX55" i="5"/>
  <c r="AW55" i="5"/>
  <c r="AU55" i="5"/>
  <c r="AV55" i="5" s="1"/>
  <c r="AS55" i="5"/>
  <c r="AT55" i="5" s="1"/>
  <c r="AQ55" i="5"/>
  <c r="AR55" i="5" s="1"/>
  <c r="AP55" i="5"/>
  <c r="AO55" i="5"/>
  <c r="AM55" i="5"/>
  <c r="AN55" i="5" s="1"/>
  <c r="AK55" i="5"/>
  <c r="AL55" i="5" s="1"/>
  <c r="AI55" i="5"/>
  <c r="AJ55" i="5" s="1"/>
  <c r="AG55" i="5"/>
  <c r="AH55" i="5" s="1"/>
  <c r="BC54" i="5"/>
  <c r="BD54" i="5" s="1"/>
  <c r="BA54" i="5"/>
  <c r="BB54" i="5" s="1"/>
  <c r="AY54" i="5"/>
  <c r="AZ54" i="5" s="1"/>
  <c r="AW54" i="5"/>
  <c r="AX54" i="5" s="1"/>
  <c r="AU54" i="5"/>
  <c r="AV54" i="5" s="1"/>
  <c r="AS54" i="5"/>
  <c r="AT54" i="5" s="1"/>
  <c r="AQ54" i="5"/>
  <c r="AR54" i="5" s="1"/>
  <c r="AO54" i="5"/>
  <c r="AP54" i="5" s="1"/>
  <c r="AM54" i="5"/>
  <c r="AN54" i="5" s="1"/>
  <c r="AK54" i="5"/>
  <c r="AL54" i="5" s="1"/>
  <c r="AI54" i="5"/>
  <c r="AJ54" i="5" s="1"/>
  <c r="AG54" i="5"/>
  <c r="AH54" i="5" s="1"/>
  <c r="BC53" i="5"/>
  <c r="BD53" i="5" s="1"/>
  <c r="BA53" i="5"/>
  <c r="BB53" i="5" s="1"/>
  <c r="AY53" i="5"/>
  <c r="AZ53" i="5" s="1"/>
  <c r="AW53" i="5"/>
  <c r="AX53" i="5" s="1"/>
  <c r="AU53" i="5"/>
  <c r="AV53" i="5" s="1"/>
  <c r="AS53" i="5"/>
  <c r="AT53" i="5" s="1"/>
  <c r="AQ53" i="5"/>
  <c r="AR53" i="5" s="1"/>
  <c r="AO53" i="5"/>
  <c r="AP53" i="5" s="1"/>
  <c r="AM53" i="5"/>
  <c r="AN53" i="5" s="1"/>
  <c r="AK53" i="5"/>
  <c r="AL53" i="5" s="1"/>
  <c r="AI53" i="5"/>
  <c r="AJ53" i="5" s="1"/>
  <c r="AG53" i="5"/>
  <c r="AH53" i="5" s="1"/>
  <c r="BC52" i="5"/>
  <c r="BD52" i="5" s="1"/>
  <c r="BA52" i="5"/>
  <c r="BB52" i="5" s="1"/>
  <c r="AY52" i="5"/>
  <c r="AZ52" i="5" s="1"/>
  <c r="AW52" i="5"/>
  <c r="AX52" i="5" s="1"/>
  <c r="AU52" i="5"/>
  <c r="AV52" i="5" s="1"/>
  <c r="AS52" i="5"/>
  <c r="AT52" i="5" s="1"/>
  <c r="AQ52" i="5"/>
  <c r="AR52" i="5" s="1"/>
  <c r="AO52" i="5"/>
  <c r="AP52" i="5" s="1"/>
  <c r="AM52" i="5"/>
  <c r="AN52" i="5" s="1"/>
  <c r="AK52" i="5"/>
  <c r="AL52" i="5" s="1"/>
  <c r="AI52" i="5"/>
  <c r="AJ52" i="5" s="1"/>
  <c r="AG52" i="5"/>
  <c r="AH52" i="5" s="1"/>
  <c r="BC51" i="5"/>
  <c r="BD51" i="5" s="1"/>
  <c r="BA51" i="5"/>
  <c r="BB51" i="5" s="1"/>
  <c r="AY51" i="5"/>
  <c r="AZ51" i="5" s="1"/>
  <c r="AW51" i="5"/>
  <c r="AX51" i="5" s="1"/>
  <c r="AU51" i="5"/>
  <c r="AV51" i="5" s="1"/>
  <c r="AS51" i="5"/>
  <c r="AT51" i="5" s="1"/>
  <c r="AQ51" i="5"/>
  <c r="AR51" i="5" s="1"/>
  <c r="AO51" i="5"/>
  <c r="AP51" i="5" s="1"/>
  <c r="AM51" i="5"/>
  <c r="AN51" i="5" s="1"/>
  <c r="AK51" i="5"/>
  <c r="AL51" i="5" s="1"/>
  <c r="AI51" i="5"/>
  <c r="AJ51" i="5" s="1"/>
  <c r="AG51" i="5"/>
  <c r="AH51" i="5" s="1"/>
  <c r="BC50" i="5"/>
  <c r="BD50" i="5" s="1"/>
  <c r="BA50" i="5"/>
  <c r="BB50" i="5" s="1"/>
  <c r="AY50" i="5"/>
  <c r="AZ50" i="5" s="1"/>
  <c r="AW50" i="5"/>
  <c r="AX50" i="5" s="1"/>
  <c r="AU50" i="5"/>
  <c r="AV50" i="5" s="1"/>
  <c r="AS50" i="5"/>
  <c r="AT50" i="5" s="1"/>
  <c r="AQ50" i="5"/>
  <c r="AR50" i="5" s="1"/>
  <c r="AO50" i="5"/>
  <c r="AP50" i="5" s="1"/>
  <c r="AM50" i="5"/>
  <c r="AN50" i="5" s="1"/>
  <c r="AK50" i="5"/>
  <c r="AL50" i="5" s="1"/>
  <c r="AI50" i="5"/>
  <c r="AJ50" i="5" s="1"/>
  <c r="AG50" i="5"/>
  <c r="AH50" i="5" s="1"/>
  <c r="BC49" i="5"/>
  <c r="BD49" i="5" s="1"/>
  <c r="BA49" i="5"/>
  <c r="BB49" i="5" s="1"/>
  <c r="AY49" i="5"/>
  <c r="AZ49" i="5" s="1"/>
  <c r="AW49" i="5"/>
  <c r="AX49" i="5" s="1"/>
  <c r="AU49" i="5"/>
  <c r="AV49" i="5" s="1"/>
  <c r="AS49" i="5"/>
  <c r="AT49" i="5" s="1"/>
  <c r="AQ49" i="5"/>
  <c r="AR49" i="5" s="1"/>
  <c r="AO49" i="5"/>
  <c r="AP49" i="5" s="1"/>
  <c r="AM49" i="5"/>
  <c r="AN49" i="5" s="1"/>
  <c r="AK49" i="5"/>
  <c r="AL49" i="5" s="1"/>
  <c r="AI49" i="5"/>
  <c r="AJ49" i="5" s="1"/>
  <c r="AG49" i="5"/>
  <c r="AH49" i="5" s="1"/>
  <c r="BC48" i="5"/>
  <c r="BD48" i="5" s="1"/>
  <c r="BA48" i="5"/>
  <c r="BB48" i="5" s="1"/>
  <c r="AY48" i="5"/>
  <c r="AZ48" i="5" s="1"/>
  <c r="AX48" i="5"/>
  <c r="AW48" i="5"/>
  <c r="AU48" i="5"/>
  <c r="AV48" i="5" s="1"/>
  <c r="AS48" i="5"/>
  <c r="AT48" i="5" s="1"/>
  <c r="AQ48" i="5"/>
  <c r="AR48" i="5" s="1"/>
  <c r="AO48" i="5"/>
  <c r="AP48" i="5" s="1"/>
  <c r="AM48" i="5"/>
  <c r="AN48" i="5" s="1"/>
  <c r="AK48" i="5"/>
  <c r="AL48" i="5" s="1"/>
  <c r="AI48" i="5"/>
  <c r="AJ48" i="5" s="1"/>
  <c r="AG48" i="5"/>
  <c r="AH48" i="5" s="1"/>
  <c r="BC47" i="5"/>
  <c r="BD47" i="5" s="1"/>
  <c r="BA47" i="5"/>
  <c r="BB47" i="5" s="1"/>
  <c r="AY47" i="5"/>
  <c r="AZ47" i="5" s="1"/>
  <c r="AW47" i="5"/>
  <c r="AX47" i="5" s="1"/>
  <c r="AU47" i="5"/>
  <c r="AV47" i="5" s="1"/>
  <c r="AS47" i="5"/>
  <c r="AT47" i="5" s="1"/>
  <c r="AQ47" i="5"/>
  <c r="AR47" i="5" s="1"/>
  <c r="AP47" i="5"/>
  <c r="AO47" i="5"/>
  <c r="AM47" i="5"/>
  <c r="AN47" i="5" s="1"/>
  <c r="AK47" i="5"/>
  <c r="AL47" i="5" s="1"/>
  <c r="AI47" i="5"/>
  <c r="AJ47" i="5" s="1"/>
  <c r="AG47" i="5"/>
  <c r="AH47" i="5" s="1"/>
  <c r="AC41" i="5"/>
  <c r="AB41" i="5"/>
  <c r="AA41" i="5"/>
  <c r="Z41" i="5"/>
  <c r="Y41" i="5"/>
  <c r="X41" i="5"/>
  <c r="W41" i="5"/>
  <c r="AQ41" i="5" s="1"/>
  <c r="AR41" i="5" s="1"/>
  <c r="V41" i="5"/>
  <c r="U41" i="5"/>
  <c r="AM41" i="5" s="1"/>
  <c r="AN41" i="5" s="1"/>
  <c r="T41" i="5"/>
  <c r="S41" i="5"/>
  <c r="R41" i="5"/>
  <c r="N41" i="5"/>
  <c r="BC41" i="5" s="1"/>
  <c r="BD41" i="5" s="1"/>
  <c r="M41" i="5"/>
  <c r="L41" i="5"/>
  <c r="K41" i="5"/>
  <c r="J41" i="5"/>
  <c r="AU41" i="5" s="1"/>
  <c r="AV41" i="5" s="1"/>
  <c r="I41" i="5"/>
  <c r="H41" i="5"/>
  <c r="G41" i="5"/>
  <c r="AO41" i="5" s="1"/>
  <c r="AP41" i="5" s="1"/>
  <c r="F41" i="5"/>
  <c r="E41" i="5"/>
  <c r="D41" i="5"/>
  <c r="C41" i="5"/>
  <c r="BC40" i="5"/>
  <c r="BD40" i="5" s="1"/>
  <c r="BA40" i="5"/>
  <c r="BB40" i="5" s="1"/>
  <c r="AY40" i="5"/>
  <c r="AZ40" i="5" s="1"/>
  <c r="AX40" i="5"/>
  <c r="AW40" i="5"/>
  <c r="AU40" i="5"/>
  <c r="AV40" i="5" s="1"/>
  <c r="AS40" i="5"/>
  <c r="AT40" i="5" s="1"/>
  <c r="AQ40" i="5"/>
  <c r="AR40" i="5" s="1"/>
  <c r="AO40" i="5"/>
  <c r="AP40" i="5" s="1"/>
  <c r="AM40" i="5"/>
  <c r="AN40" i="5" s="1"/>
  <c r="AK40" i="5"/>
  <c r="AL40" i="5" s="1"/>
  <c r="AI40" i="5"/>
  <c r="AJ40" i="5" s="1"/>
  <c r="AH40" i="5"/>
  <c r="AG40" i="5"/>
  <c r="BC39" i="5"/>
  <c r="BD39" i="5" s="1"/>
  <c r="BA39" i="5"/>
  <c r="BB39" i="5" s="1"/>
  <c r="AY39" i="5"/>
  <c r="AZ39" i="5" s="1"/>
  <c r="AX39" i="5"/>
  <c r="AW39" i="5"/>
  <c r="AU39" i="5"/>
  <c r="AV39" i="5" s="1"/>
  <c r="AS39" i="5"/>
  <c r="AT39" i="5" s="1"/>
  <c r="AQ39" i="5"/>
  <c r="AR39" i="5" s="1"/>
  <c r="AP39" i="5"/>
  <c r="AO39" i="5"/>
  <c r="AM39" i="5"/>
  <c r="AN39" i="5" s="1"/>
  <c r="AK39" i="5"/>
  <c r="AL39" i="5" s="1"/>
  <c r="AI39" i="5"/>
  <c r="AJ39" i="5" s="1"/>
  <c r="AG39" i="5"/>
  <c r="AH39" i="5" s="1"/>
  <c r="BC38" i="5"/>
  <c r="BD38" i="5" s="1"/>
  <c r="BA38" i="5"/>
  <c r="BB38" i="5" s="1"/>
  <c r="AY38" i="5"/>
  <c r="AZ38" i="5" s="1"/>
  <c r="AX38" i="5"/>
  <c r="AW38" i="5"/>
  <c r="AU38" i="5"/>
  <c r="AV38" i="5" s="1"/>
  <c r="AS38" i="5"/>
  <c r="AT38" i="5" s="1"/>
  <c r="AQ38" i="5"/>
  <c r="AR38" i="5" s="1"/>
  <c r="AO38" i="5"/>
  <c r="AP38" i="5" s="1"/>
  <c r="AM38" i="5"/>
  <c r="AN38" i="5" s="1"/>
  <c r="AK38" i="5"/>
  <c r="AL38" i="5" s="1"/>
  <c r="AI38" i="5"/>
  <c r="AJ38" i="5" s="1"/>
  <c r="AG38" i="5"/>
  <c r="AH38" i="5" s="1"/>
  <c r="BC37" i="5"/>
  <c r="BD37" i="5" s="1"/>
  <c r="BA37" i="5"/>
  <c r="BB37" i="5" s="1"/>
  <c r="AY37" i="5"/>
  <c r="AZ37" i="5" s="1"/>
  <c r="AW37" i="5"/>
  <c r="AX37" i="5" s="1"/>
  <c r="AU37" i="5"/>
  <c r="AV37" i="5" s="1"/>
  <c r="AS37" i="5"/>
  <c r="AT37" i="5" s="1"/>
  <c r="AQ37" i="5"/>
  <c r="AR37" i="5" s="1"/>
  <c r="AO37" i="5"/>
  <c r="AP37" i="5" s="1"/>
  <c r="AM37" i="5"/>
  <c r="AN37" i="5" s="1"/>
  <c r="AK37" i="5"/>
  <c r="AL37" i="5" s="1"/>
  <c r="AI37" i="5"/>
  <c r="AJ37" i="5" s="1"/>
  <c r="AG37" i="5"/>
  <c r="AH37" i="5" s="1"/>
  <c r="BC36" i="5"/>
  <c r="BD36" i="5" s="1"/>
  <c r="BA36" i="5"/>
  <c r="BB36" i="5" s="1"/>
  <c r="AY36" i="5"/>
  <c r="AZ36" i="5" s="1"/>
  <c r="AW36" i="5"/>
  <c r="AX36" i="5" s="1"/>
  <c r="AU36" i="5"/>
  <c r="AV36" i="5" s="1"/>
  <c r="AS36" i="5"/>
  <c r="AT36" i="5" s="1"/>
  <c r="AQ36" i="5"/>
  <c r="AR36" i="5" s="1"/>
  <c r="AO36" i="5"/>
  <c r="AP36" i="5" s="1"/>
  <c r="AM36" i="5"/>
  <c r="AN36" i="5" s="1"/>
  <c r="AK36" i="5"/>
  <c r="AL36" i="5" s="1"/>
  <c r="AI36" i="5"/>
  <c r="AJ36" i="5" s="1"/>
  <c r="AG36" i="5"/>
  <c r="AH36" i="5" s="1"/>
  <c r="BC35" i="5"/>
  <c r="BD35" i="5" s="1"/>
  <c r="BA35" i="5"/>
  <c r="BB35" i="5" s="1"/>
  <c r="AY35" i="5"/>
  <c r="AZ35" i="5" s="1"/>
  <c r="AX35" i="5"/>
  <c r="AW35" i="5"/>
  <c r="AU35" i="5"/>
  <c r="AV35" i="5" s="1"/>
  <c r="AS35" i="5"/>
  <c r="AT35" i="5" s="1"/>
  <c r="AQ35" i="5"/>
  <c r="AR35" i="5" s="1"/>
  <c r="AO35" i="5"/>
  <c r="AP35" i="5" s="1"/>
  <c r="AM35" i="5"/>
  <c r="AN35" i="5" s="1"/>
  <c r="AK35" i="5"/>
  <c r="AL35" i="5" s="1"/>
  <c r="AI35" i="5"/>
  <c r="AJ35" i="5" s="1"/>
  <c r="AG35" i="5"/>
  <c r="AH35" i="5" s="1"/>
  <c r="BC34" i="5"/>
  <c r="BD34" i="5" s="1"/>
  <c r="BA34" i="5"/>
  <c r="BB34" i="5" s="1"/>
  <c r="AY34" i="5"/>
  <c r="AZ34" i="5" s="1"/>
  <c r="AW34" i="5"/>
  <c r="AX34" i="5" s="1"/>
  <c r="AU34" i="5"/>
  <c r="AV34" i="5" s="1"/>
  <c r="AS34" i="5"/>
  <c r="AT34" i="5" s="1"/>
  <c r="AQ34" i="5"/>
  <c r="AR34" i="5" s="1"/>
  <c r="AO34" i="5"/>
  <c r="AP34" i="5" s="1"/>
  <c r="AM34" i="5"/>
  <c r="AN34" i="5" s="1"/>
  <c r="AK34" i="5"/>
  <c r="AL34" i="5" s="1"/>
  <c r="AI34" i="5"/>
  <c r="AJ34" i="5" s="1"/>
  <c r="AG34" i="5"/>
  <c r="AH34" i="5" s="1"/>
  <c r="BC33" i="5"/>
  <c r="BD33" i="5" s="1"/>
  <c r="BA33" i="5"/>
  <c r="BB33" i="5" s="1"/>
  <c r="AY33" i="5"/>
  <c r="AZ33" i="5" s="1"/>
  <c r="AW33" i="5"/>
  <c r="AX33" i="5" s="1"/>
  <c r="AU33" i="5"/>
  <c r="AV33" i="5" s="1"/>
  <c r="AS33" i="5"/>
  <c r="AT33" i="5" s="1"/>
  <c r="AQ33" i="5"/>
  <c r="AR33" i="5" s="1"/>
  <c r="AO33" i="5"/>
  <c r="AP33" i="5" s="1"/>
  <c r="AM33" i="5"/>
  <c r="AN33" i="5" s="1"/>
  <c r="AK33" i="5"/>
  <c r="AL33" i="5" s="1"/>
  <c r="AI33" i="5"/>
  <c r="AJ33" i="5" s="1"/>
  <c r="AG33" i="5"/>
  <c r="AH33" i="5" s="1"/>
  <c r="BC32" i="5"/>
  <c r="BD32" i="5" s="1"/>
  <c r="BA32" i="5"/>
  <c r="BB32" i="5" s="1"/>
  <c r="AY32" i="5"/>
  <c r="AZ32" i="5" s="1"/>
  <c r="AW32" i="5"/>
  <c r="AX32" i="5" s="1"/>
  <c r="AU32" i="5"/>
  <c r="AV32" i="5" s="1"/>
  <c r="AS32" i="5"/>
  <c r="AT32" i="5" s="1"/>
  <c r="AQ32" i="5"/>
  <c r="AR32" i="5" s="1"/>
  <c r="AO32" i="5"/>
  <c r="AP32" i="5" s="1"/>
  <c r="AM32" i="5"/>
  <c r="AN32" i="5" s="1"/>
  <c r="AK32" i="5"/>
  <c r="AL32" i="5" s="1"/>
  <c r="AI32" i="5"/>
  <c r="AJ32" i="5" s="1"/>
  <c r="AG32" i="5"/>
  <c r="AH32" i="5" s="1"/>
  <c r="BC31" i="5"/>
  <c r="BD31" i="5" s="1"/>
  <c r="BA31" i="5"/>
  <c r="BB31" i="5" s="1"/>
  <c r="AY31" i="5"/>
  <c r="AZ31" i="5" s="1"/>
  <c r="AW31" i="5"/>
  <c r="AX31" i="5" s="1"/>
  <c r="AU31" i="5"/>
  <c r="AV31" i="5" s="1"/>
  <c r="AS31" i="5"/>
  <c r="AT31" i="5" s="1"/>
  <c r="AQ31" i="5"/>
  <c r="AR31" i="5" s="1"/>
  <c r="AO31" i="5"/>
  <c r="AP31" i="5" s="1"/>
  <c r="AM31" i="5"/>
  <c r="AN31" i="5" s="1"/>
  <c r="AK31" i="5"/>
  <c r="AL31" i="5" s="1"/>
  <c r="AI31" i="5"/>
  <c r="AJ31" i="5" s="1"/>
  <c r="AG31" i="5"/>
  <c r="AH31" i="5" s="1"/>
  <c r="BC30" i="5"/>
  <c r="BD30" i="5" s="1"/>
  <c r="BA30" i="5"/>
  <c r="BB30" i="5" s="1"/>
  <c r="AY30" i="5"/>
  <c r="AZ30" i="5" s="1"/>
  <c r="AX30" i="5"/>
  <c r="AW30" i="5"/>
  <c r="AU30" i="5"/>
  <c r="AV30" i="5" s="1"/>
  <c r="AS30" i="5"/>
  <c r="AT30" i="5" s="1"/>
  <c r="AQ30" i="5"/>
  <c r="AR30" i="5" s="1"/>
  <c r="AO30" i="5"/>
  <c r="AP30" i="5" s="1"/>
  <c r="AM30" i="5"/>
  <c r="AN30" i="5" s="1"/>
  <c r="AK30" i="5"/>
  <c r="AL30" i="5" s="1"/>
  <c r="AI30" i="5"/>
  <c r="AJ30" i="5" s="1"/>
  <c r="AG30" i="5"/>
  <c r="AH30" i="5" s="1"/>
  <c r="BC29" i="5"/>
  <c r="BD29" i="5" s="1"/>
  <c r="BA29" i="5"/>
  <c r="BB29" i="5" s="1"/>
  <c r="AY29" i="5"/>
  <c r="AZ29" i="5" s="1"/>
  <c r="AW29" i="5"/>
  <c r="AX29" i="5" s="1"/>
  <c r="AU29" i="5"/>
  <c r="AV29" i="5" s="1"/>
  <c r="AS29" i="5"/>
  <c r="AT29" i="5" s="1"/>
  <c r="AQ29" i="5"/>
  <c r="AR29" i="5" s="1"/>
  <c r="AO29" i="5"/>
  <c r="AP29" i="5" s="1"/>
  <c r="AM29" i="5"/>
  <c r="AN29" i="5" s="1"/>
  <c r="AK29" i="5"/>
  <c r="AL29" i="5" s="1"/>
  <c r="AI29" i="5"/>
  <c r="AJ29" i="5" s="1"/>
  <c r="AG29" i="5"/>
  <c r="AH29" i="5" s="1"/>
  <c r="BC28" i="5"/>
  <c r="BD28" i="5" s="1"/>
  <c r="BA28" i="5"/>
  <c r="BB28" i="5" s="1"/>
  <c r="AY28" i="5"/>
  <c r="AZ28" i="5" s="1"/>
  <c r="AX28" i="5"/>
  <c r="AW28" i="5"/>
  <c r="AU28" i="5"/>
  <c r="AV28" i="5" s="1"/>
  <c r="AT28" i="5"/>
  <c r="AS28" i="5"/>
  <c r="AQ28" i="5"/>
  <c r="AR28" i="5" s="1"/>
  <c r="AO28" i="5"/>
  <c r="AP28" i="5" s="1"/>
  <c r="AM28" i="5"/>
  <c r="AN28" i="5" s="1"/>
  <c r="AK28" i="5"/>
  <c r="AL28" i="5" s="1"/>
  <c r="AI28" i="5"/>
  <c r="AJ28" i="5" s="1"/>
  <c r="AG28" i="5"/>
  <c r="AH28" i="5" s="1"/>
  <c r="BC27" i="5"/>
  <c r="BD27" i="5" s="1"/>
  <c r="BA27" i="5"/>
  <c r="BB27" i="5" s="1"/>
  <c r="AY27" i="5"/>
  <c r="AZ27" i="5" s="1"/>
  <c r="AW27" i="5"/>
  <c r="AX27" i="5" s="1"/>
  <c r="AU27" i="5"/>
  <c r="AV27" i="5" s="1"/>
  <c r="AT27" i="5"/>
  <c r="AS27" i="5"/>
  <c r="AQ27" i="5"/>
  <c r="AR27" i="5" s="1"/>
  <c r="AO27" i="5"/>
  <c r="AP27" i="5" s="1"/>
  <c r="AM27" i="5"/>
  <c r="AN27" i="5" s="1"/>
  <c r="AK27" i="5"/>
  <c r="AL27" i="5" s="1"/>
  <c r="AI27" i="5"/>
  <c r="AJ27" i="5" s="1"/>
  <c r="AG27" i="5"/>
  <c r="AH27" i="5" s="1"/>
  <c r="BC21" i="5"/>
  <c r="BD21" i="5" s="1"/>
  <c r="AC21" i="5"/>
  <c r="AB21" i="5"/>
  <c r="AA21" i="5"/>
  <c r="Z21" i="5"/>
  <c r="Y21" i="5"/>
  <c r="X21" i="5"/>
  <c r="W21" i="5"/>
  <c r="V21" i="5"/>
  <c r="S21" i="5"/>
  <c r="R21" i="5"/>
  <c r="N21" i="5"/>
  <c r="M21" i="5"/>
  <c r="BA21" i="5" s="1"/>
  <c r="BB21" i="5" s="1"/>
  <c r="L21" i="5"/>
  <c r="AY21" i="5" s="1"/>
  <c r="AZ21" i="5" s="1"/>
  <c r="K21" i="5"/>
  <c r="AW21" i="5" s="1"/>
  <c r="AX21" i="5" s="1"/>
  <c r="J21" i="5"/>
  <c r="AU21" i="5" s="1"/>
  <c r="AV21" i="5" s="1"/>
  <c r="I21" i="5"/>
  <c r="AS21" i="5" s="1"/>
  <c r="AT21" i="5" s="1"/>
  <c r="H21" i="5"/>
  <c r="AQ21" i="5" s="1"/>
  <c r="AR21" i="5" s="1"/>
  <c r="G21" i="5"/>
  <c r="AO21" i="5" s="1"/>
  <c r="AP21" i="5" s="1"/>
  <c r="E21" i="5"/>
  <c r="D21" i="5"/>
  <c r="C21" i="5"/>
  <c r="BC20" i="5"/>
  <c r="BD20" i="5" s="1"/>
  <c r="BA20" i="5"/>
  <c r="BB20" i="5" s="1"/>
  <c r="AY20" i="5"/>
  <c r="AZ20" i="5" s="1"/>
  <c r="AX20" i="5"/>
  <c r="AW20" i="5"/>
  <c r="AU20" i="5"/>
  <c r="AV20" i="5" s="1"/>
  <c r="AT20" i="5"/>
  <c r="AS20" i="5"/>
  <c r="AQ20" i="5"/>
  <c r="AR20" i="5" s="1"/>
  <c r="AO20" i="5"/>
  <c r="AP20" i="5" s="1"/>
  <c r="AI20" i="5"/>
  <c r="AJ20" i="5" s="1"/>
  <c r="AG20" i="5"/>
  <c r="AH20" i="5" s="1"/>
  <c r="AM20" i="5"/>
  <c r="AN20" i="5" s="1"/>
  <c r="AK20" i="5"/>
  <c r="AL20" i="5" s="1"/>
  <c r="BC19" i="5"/>
  <c r="BD19" i="5" s="1"/>
  <c r="BA19" i="5"/>
  <c r="BB19" i="5" s="1"/>
  <c r="AY19" i="5"/>
  <c r="AZ19" i="5" s="1"/>
  <c r="AX19" i="5"/>
  <c r="AW19" i="5"/>
  <c r="AU19" i="5"/>
  <c r="AV19" i="5" s="1"/>
  <c r="AT19" i="5"/>
  <c r="AS19" i="5"/>
  <c r="AQ19" i="5"/>
  <c r="AR19" i="5" s="1"/>
  <c r="AO19" i="5"/>
  <c r="AP19" i="5" s="1"/>
  <c r="AI19" i="5"/>
  <c r="AJ19" i="5" s="1"/>
  <c r="AG19" i="5"/>
  <c r="AH19" i="5" s="1"/>
  <c r="AM19" i="5"/>
  <c r="AN19" i="5" s="1"/>
  <c r="AK19" i="5"/>
  <c r="AL19" i="5" s="1"/>
  <c r="BC18" i="5"/>
  <c r="BD18" i="5" s="1"/>
  <c r="BA18" i="5"/>
  <c r="BB18" i="5" s="1"/>
  <c r="AY18" i="5"/>
  <c r="AZ18" i="5" s="1"/>
  <c r="AX18" i="5"/>
  <c r="AW18" i="5"/>
  <c r="AU18" i="5"/>
  <c r="AV18" i="5" s="1"/>
  <c r="AT18" i="5"/>
  <c r="AS18" i="5"/>
  <c r="AQ18" i="5"/>
  <c r="AR18" i="5" s="1"/>
  <c r="AO18" i="5"/>
  <c r="AP18" i="5" s="1"/>
  <c r="AI18" i="5"/>
  <c r="AJ18" i="5" s="1"/>
  <c r="AG18" i="5"/>
  <c r="AH18" i="5" s="1"/>
  <c r="AK18" i="5"/>
  <c r="AL18" i="5" s="1"/>
  <c r="BC17" i="5"/>
  <c r="BD17" i="5" s="1"/>
  <c r="BB17" i="5"/>
  <c r="BA17" i="5"/>
  <c r="AY17" i="5"/>
  <c r="AZ17" i="5" s="1"/>
  <c r="AW17" i="5"/>
  <c r="AX17" i="5" s="1"/>
  <c r="AU17" i="5"/>
  <c r="AV17" i="5" s="1"/>
  <c r="AT17" i="5"/>
  <c r="AS17" i="5"/>
  <c r="AQ17" i="5"/>
  <c r="AR17" i="5" s="1"/>
  <c r="AP17" i="5"/>
  <c r="AO17" i="5"/>
  <c r="AI17" i="5"/>
  <c r="AJ17" i="5" s="1"/>
  <c r="AG17" i="5"/>
  <c r="AH17" i="5" s="1"/>
  <c r="T21" i="5"/>
  <c r="F21" i="5"/>
  <c r="AK17" i="5"/>
  <c r="AL17" i="5" s="1"/>
  <c r="AM10" i="5"/>
  <c r="AN10" i="5" s="1"/>
  <c r="AC10" i="5"/>
  <c r="BC10" i="5" s="1"/>
  <c r="BD10" i="5" s="1"/>
  <c r="AB10" i="5"/>
  <c r="AA10" i="5"/>
  <c r="Z10" i="5"/>
  <c r="Y10" i="5"/>
  <c r="X10" i="5"/>
  <c r="W10" i="5"/>
  <c r="V10" i="5"/>
  <c r="U10" i="5"/>
  <c r="T10" i="5"/>
  <c r="S10" i="5"/>
  <c r="R10" i="5"/>
  <c r="N10" i="5"/>
  <c r="M10" i="5"/>
  <c r="L10" i="5"/>
  <c r="AY10" i="5" s="1"/>
  <c r="AZ10" i="5" s="1"/>
  <c r="K10" i="5"/>
  <c r="AW10" i="5" s="1"/>
  <c r="AX10" i="5" s="1"/>
  <c r="J10" i="5"/>
  <c r="I10" i="5"/>
  <c r="AS10" i="5" s="1"/>
  <c r="AT10" i="5" s="1"/>
  <c r="H10" i="5"/>
  <c r="AQ10" i="5" s="1"/>
  <c r="AR10" i="5" s="1"/>
  <c r="G10" i="5"/>
  <c r="F10" i="5"/>
  <c r="E10" i="5"/>
  <c r="D10" i="5"/>
  <c r="C10" i="5"/>
  <c r="BC9" i="5"/>
  <c r="BD9" i="5" s="1"/>
  <c r="BA9" i="5"/>
  <c r="BB9" i="5" s="1"/>
  <c r="AY9" i="5"/>
  <c r="AZ9" i="5" s="1"/>
  <c r="AW9" i="5"/>
  <c r="AX9" i="5" s="1"/>
  <c r="AU9" i="5"/>
  <c r="AV9" i="5" s="1"/>
  <c r="AT9" i="5"/>
  <c r="AS9" i="5"/>
  <c r="AQ9" i="5"/>
  <c r="AR9" i="5" s="1"/>
  <c r="AP9" i="5"/>
  <c r="AO9" i="5"/>
  <c r="AM9" i="5"/>
  <c r="AN9" i="5" s="1"/>
  <c r="AK9" i="5"/>
  <c r="AL9" i="5" s="1"/>
  <c r="AI9" i="5"/>
  <c r="AJ9" i="5" s="1"/>
  <c r="AG9" i="5"/>
  <c r="AH9" i="5" s="1"/>
  <c r="BC8" i="5"/>
  <c r="BD8" i="5" s="1"/>
  <c r="BA8" i="5"/>
  <c r="BB8" i="5" s="1"/>
  <c r="AY8" i="5"/>
  <c r="AZ8" i="5" s="1"/>
  <c r="AW8" i="5"/>
  <c r="AX8" i="5" s="1"/>
  <c r="AU8" i="5"/>
  <c r="AV8" i="5" s="1"/>
  <c r="AS8" i="5"/>
  <c r="AT8" i="5" s="1"/>
  <c r="AQ8" i="5"/>
  <c r="AR8" i="5" s="1"/>
  <c r="AP8" i="5"/>
  <c r="AO8" i="5"/>
  <c r="AM8" i="5"/>
  <c r="AN8" i="5" s="1"/>
  <c r="AK8" i="5"/>
  <c r="AL8" i="5" s="1"/>
  <c r="AI8" i="5"/>
  <c r="AJ8" i="5" s="1"/>
  <c r="AG8" i="5"/>
  <c r="AH8" i="5" s="1"/>
  <c r="BC7" i="5"/>
  <c r="BD7" i="5" s="1"/>
  <c r="BA7" i="5"/>
  <c r="BB7" i="5" s="1"/>
  <c r="AY7" i="5"/>
  <c r="AZ7" i="5" s="1"/>
  <c r="AW7" i="5"/>
  <c r="AX7" i="5" s="1"/>
  <c r="AU7" i="5"/>
  <c r="AV7" i="5" s="1"/>
  <c r="AT7" i="5"/>
  <c r="AS7" i="5"/>
  <c r="AQ7" i="5"/>
  <c r="AR7" i="5" s="1"/>
  <c r="AP7" i="5"/>
  <c r="AO7" i="5"/>
  <c r="AM7" i="5"/>
  <c r="AN7" i="5" s="1"/>
  <c r="AK7" i="5"/>
  <c r="AL7" i="5" s="1"/>
  <c r="AI7" i="5"/>
  <c r="AJ7" i="5" s="1"/>
  <c r="AG7" i="5"/>
  <c r="AH7" i="5" s="1"/>
  <c r="BC6" i="5"/>
  <c r="BD6" i="5" s="1"/>
  <c r="BA6" i="5"/>
  <c r="BB6" i="5" s="1"/>
  <c r="AY6" i="5"/>
  <c r="AZ6" i="5" s="1"/>
  <c r="AW6" i="5"/>
  <c r="AX6" i="5" s="1"/>
  <c r="AU6" i="5"/>
  <c r="AV6" i="5" s="1"/>
  <c r="AT6" i="5"/>
  <c r="AS6" i="5"/>
  <c r="AQ6" i="5"/>
  <c r="AR6" i="5" s="1"/>
  <c r="AP6" i="5"/>
  <c r="AO6" i="5"/>
  <c r="AM6" i="5"/>
  <c r="AN6" i="5" s="1"/>
  <c r="AK6" i="5"/>
  <c r="AL6" i="5" s="1"/>
  <c r="AI6" i="5"/>
  <c r="AJ6" i="5" s="1"/>
  <c r="AG6" i="5"/>
  <c r="AH6" i="5" s="1"/>
  <c r="BC5" i="5"/>
  <c r="BD5" i="5" s="1"/>
  <c r="BA5" i="5"/>
  <c r="BB5" i="5" s="1"/>
  <c r="AY5" i="5"/>
  <c r="AZ5" i="5" s="1"/>
  <c r="AW5" i="5"/>
  <c r="AX5" i="5" s="1"/>
  <c r="AU5" i="5"/>
  <c r="AV5" i="5" s="1"/>
  <c r="AT5" i="5"/>
  <c r="AS5" i="5"/>
  <c r="AQ5" i="5"/>
  <c r="AR5" i="5" s="1"/>
  <c r="AP5" i="5"/>
  <c r="AO5" i="5"/>
  <c r="AM5" i="5"/>
  <c r="AN5" i="5" s="1"/>
  <c r="AK5" i="5"/>
  <c r="AL5" i="5" s="1"/>
  <c r="AI5" i="5"/>
  <c r="AJ5" i="5" s="1"/>
  <c r="AG5" i="5"/>
  <c r="AH5" i="5" s="1"/>
  <c r="AC61" i="4"/>
  <c r="AB61" i="4"/>
  <c r="AA61" i="4"/>
  <c r="Z61" i="4"/>
  <c r="Y61" i="4"/>
  <c r="X61" i="4"/>
  <c r="AS61" i="4" s="1"/>
  <c r="AT61" i="4" s="1"/>
  <c r="W61" i="4"/>
  <c r="V61" i="4"/>
  <c r="U61" i="4"/>
  <c r="T61" i="4"/>
  <c r="S61" i="4"/>
  <c r="R61" i="4"/>
  <c r="N61" i="4"/>
  <c r="BC61" i="4" s="1"/>
  <c r="BD61" i="4" s="1"/>
  <c r="M61" i="4"/>
  <c r="BA61" i="4" s="1"/>
  <c r="BB61" i="4" s="1"/>
  <c r="L61" i="4"/>
  <c r="AY61" i="4" s="1"/>
  <c r="AZ61" i="4" s="1"/>
  <c r="K61" i="4"/>
  <c r="J61" i="4"/>
  <c r="I61" i="4"/>
  <c r="H61" i="4"/>
  <c r="G61" i="4"/>
  <c r="F61" i="4"/>
  <c r="AM61" i="4" s="1"/>
  <c r="AN61" i="4" s="1"/>
  <c r="E61" i="4"/>
  <c r="D61" i="4"/>
  <c r="C61" i="4"/>
  <c r="BC60" i="4"/>
  <c r="BD60" i="4" s="1"/>
  <c r="BA60" i="4"/>
  <c r="BB60" i="4" s="1"/>
  <c r="AY60" i="4"/>
  <c r="AZ60" i="4" s="1"/>
  <c r="AX60" i="4"/>
  <c r="AW60" i="4"/>
  <c r="AU60" i="4"/>
  <c r="AV60" i="4" s="1"/>
  <c r="AS60" i="4"/>
  <c r="AT60" i="4" s="1"/>
  <c r="AQ60" i="4"/>
  <c r="AR60" i="4" s="1"/>
  <c r="AP60" i="4"/>
  <c r="AO60" i="4"/>
  <c r="AM60" i="4"/>
  <c r="AN60" i="4" s="1"/>
  <c r="AK60" i="4"/>
  <c r="AL60" i="4" s="1"/>
  <c r="AI60" i="4"/>
  <c r="AJ60" i="4" s="1"/>
  <c r="AG60" i="4"/>
  <c r="AH60" i="4" s="1"/>
  <c r="BC59" i="4"/>
  <c r="BD59" i="4" s="1"/>
  <c r="BA59" i="4"/>
  <c r="BB59" i="4" s="1"/>
  <c r="AY59" i="4"/>
  <c r="AZ59" i="4" s="1"/>
  <c r="AW59" i="4"/>
  <c r="AX59" i="4" s="1"/>
  <c r="AU59" i="4"/>
  <c r="AV59" i="4" s="1"/>
  <c r="AS59" i="4"/>
  <c r="AT59" i="4" s="1"/>
  <c r="AQ59" i="4"/>
  <c r="AR59" i="4" s="1"/>
  <c r="AO59" i="4"/>
  <c r="AP59" i="4" s="1"/>
  <c r="AM59" i="4"/>
  <c r="AN59" i="4" s="1"/>
  <c r="AK59" i="4"/>
  <c r="AL59" i="4" s="1"/>
  <c r="AI59" i="4"/>
  <c r="AJ59" i="4" s="1"/>
  <c r="AG59" i="4"/>
  <c r="AH59" i="4" s="1"/>
  <c r="BC58" i="4"/>
  <c r="BD58" i="4" s="1"/>
  <c r="BA58" i="4"/>
  <c r="BB58" i="4" s="1"/>
  <c r="AZ58" i="4"/>
  <c r="AY58" i="4"/>
  <c r="AX58" i="4"/>
  <c r="AW58" i="4"/>
  <c r="AU58" i="4"/>
  <c r="AV58" i="4" s="1"/>
  <c r="AS58" i="4"/>
  <c r="AT58" i="4" s="1"/>
  <c r="AQ58" i="4"/>
  <c r="AR58" i="4" s="1"/>
  <c r="AP58" i="4"/>
  <c r="AO58" i="4"/>
  <c r="AM58" i="4"/>
  <c r="AN58" i="4" s="1"/>
  <c r="AK58" i="4"/>
  <c r="AL58" i="4" s="1"/>
  <c r="AI58" i="4"/>
  <c r="AJ58" i="4" s="1"/>
  <c r="AG58" i="4"/>
  <c r="AH58" i="4" s="1"/>
  <c r="BC57" i="4"/>
  <c r="BD57" i="4" s="1"/>
  <c r="BA57" i="4"/>
  <c r="BB57" i="4" s="1"/>
  <c r="AY57" i="4"/>
  <c r="AZ57" i="4" s="1"/>
  <c r="AW57" i="4"/>
  <c r="AX57" i="4" s="1"/>
  <c r="AU57" i="4"/>
  <c r="AV57" i="4" s="1"/>
  <c r="AS57" i="4"/>
  <c r="AT57" i="4" s="1"/>
  <c r="AR57" i="4"/>
  <c r="AQ57" i="4"/>
  <c r="AP57" i="4"/>
  <c r="AO57" i="4"/>
  <c r="AM57" i="4"/>
  <c r="AN57" i="4" s="1"/>
  <c r="AK57" i="4"/>
  <c r="AL57" i="4" s="1"/>
  <c r="AI57" i="4"/>
  <c r="AJ57" i="4" s="1"/>
  <c r="AG57" i="4"/>
  <c r="AH57" i="4" s="1"/>
  <c r="BC56" i="4"/>
  <c r="BD56" i="4" s="1"/>
  <c r="BA56" i="4"/>
  <c r="BB56" i="4" s="1"/>
  <c r="AY56" i="4"/>
  <c r="AZ56" i="4" s="1"/>
  <c r="AW56" i="4"/>
  <c r="AX56" i="4" s="1"/>
  <c r="AU56" i="4"/>
  <c r="AV56" i="4" s="1"/>
  <c r="AS56" i="4"/>
  <c r="AT56" i="4" s="1"/>
  <c r="AQ56" i="4"/>
  <c r="AR56" i="4" s="1"/>
  <c r="AP56" i="4"/>
  <c r="AO56" i="4"/>
  <c r="AM56" i="4"/>
  <c r="AN56" i="4" s="1"/>
  <c r="AK56" i="4"/>
  <c r="AL56" i="4" s="1"/>
  <c r="AI56" i="4"/>
  <c r="AJ56" i="4" s="1"/>
  <c r="AG56" i="4"/>
  <c r="AH56" i="4" s="1"/>
  <c r="BC55" i="4"/>
  <c r="BD55" i="4" s="1"/>
  <c r="BA55" i="4"/>
  <c r="BB55" i="4" s="1"/>
  <c r="AY55" i="4"/>
  <c r="AZ55" i="4" s="1"/>
  <c r="AX55" i="4"/>
  <c r="AW55" i="4"/>
  <c r="AU55" i="4"/>
  <c r="AV55" i="4" s="1"/>
  <c r="AS55" i="4"/>
  <c r="AT55" i="4" s="1"/>
  <c r="AQ55" i="4"/>
  <c r="AR55" i="4" s="1"/>
  <c r="AO55" i="4"/>
  <c r="AP55" i="4" s="1"/>
  <c r="AM55" i="4"/>
  <c r="AN55" i="4" s="1"/>
  <c r="AK55" i="4"/>
  <c r="AL55" i="4" s="1"/>
  <c r="AI55" i="4"/>
  <c r="AJ55" i="4" s="1"/>
  <c r="AH55" i="4"/>
  <c r="AG55" i="4"/>
  <c r="BC54" i="4"/>
  <c r="BD54" i="4" s="1"/>
  <c r="BA54" i="4"/>
  <c r="BB54" i="4" s="1"/>
  <c r="AY54" i="4"/>
  <c r="AZ54" i="4" s="1"/>
  <c r="AX54" i="4"/>
  <c r="AW54" i="4"/>
  <c r="AU54" i="4"/>
  <c r="AV54" i="4" s="1"/>
  <c r="AS54" i="4"/>
  <c r="AT54" i="4" s="1"/>
  <c r="AQ54" i="4"/>
  <c r="AR54" i="4" s="1"/>
  <c r="AO54" i="4"/>
  <c r="AP54" i="4" s="1"/>
  <c r="AN54" i="4"/>
  <c r="AM54" i="4"/>
  <c r="AK54" i="4"/>
  <c r="AL54" i="4" s="1"/>
  <c r="AI54" i="4"/>
  <c r="AJ54" i="4" s="1"/>
  <c r="AG54" i="4"/>
  <c r="AH54" i="4" s="1"/>
  <c r="BC53" i="4"/>
  <c r="BD53" i="4" s="1"/>
  <c r="BA53" i="4"/>
  <c r="BB53" i="4" s="1"/>
  <c r="AY53" i="4"/>
  <c r="AZ53" i="4" s="1"/>
  <c r="AX53" i="4"/>
  <c r="AW53" i="4"/>
  <c r="AU53" i="4"/>
  <c r="AV53" i="4" s="1"/>
  <c r="AS53" i="4"/>
  <c r="AT53" i="4" s="1"/>
  <c r="AQ53" i="4"/>
  <c r="AR53" i="4" s="1"/>
  <c r="AP53" i="4"/>
  <c r="AO53" i="4"/>
  <c r="AM53" i="4"/>
  <c r="AN53" i="4" s="1"/>
  <c r="AK53" i="4"/>
  <c r="AL53" i="4" s="1"/>
  <c r="AI53" i="4"/>
  <c r="AJ53" i="4" s="1"/>
  <c r="AG53" i="4"/>
  <c r="AH53" i="4" s="1"/>
  <c r="BD52" i="4"/>
  <c r="BC52" i="4"/>
  <c r="BA52" i="4"/>
  <c r="BB52" i="4" s="1"/>
  <c r="AZ52" i="4"/>
  <c r="AY52" i="4"/>
  <c r="AW52" i="4"/>
  <c r="AX52" i="4" s="1"/>
  <c r="AU52" i="4"/>
  <c r="AV52" i="4" s="1"/>
  <c r="AS52" i="4"/>
  <c r="AT52" i="4" s="1"/>
  <c r="AR52" i="4"/>
  <c r="AQ52" i="4"/>
  <c r="AO52" i="4"/>
  <c r="AP52" i="4" s="1"/>
  <c r="AM52" i="4"/>
  <c r="AN52" i="4" s="1"/>
  <c r="AK52" i="4"/>
  <c r="AL52" i="4" s="1"/>
  <c r="AI52" i="4"/>
  <c r="AJ52" i="4" s="1"/>
  <c r="AG52" i="4"/>
  <c r="AH52" i="4" s="1"/>
  <c r="BD51" i="4"/>
  <c r="BC51" i="4"/>
  <c r="BA51" i="4"/>
  <c r="BB51" i="4" s="1"/>
  <c r="AY51" i="4"/>
  <c r="AZ51" i="4" s="1"/>
  <c r="AW51" i="4"/>
  <c r="AX51" i="4" s="1"/>
  <c r="AV51" i="4"/>
  <c r="AU51" i="4"/>
  <c r="AS51" i="4"/>
  <c r="AT51" i="4" s="1"/>
  <c r="AQ51" i="4"/>
  <c r="AR51" i="4" s="1"/>
  <c r="AP51" i="4"/>
  <c r="AO51" i="4"/>
  <c r="AM51" i="4"/>
  <c r="AN51" i="4" s="1"/>
  <c r="AK51" i="4"/>
  <c r="AL51" i="4" s="1"/>
  <c r="AI51" i="4"/>
  <c r="AJ51" i="4" s="1"/>
  <c r="AH51" i="4"/>
  <c r="AG51" i="4"/>
  <c r="BC50" i="4"/>
  <c r="BD50" i="4" s="1"/>
  <c r="BA50" i="4"/>
  <c r="BB50" i="4" s="1"/>
  <c r="AY50" i="4"/>
  <c r="AZ50" i="4" s="1"/>
  <c r="AX50" i="4"/>
  <c r="AW50" i="4"/>
  <c r="AU50" i="4"/>
  <c r="AV50" i="4" s="1"/>
  <c r="AS50" i="4"/>
  <c r="AT50" i="4" s="1"/>
  <c r="AQ50" i="4"/>
  <c r="AR50" i="4" s="1"/>
  <c r="AP50" i="4"/>
  <c r="AO50" i="4"/>
  <c r="AM50" i="4"/>
  <c r="AN50" i="4" s="1"/>
  <c r="AK50" i="4"/>
  <c r="AL50" i="4" s="1"/>
  <c r="AI50" i="4"/>
  <c r="AJ50" i="4" s="1"/>
  <c r="AG50" i="4"/>
  <c r="AH50" i="4" s="1"/>
  <c r="BC49" i="4"/>
  <c r="BD49" i="4" s="1"/>
  <c r="BA49" i="4"/>
  <c r="BB49" i="4" s="1"/>
  <c r="AZ49" i="4"/>
  <c r="AY49" i="4"/>
  <c r="AW49" i="4"/>
  <c r="AX49" i="4" s="1"/>
  <c r="AU49" i="4"/>
  <c r="AV49" i="4" s="1"/>
  <c r="AS49" i="4"/>
  <c r="AT49" i="4" s="1"/>
  <c r="AQ49" i="4"/>
  <c r="AR49" i="4" s="1"/>
  <c r="AO49" i="4"/>
  <c r="AP49" i="4" s="1"/>
  <c r="AM49" i="4"/>
  <c r="AN49" i="4" s="1"/>
  <c r="AK49" i="4"/>
  <c r="AL49" i="4" s="1"/>
  <c r="AI49" i="4"/>
  <c r="AJ49" i="4" s="1"/>
  <c r="AG49" i="4"/>
  <c r="AH49" i="4" s="1"/>
  <c r="BD48" i="4"/>
  <c r="BC48" i="4"/>
  <c r="BA48" i="4"/>
  <c r="BB48" i="4" s="1"/>
  <c r="AY48" i="4"/>
  <c r="AZ48" i="4" s="1"/>
  <c r="AX48" i="4"/>
  <c r="AW48" i="4"/>
  <c r="AU48" i="4"/>
  <c r="AV48" i="4" s="1"/>
  <c r="AS48" i="4"/>
  <c r="AT48" i="4" s="1"/>
  <c r="AQ48" i="4"/>
  <c r="AR48" i="4" s="1"/>
  <c r="AP48" i="4"/>
  <c r="AO48" i="4"/>
  <c r="AM48" i="4"/>
  <c r="AN48" i="4" s="1"/>
  <c r="AK48" i="4"/>
  <c r="AL48" i="4" s="1"/>
  <c r="AI48" i="4"/>
  <c r="AJ48" i="4" s="1"/>
  <c r="AG48" i="4"/>
  <c r="AH48" i="4" s="1"/>
  <c r="BD47" i="4"/>
  <c r="BC47" i="4"/>
  <c r="BA47" i="4"/>
  <c r="BB47" i="4" s="1"/>
  <c r="AY47" i="4"/>
  <c r="AZ47" i="4" s="1"/>
  <c r="AW47" i="4"/>
  <c r="AX47" i="4" s="1"/>
  <c r="AV47" i="4"/>
  <c r="AU47" i="4"/>
  <c r="AS47" i="4"/>
  <c r="AT47" i="4" s="1"/>
  <c r="AR47" i="4"/>
  <c r="AQ47" i="4"/>
  <c r="AO47" i="4"/>
  <c r="AP47" i="4" s="1"/>
  <c r="AM47" i="4"/>
  <c r="AN47" i="4" s="1"/>
  <c r="AK47" i="4"/>
  <c r="AL47" i="4" s="1"/>
  <c r="AI47" i="4"/>
  <c r="AJ47" i="4" s="1"/>
  <c r="AG47" i="4"/>
  <c r="AH47" i="4" s="1"/>
  <c r="AC41" i="4"/>
  <c r="AB41" i="4"/>
  <c r="AA41" i="4"/>
  <c r="Z41" i="4"/>
  <c r="Y41" i="4"/>
  <c r="X41" i="4"/>
  <c r="W41" i="4"/>
  <c r="AQ41" i="4" s="1"/>
  <c r="AR41" i="4" s="1"/>
  <c r="V41" i="4"/>
  <c r="U41" i="4"/>
  <c r="T41" i="4"/>
  <c r="S41" i="4"/>
  <c r="R41" i="4"/>
  <c r="N41" i="4"/>
  <c r="BC41" i="4" s="1"/>
  <c r="BD41" i="4" s="1"/>
  <c r="M41" i="4"/>
  <c r="BA41" i="4" s="1"/>
  <c r="BB41" i="4" s="1"/>
  <c r="L41" i="4"/>
  <c r="K41" i="4"/>
  <c r="J41" i="4"/>
  <c r="I41" i="4"/>
  <c r="AS41" i="4" s="1"/>
  <c r="AT41" i="4" s="1"/>
  <c r="H41" i="4"/>
  <c r="G41" i="4"/>
  <c r="AO41" i="4" s="1"/>
  <c r="AP41" i="4" s="1"/>
  <c r="F41" i="4"/>
  <c r="AM41" i="4" s="1"/>
  <c r="AN41" i="4" s="1"/>
  <c r="E41" i="4"/>
  <c r="D41" i="4"/>
  <c r="C41" i="4"/>
  <c r="BC40" i="4"/>
  <c r="BD40" i="4" s="1"/>
  <c r="BA40" i="4"/>
  <c r="BB40" i="4" s="1"/>
  <c r="AY40" i="4"/>
  <c r="AZ40" i="4" s="1"/>
  <c r="AX40" i="4"/>
  <c r="AW40" i="4"/>
  <c r="AU40" i="4"/>
  <c r="AV40" i="4" s="1"/>
  <c r="AS40" i="4"/>
  <c r="AT40" i="4" s="1"/>
  <c r="AQ40" i="4"/>
  <c r="AR40" i="4" s="1"/>
  <c r="AP40" i="4"/>
  <c r="AO40" i="4"/>
  <c r="AM40" i="4"/>
  <c r="AN40" i="4" s="1"/>
  <c r="AK40" i="4"/>
  <c r="AL40" i="4" s="1"/>
  <c r="AI40" i="4"/>
  <c r="AJ40" i="4" s="1"/>
  <c r="AG40" i="4"/>
  <c r="AH40" i="4" s="1"/>
  <c r="BC39" i="4"/>
  <c r="BD39" i="4" s="1"/>
  <c r="BA39" i="4"/>
  <c r="BB39" i="4" s="1"/>
  <c r="AZ39" i="4"/>
  <c r="AY39" i="4"/>
  <c r="AW39" i="4"/>
  <c r="AX39" i="4" s="1"/>
  <c r="AU39" i="4"/>
  <c r="AV39" i="4" s="1"/>
  <c r="AS39" i="4"/>
  <c r="AT39" i="4" s="1"/>
  <c r="AQ39" i="4"/>
  <c r="AR39" i="4" s="1"/>
  <c r="AO39" i="4"/>
  <c r="AP39" i="4" s="1"/>
  <c r="AM39" i="4"/>
  <c r="AN39" i="4" s="1"/>
  <c r="AK39" i="4"/>
  <c r="AL39" i="4" s="1"/>
  <c r="AI39" i="4"/>
  <c r="AJ39" i="4" s="1"/>
  <c r="AG39" i="4"/>
  <c r="AH39" i="4" s="1"/>
  <c r="BD38" i="4"/>
  <c r="BC38" i="4"/>
  <c r="BA38" i="4"/>
  <c r="BB38" i="4" s="1"/>
  <c r="AY38" i="4"/>
  <c r="AZ38" i="4" s="1"/>
  <c r="AX38" i="4"/>
  <c r="AW38" i="4"/>
  <c r="AU38" i="4"/>
  <c r="AV38" i="4" s="1"/>
  <c r="AS38" i="4"/>
  <c r="AT38" i="4" s="1"/>
  <c r="AQ38" i="4"/>
  <c r="AR38" i="4" s="1"/>
  <c r="AP38" i="4"/>
  <c r="AO38" i="4"/>
  <c r="AM38" i="4"/>
  <c r="AN38" i="4" s="1"/>
  <c r="AK38" i="4"/>
  <c r="AL38" i="4" s="1"/>
  <c r="AI38" i="4"/>
  <c r="AJ38" i="4" s="1"/>
  <c r="AH38" i="4"/>
  <c r="AG38" i="4"/>
  <c r="BC37" i="4"/>
  <c r="BD37" i="4" s="1"/>
  <c r="BA37" i="4"/>
  <c r="BB37" i="4" s="1"/>
  <c r="AY37" i="4"/>
  <c r="AZ37" i="4" s="1"/>
  <c r="AX37" i="4"/>
  <c r="AW37" i="4"/>
  <c r="AU37" i="4"/>
  <c r="AV37" i="4" s="1"/>
  <c r="AS37" i="4"/>
  <c r="AT37" i="4" s="1"/>
  <c r="AQ37" i="4"/>
  <c r="AR37" i="4" s="1"/>
  <c r="AO37" i="4"/>
  <c r="AP37" i="4" s="1"/>
  <c r="AN37" i="4"/>
  <c r="AM37" i="4"/>
  <c r="AK37" i="4"/>
  <c r="AL37" i="4" s="1"/>
  <c r="AI37" i="4"/>
  <c r="AJ37" i="4" s="1"/>
  <c r="AG37" i="4"/>
  <c r="AH37" i="4" s="1"/>
  <c r="BD36" i="4"/>
  <c r="BC36" i="4"/>
  <c r="BA36" i="4"/>
  <c r="BB36" i="4" s="1"/>
  <c r="AY36" i="4"/>
  <c r="AZ36" i="4" s="1"/>
  <c r="AW36" i="4"/>
  <c r="AX36" i="4" s="1"/>
  <c r="AV36" i="4"/>
  <c r="AU36" i="4"/>
  <c r="AS36" i="4"/>
  <c r="AT36" i="4" s="1"/>
  <c r="AQ36" i="4"/>
  <c r="AR36" i="4" s="1"/>
  <c r="AO36" i="4"/>
  <c r="AP36" i="4" s="1"/>
  <c r="AM36" i="4"/>
  <c r="AN36" i="4" s="1"/>
  <c r="AK36" i="4"/>
  <c r="AL36" i="4" s="1"/>
  <c r="AI36" i="4"/>
  <c r="AJ36" i="4" s="1"/>
  <c r="AH36" i="4"/>
  <c r="AG36" i="4"/>
  <c r="BC35" i="4"/>
  <c r="BD35" i="4" s="1"/>
  <c r="BA35" i="4"/>
  <c r="BB35" i="4" s="1"/>
  <c r="AY35" i="4"/>
  <c r="AZ35" i="4" s="1"/>
  <c r="AX35" i="4"/>
  <c r="AW35" i="4"/>
  <c r="AU35" i="4"/>
  <c r="AV35" i="4" s="1"/>
  <c r="AS35" i="4"/>
  <c r="AT35" i="4" s="1"/>
  <c r="AR35" i="4"/>
  <c r="AQ35" i="4"/>
  <c r="AP35" i="4"/>
  <c r="AO35" i="4"/>
  <c r="AM35" i="4"/>
  <c r="AN35" i="4" s="1"/>
  <c r="AK35" i="4"/>
  <c r="AL35" i="4" s="1"/>
  <c r="AI35" i="4"/>
  <c r="AJ35" i="4" s="1"/>
  <c r="AH35" i="4"/>
  <c r="AG35" i="4"/>
  <c r="BC34" i="4"/>
  <c r="BD34" i="4" s="1"/>
  <c r="BA34" i="4"/>
  <c r="BB34" i="4" s="1"/>
  <c r="AY34" i="4"/>
  <c r="AZ34" i="4" s="1"/>
  <c r="AX34" i="4"/>
  <c r="AW34" i="4"/>
  <c r="AU34" i="4"/>
  <c r="AV34" i="4" s="1"/>
  <c r="AS34" i="4"/>
  <c r="AT34" i="4" s="1"/>
  <c r="AQ34" i="4"/>
  <c r="AR34" i="4" s="1"/>
  <c r="AP34" i="4"/>
  <c r="AO34" i="4"/>
  <c r="AN34" i="4"/>
  <c r="AM34" i="4"/>
  <c r="AK34" i="4"/>
  <c r="AL34" i="4" s="1"/>
  <c r="AI34" i="4"/>
  <c r="AJ34" i="4" s="1"/>
  <c r="AG34" i="4"/>
  <c r="AH34" i="4" s="1"/>
  <c r="BC33" i="4"/>
  <c r="BD33" i="4" s="1"/>
  <c r="BA33" i="4"/>
  <c r="BB33" i="4" s="1"/>
  <c r="AY33" i="4"/>
  <c r="AZ33" i="4" s="1"/>
  <c r="AW33" i="4"/>
  <c r="AX33" i="4" s="1"/>
  <c r="AU33" i="4"/>
  <c r="AV33" i="4" s="1"/>
  <c r="AS33" i="4"/>
  <c r="AT33" i="4" s="1"/>
  <c r="AQ33" i="4"/>
  <c r="AR33" i="4" s="1"/>
  <c r="AO33" i="4"/>
  <c r="AP33" i="4" s="1"/>
  <c r="AM33" i="4"/>
  <c r="AN33" i="4" s="1"/>
  <c r="AK33" i="4"/>
  <c r="AL33" i="4" s="1"/>
  <c r="AI33" i="4"/>
  <c r="AJ33" i="4" s="1"/>
  <c r="AG33" i="4"/>
  <c r="AH33" i="4" s="1"/>
  <c r="BD32" i="4"/>
  <c r="BC32" i="4"/>
  <c r="BA32" i="4"/>
  <c r="BB32" i="4" s="1"/>
  <c r="AY32" i="4"/>
  <c r="AZ32" i="4" s="1"/>
  <c r="AW32" i="4"/>
  <c r="AX32" i="4" s="1"/>
  <c r="AV32" i="4"/>
  <c r="AU32" i="4"/>
  <c r="AS32" i="4"/>
  <c r="AT32" i="4" s="1"/>
  <c r="AQ32" i="4"/>
  <c r="AR32" i="4" s="1"/>
  <c r="AO32" i="4"/>
  <c r="AP32" i="4" s="1"/>
  <c r="AN32" i="4"/>
  <c r="AM32" i="4"/>
  <c r="AK32" i="4"/>
  <c r="AL32" i="4" s="1"/>
  <c r="AI32" i="4"/>
  <c r="AJ32" i="4" s="1"/>
  <c r="AG32" i="4"/>
  <c r="AH32" i="4" s="1"/>
  <c r="BD31" i="4"/>
  <c r="BC31" i="4"/>
  <c r="BA31" i="4"/>
  <c r="BB31" i="4" s="1"/>
  <c r="AY31" i="4"/>
  <c r="AZ31" i="4" s="1"/>
  <c r="AX31" i="4"/>
  <c r="AW31" i="4"/>
  <c r="AU31" i="4"/>
  <c r="AV31" i="4" s="1"/>
  <c r="AS31" i="4"/>
  <c r="AT31" i="4" s="1"/>
  <c r="AQ31" i="4"/>
  <c r="AR31" i="4" s="1"/>
  <c r="AP31" i="4"/>
  <c r="AO31" i="4"/>
  <c r="AM31" i="4"/>
  <c r="AN31" i="4" s="1"/>
  <c r="AK31" i="4"/>
  <c r="AL31" i="4" s="1"/>
  <c r="AI31" i="4"/>
  <c r="AJ31" i="4" s="1"/>
  <c r="AG31" i="4"/>
  <c r="AH31" i="4" s="1"/>
  <c r="BD30" i="4"/>
  <c r="BC30" i="4"/>
  <c r="BA30" i="4"/>
  <c r="BB30" i="4" s="1"/>
  <c r="AY30" i="4"/>
  <c r="AZ30" i="4" s="1"/>
  <c r="AX30" i="4"/>
  <c r="AW30" i="4"/>
  <c r="AV30" i="4"/>
  <c r="AU30" i="4"/>
  <c r="AS30" i="4"/>
  <c r="AT30" i="4" s="1"/>
  <c r="AQ30" i="4"/>
  <c r="AR30" i="4" s="1"/>
  <c r="AO30" i="4"/>
  <c r="AP30" i="4" s="1"/>
  <c r="AN30" i="4"/>
  <c r="AM30" i="4"/>
  <c r="AK30" i="4"/>
  <c r="AL30" i="4" s="1"/>
  <c r="AI30" i="4"/>
  <c r="AJ30" i="4" s="1"/>
  <c r="AG30" i="4"/>
  <c r="AH30" i="4" s="1"/>
  <c r="BC29" i="4"/>
  <c r="BD29" i="4" s="1"/>
  <c r="BA29" i="4"/>
  <c r="BB29" i="4" s="1"/>
  <c r="AY29" i="4"/>
  <c r="AZ29" i="4" s="1"/>
  <c r="AW29" i="4"/>
  <c r="AX29" i="4" s="1"/>
  <c r="AU29" i="4"/>
  <c r="AV29" i="4" s="1"/>
  <c r="AS29" i="4"/>
  <c r="AT29" i="4" s="1"/>
  <c r="AQ29" i="4"/>
  <c r="AR29" i="4" s="1"/>
  <c r="AP29" i="4"/>
  <c r="AO29" i="4"/>
  <c r="AN29" i="4"/>
  <c r="AM29" i="4"/>
  <c r="AK29" i="4"/>
  <c r="AL29" i="4" s="1"/>
  <c r="AI29" i="4"/>
  <c r="AJ29" i="4" s="1"/>
  <c r="AG29" i="4"/>
  <c r="AH29" i="4" s="1"/>
  <c r="BD28" i="4"/>
  <c r="BC28" i="4"/>
  <c r="BA28" i="4"/>
  <c r="BB28" i="4" s="1"/>
  <c r="AY28" i="4"/>
  <c r="AZ28" i="4" s="1"/>
  <c r="AW28" i="4"/>
  <c r="AX28" i="4" s="1"/>
  <c r="AV28" i="4"/>
  <c r="AU28" i="4"/>
  <c r="AS28" i="4"/>
  <c r="AT28" i="4" s="1"/>
  <c r="AQ28" i="4"/>
  <c r="AR28" i="4" s="1"/>
  <c r="AO28" i="4"/>
  <c r="AP28" i="4" s="1"/>
  <c r="AM28" i="4"/>
  <c r="AN28" i="4" s="1"/>
  <c r="AK28" i="4"/>
  <c r="AL28" i="4" s="1"/>
  <c r="AI28" i="4"/>
  <c r="AJ28" i="4" s="1"/>
  <c r="AG28" i="4"/>
  <c r="AH28" i="4" s="1"/>
  <c r="BD27" i="4"/>
  <c r="BC27" i="4"/>
  <c r="BA27" i="4"/>
  <c r="BB27" i="4" s="1"/>
  <c r="AY27" i="4"/>
  <c r="AZ27" i="4" s="1"/>
  <c r="AW27" i="4"/>
  <c r="AX27" i="4" s="1"/>
  <c r="AU27" i="4"/>
  <c r="AV27" i="4" s="1"/>
  <c r="AS27" i="4"/>
  <c r="AT27" i="4" s="1"/>
  <c r="AQ27" i="4"/>
  <c r="AR27" i="4" s="1"/>
  <c r="AP27" i="4"/>
  <c r="AO27" i="4"/>
  <c r="AN27" i="4"/>
  <c r="AM27" i="4"/>
  <c r="AK27" i="4"/>
  <c r="AL27" i="4" s="1"/>
  <c r="AI27" i="4"/>
  <c r="AJ27" i="4" s="1"/>
  <c r="AG27" i="4"/>
  <c r="AH27" i="4" s="1"/>
  <c r="AC21" i="4"/>
  <c r="AB21" i="4"/>
  <c r="AA21" i="4"/>
  <c r="Z21" i="4"/>
  <c r="Y21" i="4"/>
  <c r="X21" i="4"/>
  <c r="W21" i="4"/>
  <c r="V21" i="4"/>
  <c r="S21" i="4"/>
  <c r="R21" i="4"/>
  <c r="N21" i="4"/>
  <c r="M21" i="4"/>
  <c r="L21" i="4"/>
  <c r="AY21" i="4" s="1"/>
  <c r="AZ21" i="4" s="1"/>
  <c r="K21" i="4"/>
  <c r="J21" i="4"/>
  <c r="I21" i="4"/>
  <c r="AS21" i="4" s="1"/>
  <c r="AT21" i="4" s="1"/>
  <c r="H21" i="4"/>
  <c r="G21" i="4"/>
  <c r="AO21" i="4" s="1"/>
  <c r="AP21" i="4" s="1"/>
  <c r="E21" i="4"/>
  <c r="D21" i="4"/>
  <c r="C21" i="4"/>
  <c r="BC20" i="4"/>
  <c r="BD20" i="4" s="1"/>
  <c r="BA20" i="4"/>
  <c r="BB20" i="4" s="1"/>
  <c r="AY20" i="4"/>
  <c r="AZ20" i="4" s="1"/>
  <c r="AW20" i="4"/>
  <c r="AX20" i="4" s="1"/>
  <c r="AU20" i="4"/>
  <c r="AV20" i="4" s="1"/>
  <c r="AS20" i="4"/>
  <c r="AT20" i="4" s="1"/>
  <c r="AQ20" i="4"/>
  <c r="AR20" i="4" s="1"/>
  <c r="AO20" i="4"/>
  <c r="AP20" i="4" s="1"/>
  <c r="AI20" i="4"/>
  <c r="AJ20" i="4" s="1"/>
  <c r="AG20" i="4"/>
  <c r="AH20" i="4" s="1"/>
  <c r="BC19" i="4"/>
  <c r="BD19" i="4" s="1"/>
  <c r="BA19" i="4"/>
  <c r="BB19" i="4" s="1"/>
  <c r="AY19" i="4"/>
  <c r="AZ19" i="4" s="1"/>
  <c r="AW19" i="4"/>
  <c r="AX19" i="4" s="1"/>
  <c r="AU19" i="4"/>
  <c r="AV19" i="4" s="1"/>
  <c r="AT19" i="4"/>
  <c r="AS19" i="4"/>
  <c r="AQ19" i="4"/>
  <c r="AR19" i="4" s="1"/>
  <c r="AO19" i="4"/>
  <c r="AP19" i="4" s="1"/>
  <c r="AI19" i="4"/>
  <c r="AJ19" i="4" s="1"/>
  <c r="AG19" i="4"/>
  <c r="AH19" i="4" s="1"/>
  <c r="AM19" i="4"/>
  <c r="AN19" i="4" s="1"/>
  <c r="AK19" i="4"/>
  <c r="AL19" i="4" s="1"/>
  <c r="BD18" i="4"/>
  <c r="BC18" i="4"/>
  <c r="BB18" i="4"/>
  <c r="BA18" i="4"/>
  <c r="AY18" i="4"/>
  <c r="AZ18" i="4" s="1"/>
  <c r="AX18" i="4"/>
  <c r="AW18" i="4"/>
  <c r="AU18" i="4"/>
  <c r="AV18" i="4" s="1"/>
  <c r="AS18" i="4"/>
  <c r="AT18" i="4" s="1"/>
  <c r="AQ18" i="4"/>
  <c r="AR18" i="4" s="1"/>
  <c r="AP18" i="4"/>
  <c r="AO18" i="4"/>
  <c r="AI18" i="4"/>
  <c r="AJ18" i="4" s="1"/>
  <c r="AG18" i="4"/>
  <c r="AH18" i="4" s="1"/>
  <c r="AM18" i="4"/>
  <c r="AN18" i="4" s="1"/>
  <c r="AK18" i="4"/>
  <c r="AL18" i="4" s="1"/>
  <c r="BC17" i="4"/>
  <c r="BD17" i="4" s="1"/>
  <c r="BA17" i="4"/>
  <c r="BB17" i="4" s="1"/>
  <c r="AZ17" i="4"/>
  <c r="AY17" i="4"/>
  <c r="AW17" i="4"/>
  <c r="AX17" i="4" s="1"/>
  <c r="AU17" i="4"/>
  <c r="AV17" i="4" s="1"/>
  <c r="AT17" i="4"/>
  <c r="AS17" i="4"/>
  <c r="AR17" i="4"/>
  <c r="AQ17" i="4"/>
  <c r="AO17" i="4"/>
  <c r="AP17" i="4" s="1"/>
  <c r="AI17" i="4"/>
  <c r="AJ17" i="4" s="1"/>
  <c r="AG17" i="4"/>
  <c r="AH17" i="4" s="1"/>
  <c r="T21" i="4"/>
  <c r="F21" i="4"/>
  <c r="AK17" i="4"/>
  <c r="AL17" i="4" s="1"/>
  <c r="AC10" i="4"/>
  <c r="BC10" i="4" s="1"/>
  <c r="BD10" i="4" s="1"/>
  <c r="AB10" i="4"/>
  <c r="AA10" i="4"/>
  <c r="Z10" i="4"/>
  <c r="Y10" i="4"/>
  <c r="X10" i="4"/>
  <c r="W10" i="4"/>
  <c r="V10" i="4"/>
  <c r="U10" i="4"/>
  <c r="T10" i="4"/>
  <c r="S10" i="4"/>
  <c r="R10" i="4"/>
  <c r="N10" i="4"/>
  <c r="M10" i="4"/>
  <c r="BA10" i="4" s="1"/>
  <c r="BB10" i="4" s="1"/>
  <c r="L10" i="4"/>
  <c r="K10" i="4"/>
  <c r="J10" i="4"/>
  <c r="AU10" i="4" s="1"/>
  <c r="AV10" i="4" s="1"/>
  <c r="I10" i="4"/>
  <c r="AS10" i="4" s="1"/>
  <c r="AT10" i="4" s="1"/>
  <c r="H10" i="4"/>
  <c r="G10" i="4"/>
  <c r="F10" i="4"/>
  <c r="E10" i="4"/>
  <c r="D10" i="4"/>
  <c r="C10" i="4"/>
  <c r="BC9" i="4"/>
  <c r="BD9" i="4" s="1"/>
  <c r="BA9" i="4"/>
  <c r="BB9" i="4" s="1"/>
  <c r="AY9" i="4"/>
  <c r="AZ9" i="4" s="1"/>
  <c r="AW9" i="4"/>
  <c r="AX9" i="4" s="1"/>
  <c r="AV9" i="4"/>
  <c r="AU9" i="4"/>
  <c r="AS9" i="4"/>
  <c r="AT9" i="4" s="1"/>
  <c r="AQ9" i="4"/>
  <c r="AR9" i="4" s="1"/>
  <c r="AO9" i="4"/>
  <c r="AP9" i="4" s="1"/>
  <c r="AM9" i="4"/>
  <c r="AN9" i="4" s="1"/>
  <c r="AK9" i="4"/>
  <c r="AL9" i="4" s="1"/>
  <c r="AI9" i="4"/>
  <c r="AJ9" i="4" s="1"/>
  <c r="AG9" i="4"/>
  <c r="AH9" i="4" s="1"/>
  <c r="BD8" i="4"/>
  <c r="BC8" i="4"/>
  <c r="BA8" i="4"/>
  <c r="BB8" i="4" s="1"/>
  <c r="AY8" i="4"/>
  <c r="AZ8" i="4" s="1"/>
  <c r="AW8" i="4"/>
  <c r="AX8" i="4" s="1"/>
  <c r="AU8" i="4"/>
  <c r="AV8" i="4" s="1"/>
  <c r="AS8" i="4"/>
  <c r="AT8" i="4" s="1"/>
  <c r="AQ8" i="4"/>
  <c r="AR8" i="4" s="1"/>
  <c r="AO8" i="4"/>
  <c r="AP8" i="4" s="1"/>
  <c r="AM8" i="4"/>
  <c r="AN8" i="4" s="1"/>
  <c r="AK8" i="4"/>
  <c r="AL8" i="4" s="1"/>
  <c r="AI8" i="4"/>
  <c r="AJ8" i="4" s="1"/>
  <c r="AG8" i="4"/>
  <c r="AH8" i="4" s="1"/>
  <c r="BC7" i="4"/>
  <c r="BD7" i="4" s="1"/>
  <c r="BA7" i="4"/>
  <c r="BB7" i="4" s="1"/>
  <c r="AY7" i="4"/>
  <c r="AZ7" i="4" s="1"/>
  <c r="AW7" i="4"/>
  <c r="AX7" i="4" s="1"/>
  <c r="AV7" i="4"/>
  <c r="AU7" i="4"/>
  <c r="AS7" i="4"/>
  <c r="AT7" i="4" s="1"/>
  <c r="AQ7" i="4"/>
  <c r="AR7" i="4" s="1"/>
  <c r="AO7" i="4"/>
  <c r="AP7" i="4" s="1"/>
  <c r="AN7" i="4"/>
  <c r="AM7" i="4"/>
  <c r="AK7" i="4"/>
  <c r="AL7" i="4" s="1"/>
  <c r="AI7" i="4"/>
  <c r="AJ7" i="4" s="1"/>
  <c r="AG7" i="4"/>
  <c r="AH7" i="4" s="1"/>
  <c r="BD6" i="4"/>
  <c r="BC6" i="4"/>
  <c r="BA6" i="4"/>
  <c r="BB6" i="4" s="1"/>
  <c r="AY6" i="4"/>
  <c r="AZ6" i="4" s="1"/>
  <c r="AW6" i="4"/>
  <c r="AX6" i="4" s="1"/>
  <c r="AV6" i="4"/>
  <c r="AU6" i="4"/>
  <c r="AS6" i="4"/>
  <c r="AT6" i="4" s="1"/>
  <c r="AQ6" i="4"/>
  <c r="AR6" i="4" s="1"/>
  <c r="AO6" i="4"/>
  <c r="AP6" i="4" s="1"/>
  <c r="AM6" i="4"/>
  <c r="AN6" i="4" s="1"/>
  <c r="AK6" i="4"/>
  <c r="AL6" i="4" s="1"/>
  <c r="AI6" i="4"/>
  <c r="AJ6" i="4" s="1"/>
  <c r="AG6" i="4"/>
  <c r="AH6" i="4" s="1"/>
  <c r="BC5" i="4"/>
  <c r="BD5" i="4" s="1"/>
  <c r="BA5" i="4"/>
  <c r="BB5" i="4" s="1"/>
  <c r="AY5" i="4"/>
  <c r="AZ5" i="4" s="1"/>
  <c r="AW5" i="4"/>
  <c r="AX5" i="4" s="1"/>
  <c r="AU5" i="4"/>
  <c r="AV5" i="4" s="1"/>
  <c r="AS5" i="4"/>
  <c r="AT5" i="4" s="1"/>
  <c r="AQ5" i="4"/>
  <c r="AR5" i="4" s="1"/>
  <c r="AO5" i="4"/>
  <c r="AP5" i="4" s="1"/>
  <c r="AM5" i="4"/>
  <c r="AN5" i="4" s="1"/>
  <c r="AK5" i="4"/>
  <c r="AL5" i="4" s="1"/>
  <c r="AI5" i="4"/>
  <c r="AJ5" i="4" s="1"/>
  <c r="AG5" i="4"/>
  <c r="AH5" i="4" s="1"/>
  <c r="E53" i="1"/>
  <c r="F53" i="1"/>
  <c r="G53" i="1"/>
  <c r="H53" i="1"/>
  <c r="I53" i="1"/>
  <c r="J53" i="1"/>
  <c r="K53" i="1"/>
  <c r="L53" i="1"/>
  <c r="M53" i="1"/>
  <c r="N53" i="1"/>
  <c r="O53" i="1"/>
  <c r="E33" i="1"/>
  <c r="F33" i="1"/>
  <c r="G33" i="1"/>
  <c r="H33" i="1"/>
  <c r="I33" i="1"/>
  <c r="J33" i="1"/>
  <c r="K33" i="1"/>
  <c r="L33" i="1"/>
  <c r="M33" i="1"/>
  <c r="N33" i="1"/>
  <c r="O33" i="1"/>
  <c r="E13" i="1"/>
  <c r="F13" i="1"/>
  <c r="G13" i="1"/>
  <c r="H13" i="1"/>
  <c r="I13" i="1"/>
  <c r="J13" i="1"/>
  <c r="K13" i="1"/>
  <c r="L13" i="1"/>
  <c r="M13" i="1"/>
  <c r="N13" i="1"/>
  <c r="O13" i="1"/>
  <c r="T53" i="1"/>
  <c r="U53" i="1"/>
  <c r="V53" i="1"/>
  <c r="W53" i="1"/>
  <c r="X53" i="1"/>
  <c r="Y53" i="1"/>
  <c r="Z53" i="1"/>
  <c r="AA53" i="1"/>
  <c r="AB53" i="1"/>
  <c r="AC53" i="1"/>
  <c r="AD53" i="1"/>
  <c r="T33" i="1"/>
  <c r="U33" i="1"/>
  <c r="V33" i="1"/>
  <c r="W33" i="1"/>
  <c r="AP33" i="1" s="1"/>
  <c r="AQ33" i="1" s="1"/>
  <c r="X33" i="1"/>
  <c r="Y33" i="1"/>
  <c r="Z33" i="1"/>
  <c r="AA33" i="1"/>
  <c r="AB33" i="1"/>
  <c r="AC33" i="1"/>
  <c r="AD33" i="1"/>
  <c r="T13" i="1"/>
  <c r="U13" i="1"/>
  <c r="V13" i="1"/>
  <c r="W13" i="1"/>
  <c r="AP13" i="1" s="1"/>
  <c r="AQ13" i="1" s="1"/>
  <c r="X13" i="1"/>
  <c r="Y13" i="1"/>
  <c r="AT13" i="1" s="1"/>
  <c r="AU13" i="1" s="1"/>
  <c r="Z13" i="1"/>
  <c r="AA13" i="1"/>
  <c r="AB13" i="1"/>
  <c r="AZ13" i="1" s="1"/>
  <c r="BA13" i="1" s="1"/>
  <c r="AC13" i="1"/>
  <c r="AD13" i="1"/>
  <c r="AN53" i="1"/>
  <c r="AO53" i="1" s="1"/>
  <c r="BB13" i="1"/>
  <c r="BC13" i="1" s="1"/>
  <c r="AY30" i="1"/>
  <c r="BD52" i="1"/>
  <c r="BE52" i="1" s="1"/>
  <c r="BD51" i="1"/>
  <c r="BE51" i="1" s="1"/>
  <c r="BD50" i="1"/>
  <c r="BE50" i="1" s="1"/>
  <c r="BD49" i="1"/>
  <c r="BE49" i="1" s="1"/>
  <c r="BD48" i="1"/>
  <c r="BE48" i="1" s="1"/>
  <c r="BD47" i="1"/>
  <c r="BE47" i="1" s="1"/>
  <c r="BD46" i="1"/>
  <c r="BE46" i="1" s="1"/>
  <c r="BD45" i="1"/>
  <c r="BE45" i="1" s="1"/>
  <c r="BD44" i="1"/>
  <c r="BE44" i="1" s="1"/>
  <c r="BD43" i="1"/>
  <c r="BE43" i="1" s="1"/>
  <c r="BD42" i="1"/>
  <c r="BE42" i="1" s="1"/>
  <c r="BD41" i="1"/>
  <c r="BE41" i="1" s="1"/>
  <c r="BD40" i="1"/>
  <c r="BE40" i="1" s="1"/>
  <c r="BD39" i="1"/>
  <c r="BE39" i="1" s="1"/>
  <c r="BD32" i="1"/>
  <c r="BE32" i="1" s="1"/>
  <c r="BD31" i="1"/>
  <c r="BE31" i="1" s="1"/>
  <c r="BD30" i="1"/>
  <c r="BE30" i="1" s="1"/>
  <c r="BD29" i="1"/>
  <c r="BE29" i="1" s="1"/>
  <c r="BD28" i="1"/>
  <c r="BE28" i="1" s="1"/>
  <c r="BD27" i="1"/>
  <c r="BE27" i="1" s="1"/>
  <c r="BD26" i="1"/>
  <c r="BE26" i="1" s="1"/>
  <c r="BD25" i="1"/>
  <c r="BE25" i="1" s="1"/>
  <c r="BD24" i="1"/>
  <c r="BE24" i="1" s="1"/>
  <c r="BD23" i="1"/>
  <c r="BE23" i="1" s="1"/>
  <c r="BD22" i="1"/>
  <c r="BE22" i="1" s="1"/>
  <c r="BD21" i="1"/>
  <c r="BE21" i="1" s="1"/>
  <c r="BD20" i="1"/>
  <c r="BE20" i="1" s="1"/>
  <c r="BD19" i="1"/>
  <c r="BE19" i="1" s="1"/>
  <c r="BD12" i="1"/>
  <c r="BE12" i="1" s="1"/>
  <c r="BD11" i="1"/>
  <c r="BE11" i="1" s="1"/>
  <c r="BD10" i="1"/>
  <c r="BE10" i="1" s="1"/>
  <c r="BD9" i="1"/>
  <c r="BE9" i="1" s="1"/>
  <c r="BD3" i="1"/>
  <c r="BE3" i="1" s="1"/>
  <c r="BD4" i="1"/>
  <c r="BE4" i="1" s="1"/>
  <c r="BD5" i="1"/>
  <c r="BE5" i="1" s="1"/>
  <c r="BD6" i="1"/>
  <c r="BE6" i="1" s="1"/>
  <c r="BD2" i="1"/>
  <c r="BE2" i="1" s="1"/>
  <c r="BB52" i="1"/>
  <c r="BC52" i="1" s="1"/>
  <c r="BB51" i="1"/>
  <c r="BC51" i="1" s="1"/>
  <c r="BB50" i="1"/>
  <c r="BC50" i="1" s="1"/>
  <c r="BB49" i="1"/>
  <c r="BC49" i="1" s="1"/>
  <c r="BB48" i="1"/>
  <c r="BC48" i="1" s="1"/>
  <c r="BB47" i="1"/>
  <c r="BC47" i="1" s="1"/>
  <c r="BB46" i="1"/>
  <c r="BC46" i="1" s="1"/>
  <c r="BB45" i="1"/>
  <c r="BC45" i="1" s="1"/>
  <c r="BB44" i="1"/>
  <c r="BC44" i="1" s="1"/>
  <c r="BB43" i="1"/>
  <c r="BC43" i="1" s="1"/>
  <c r="BB42" i="1"/>
  <c r="BC42" i="1" s="1"/>
  <c r="BB41" i="1"/>
  <c r="BC41" i="1" s="1"/>
  <c r="BB40" i="1"/>
  <c r="BC40" i="1" s="1"/>
  <c r="BB39" i="1"/>
  <c r="BC39" i="1" s="1"/>
  <c r="BB32" i="1"/>
  <c r="BC32" i="1" s="1"/>
  <c r="BB31" i="1"/>
  <c r="BC31" i="1" s="1"/>
  <c r="BB30" i="1"/>
  <c r="BC30" i="1" s="1"/>
  <c r="BB29" i="1"/>
  <c r="BC29" i="1" s="1"/>
  <c r="BB28" i="1"/>
  <c r="BC28" i="1" s="1"/>
  <c r="BB27" i="1"/>
  <c r="BC27" i="1" s="1"/>
  <c r="BB26" i="1"/>
  <c r="BC26" i="1" s="1"/>
  <c r="BB25" i="1"/>
  <c r="BC25" i="1" s="1"/>
  <c r="BB24" i="1"/>
  <c r="BC24" i="1" s="1"/>
  <c r="BB23" i="1"/>
  <c r="BC23" i="1" s="1"/>
  <c r="BB22" i="1"/>
  <c r="BC22" i="1" s="1"/>
  <c r="BB21" i="1"/>
  <c r="BC21" i="1" s="1"/>
  <c r="BB20" i="1"/>
  <c r="BC20" i="1" s="1"/>
  <c r="BB19" i="1"/>
  <c r="BC19" i="1" s="1"/>
  <c r="BB12" i="1"/>
  <c r="BC12" i="1" s="1"/>
  <c r="BB11" i="1"/>
  <c r="BC11" i="1" s="1"/>
  <c r="BB10" i="1"/>
  <c r="BC10" i="1" s="1"/>
  <c r="BB9" i="1"/>
  <c r="BC9" i="1" s="1"/>
  <c r="BB6" i="1"/>
  <c r="BC6" i="1" s="1"/>
  <c r="BB5" i="1"/>
  <c r="BC5" i="1" s="1"/>
  <c r="BB4" i="1"/>
  <c r="BC4" i="1" s="1"/>
  <c r="BB3" i="1"/>
  <c r="BC3" i="1" s="1"/>
  <c r="BB2" i="1"/>
  <c r="BC2" i="1" s="1"/>
  <c r="AZ52" i="1"/>
  <c r="BA52" i="1" s="1"/>
  <c r="AZ51" i="1"/>
  <c r="BA51" i="1" s="1"/>
  <c r="AZ50" i="1"/>
  <c r="BA50" i="1" s="1"/>
  <c r="AZ49" i="1"/>
  <c r="BA49" i="1" s="1"/>
  <c r="AZ48" i="1"/>
  <c r="BA48" i="1" s="1"/>
  <c r="AZ47" i="1"/>
  <c r="BA47" i="1" s="1"/>
  <c r="AZ46" i="1"/>
  <c r="BA46" i="1" s="1"/>
  <c r="AZ45" i="1"/>
  <c r="BA45" i="1" s="1"/>
  <c r="AZ44" i="1"/>
  <c r="BA44" i="1" s="1"/>
  <c r="AZ43" i="1"/>
  <c r="BA43" i="1" s="1"/>
  <c r="AZ42" i="1"/>
  <c r="BA42" i="1" s="1"/>
  <c r="AZ41" i="1"/>
  <c r="BA41" i="1" s="1"/>
  <c r="AZ40" i="1"/>
  <c r="BA40" i="1" s="1"/>
  <c r="AZ39" i="1"/>
  <c r="BA39" i="1" s="1"/>
  <c r="AZ32" i="1"/>
  <c r="BA32" i="1" s="1"/>
  <c r="AZ31" i="1"/>
  <c r="BA31" i="1" s="1"/>
  <c r="AZ30" i="1"/>
  <c r="BA30" i="1" s="1"/>
  <c r="AZ29" i="1"/>
  <c r="BA29" i="1" s="1"/>
  <c r="AZ28" i="1"/>
  <c r="BA28" i="1" s="1"/>
  <c r="AZ27" i="1"/>
  <c r="BA27" i="1" s="1"/>
  <c r="AZ26" i="1"/>
  <c r="BA26" i="1" s="1"/>
  <c r="AZ25" i="1"/>
  <c r="BA25" i="1" s="1"/>
  <c r="AZ24" i="1"/>
  <c r="BA24" i="1" s="1"/>
  <c r="AZ23" i="1"/>
  <c r="BA23" i="1" s="1"/>
  <c r="AZ22" i="1"/>
  <c r="BA22" i="1" s="1"/>
  <c r="AZ21" i="1"/>
  <c r="BA21" i="1" s="1"/>
  <c r="AZ20" i="1"/>
  <c r="BA20" i="1" s="1"/>
  <c r="AZ19" i="1"/>
  <c r="BA19" i="1" s="1"/>
  <c r="AZ12" i="1"/>
  <c r="BA12" i="1" s="1"/>
  <c r="AZ11" i="1"/>
  <c r="BA11" i="1" s="1"/>
  <c r="AZ10" i="1"/>
  <c r="BA10" i="1" s="1"/>
  <c r="AZ9" i="1"/>
  <c r="BA9" i="1" s="1"/>
  <c r="AZ3" i="1"/>
  <c r="BA3" i="1" s="1"/>
  <c r="AZ4" i="1"/>
  <c r="BA4" i="1" s="1"/>
  <c r="AZ5" i="1"/>
  <c r="BA5" i="1" s="1"/>
  <c r="AZ6" i="1"/>
  <c r="BA6" i="1" s="1"/>
  <c r="AZ2" i="1"/>
  <c r="BA2" i="1" s="1"/>
  <c r="AX52" i="1"/>
  <c r="AY52" i="1" s="1"/>
  <c r="AX51" i="1"/>
  <c r="AY51" i="1" s="1"/>
  <c r="AX50" i="1"/>
  <c r="AY50" i="1" s="1"/>
  <c r="AX49" i="1"/>
  <c r="AY49" i="1" s="1"/>
  <c r="AX48" i="1"/>
  <c r="AY48" i="1" s="1"/>
  <c r="AX47" i="1"/>
  <c r="AY47" i="1" s="1"/>
  <c r="AX46" i="1"/>
  <c r="AY46" i="1" s="1"/>
  <c r="AX45" i="1"/>
  <c r="AY45" i="1" s="1"/>
  <c r="AX44" i="1"/>
  <c r="AY44" i="1" s="1"/>
  <c r="AX43" i="1"/>
  <c r="AY43" i="1" s="1"/>
  <c r="AX42" i="1"/>
  <c r="AY42" i="1" s="1"/>
  <c r="AX41" i="1"/>
  <c r="AY41" i="1" s="1"/>
  <c r="AX40" i="1"/>
  <c r="AY40" i="1" s="1"/>
  <c r="AX39" i="1"/>
  <c r="AY39" i="1" s="1"/>
  <c r="AX32" i="1"/>
  <c r="AY32" i="1" s="1"/>
  <c r="AX31" i="1"/>
  <c r="AY31" i="1" s="1"/>
  <c r="AX30" i="1"/>
  <c r="AX29" i="1"/>
  <c r="AY29" i="1" s="1"/>
  <c r="AX28" i="1"/>
  <c r="AY28" i="1" s="1"/>
  <c r="AX27" i="1"/>
  <c r="AY27" i="1" s="1"/>
  <c r="AX26" i="1"/>
  <c r="AY26" i="1" s="1"/>
  <c r="AX25" i="1"/>
  <c r="AY25" i="1" s="1"/>
  <c r="AX24" i="1"/>
  <c r="AY24" i="1" s="1"/>
  <c r="AX23" i="1"/>
  <c r="AY23" i="1" s="1"/>
  <c r="AX22" i="1"/>
  <c r="AY22" i="1" s="1"/>
  <c r="AX21" i="1"/>
  <c r="AY21" i="1" s="1"/>
  <c r="AX20" i="1"/>
  <c r="AY20" i="1" s="1"/>
  <c r="AX19" i="1"/>
  <c r="AY19" i="1" s="1"/>
  <c r="AX12" i="1"/>
  <c r="AY12" i="1" s="1"/>
  <c r="AX11" i="1"/>
  <c r="AY11" i="1" s="1"/>
  <c r="AX10" i="1"/>
  <c r="AY10" i="1" s="1"/>
  <c r="AX9" i="1"/>
  <c r="AY9" i="1" s="1"/>
  <c r="AX6" i="1"/>
  <c r="AY6" i="1" s="1"/>
  <c r="AX5" i="1"/>
  <c r="AY5" i="1" s="1"/>
  <c r="AX4" i="1"/>
  <c r="AY4" i="1" s="1"/>
  <c r="AX3" i="1"/>
  <c r="AY3" i="1" s="1"/>
  <c r="AX2" i="1"/>
  <c r="AY2" i="1" s="1"/>
  <c r="AV52" i="1"/>
  <c r="AW52" i="1" s="1"/>
  <c r="AV51" i="1"/>
  <c r="AW51" i="1" s="1"/>
  <c r="AV50" i="1"/>
  <c r="AW50" i="1" s="1"/>
  <c r="AV49" i="1"/>
  <c r="AW49" i="1" s="1"/>
  <c r="AV48" i="1"/>
  <c r="AW48" i="1" s="1"/>
  <c r="AV47" i="1"/>
  <c r="AW47" i="1" s="1"/>
  <c r="AV46" i="1"/>
  <c r="AW46" i="1" s="1"/>
  <c r="AV45" i="1"/>
  <c r="AW45" i="1" s="1"/>
  <c r="AV44" i="1"/>
  <c r="AW44" i="1" s="1"/>
  <c r="AV43" i="1"/>
  <c r="AW43" i="1" s="1"/>
  <c r="AV42" i="1"/>
  <c r="AW42" i="1" s="1"/>
  <c r="AV41" i="1"/>
  <c r="AW41" i="1" s="1"/>
  <c r="AV40" i="1"/>
  <c r="AW40" i="1" s="1"/>
  <c r="AV39" i="1"/>
  <c r="AW39" i="1" s="1"/>
  <c r="AV32" i="1"/>
  <c r="AW32" i="1" s="1"/>
  <c r="AV31" i="1"/>
  <c r="AW31" i="1" s="1"/>
  <c r="AV30" i="1"/>
  <c r="AW30" i="1" s="1"/>
  <c r="AV29" i="1"/>
  <c r="AW29" i="1" s="1"/>
  <c r="AV28" i="1"/>
  <c r="AW28" i="1" s="1"/>
  <c r="AV27" i="1"/>
  <c r="AW27" i="1" s="1"/>
  <c r="AV26" i="1"/>
  <c r="AW26" i="1" s="1"/>
  <c r="AV25" i="1"/>
  <c r="AW25" i="1" s="1"/>
  <c r="AV24" i="1"/>
  <c r="AW24" i="1" s="1"/>
  <c r="AV23" i="1"/>
  <c r="AW23" i="1" s="1"/>
  <c r="AV22" i="1"/>
  <c r="AW22" i="1" s="1"/>
  <c r="AV21" i="1"/>
  <c r="AW21" i="1" s="1"/>
  <c r="AV20" i="1"/>
  <c r="AW20" i="1" s="1"/>
  <c r="AV19" i="1"/>
  <c r="AW19" i="1" s="1"/>
  <c r="AV12" i="1"/>
  <c r="AW12" i="1" s="1"/>
  <c r="AV11" i="1"/>
  <c r="AW11" i="1" s="1"/>
  <c r="AV10" i="1"/>
  <c r="AW10" i="1" s="1"/>
  <c r="AV9" i="1"/>
  <c r="AW9" i="1" s="1"/>
  <c r="AV6" i="1"/>
  <c r="AW6" i="1" s="1"/>
  <c r="AV5" i="1"/>
  <c r="AW5" i="1" s="1"/>
  <c r="AV4" i="1"/>
  <c r="AW4" i="1" s="1"/>
  <c r="AV3" i="1"/>
  <c r="AW3" i="1" s="1"/>
  <c r="AV2" i="1"/>
  <c r="AW2" i="1" s="1"/>
  <c r="AT52" i="1"/>
  <c r="AU52" i="1" s="1"/>
  <c r="AT51" i="1"/>
  <c r="AU51" i="1" s="1"/>
  <c r="AT50" i="1"/>
  <c r="AU50" i="1" s="1"/>
  <c r="AT49" i="1"/>
  <c r="AU49" i="1" s="1"/>
  <c r="AT48" i="1"/>
  <c r="AU48" i="1" s="1"/>
  <c r="AT47" i="1"/>
  <c r="AU47" i="1" s="1"/>
  <c r="AT46" i="1"/>
  <c r="AU46" i="1" s="1"/>
  <c r="AT45" i="1"/>
  <c r="AU45" i="1" s="1"/>
  <c r="AT44" i="1"/>
  <c r="AU44" i="1" s="1"/>
  <c r="AT43" i="1"/>
  <c r="AU43" i="1" s="1"/>
  <c r="AT42" i="1"/>
  <c r="AU42" i="1" s="1"/>
  <c r="AT41" i="1"/>
  <c r="AU41" i="1" s="1"/>
  <c r="AT40" i="1"/>
  <c r="AU40" i="1" s="1"/>
  <c r="AT39" i="1"/>
  <c r="AU39" i="1" s="1"/>
  <c r="AT32" i="1"/>
  <c r="AU32" i="1" s="1"/>
  <c r="AT31" i="1"/>
  <c r="AU31" i="1" s="1"/>
  <c r="AT30" i="1"/>
  <c r="AU30" i="1" s="1"/>
  <c r="AT29" i="1"/>
  <c r="AU29" i="1" s="1"/>
  <c r="AT28" i="1"/>
  <c r="AU28" i="1" s="1"/>
  <c r="AT27" i="1"/>
  <c r="AU27" i="1" s="1"/>
  <c r="AT26" i="1"/>
  <c r="AU26" i="1" s="1"/>
  <c r="AT25" i="1"/>
  <c r="AU25" i="1" s="1"/>
  <c r="AT24" i="1"/>
  <c r="AU24" i="1" s="1"/>
  <c r="AT23" i="1"/>
  <c r="AU23" i="1" s="1"/>
  <c r="AT22" i="1"/>
  <c r="AU22" i="1" s="1"/>
  <c r="AT21" i="1"/>
  <c r="AU21" i="1" s="1"/>
  <c r="AT20" i="1"/>
  <c r="AU20" i="1" s="1"/>
  <c r="AT19" i="1"/>
  <c r="AU19" i="1" s="1"/>
  <c r="AT12" i="1"/>
  <c r="AU12" i="1" s="1"/>
  <c r="AT11" i="1"/>
  <c r="AU11" i="1" s="1"/>
  <c r="AT10" i="1"/>
  <c r="AU10" i="1" s="1"/>
  <c r="AT9" i="1"/>
  <c r="AU9" i="1" s="1"/>
  <c r="AT6" i="1"/>
  <c r="AU6" i="1" s="1"/>
  <c r="AT5" i="1"/>
  <c r="AU5" i="1" s="1"/>
  <c r="AT4" i="1"/>
  <c r="AU4" i="1" s="1"/>
  <c r="AT3" i="1"/>
  <c r="AU3" i="1" s="1"/>
  <c r="AT2" i="1"/>
  <c r="AU2" i="1" s="1"/>
  <c r="AR52" i="1"/>
  <c r="AS52" i="1" s="1"/>
  <c r="AR51" i="1"/>
  <c r="AS51" i="1" s="1"/>
  <c r="AR50" i="1"/>
  <c r="AS50" i="1" s="1"/>
  <c r="AR49" i="1"/>
  <c r="AS49" i="1" s="1"/>
  <c r="AR48" i="1"/>
  <c r="AS48" i="1" s="1"/>
  <c r="AR47" i="1"/>
  <c r="AS47" i="1" s="1"/>
  <c r="AR46" i="1"/>
  <c r="AS46" i="1" s="1"/>
  <c r="AR45" i="1"/>
  <c r="AS45" i="1" s="1"/>
  <c r="AR44" i="1"/>
  <c r="AS44" i="1" s="1"/>
  <c r="AR43" i="1"/>
  <c r="AS43" i="1" s="1"/>
  <c r="AR42" i="1"/>
  <c r="AS42" i="1" s="1"/>
  <c r="AR41" i="1"/>
  <c r="AS41" i="1" s="1"/>
  <c r="AR40" i="1"/>
  <c r="AS40" i="1" s="1"/>
  <c r="AR39" i="1"/>
  <c r="AS39" i="1" s="1"/>
  <c r="AR32" i="1"/>
  <c r="AS32" i="1" s="1"/>
  <c r="AR31" i="1"/>
  <c r="AS31" i="1" s="1"/>
  <c r="AR30" i="1"/>
  <c r="AS30" i="1" s="1"/>
  <c r="AR29" i="1"/>
  <c r="AS29" i="1" s="1"/>
  <c r="AR28" i="1"/>
  <c r="AS28" i="1" s="1"/>
  <c r="AR27" i="1"/>
  <c r="AS27" i="1" s="1"/>
  <c r="AR26" i="1"/>
  <c r="AS26" i="1" s="1"/>
  <c r="AR25" i="1"/>
  <c r="AS25" i="1" s="1"/>
  <c r="AR24" i="1"/>
  <c r="AS24" i="1" s="1"/>
  <c r="AR23" i="1"/>
  <c r="AS23" i="1" s="1"/>
  <c r="AR22" i="1"/>
  <c r="AS22" i="1" s="1"/>
  <c r="AR21" i="1"/>
  <c r="AS21" i="1" s="1"/>
  <c r="AR20" i="1"/>
  <c r="AS20" i="1" s="1"/>
  <c r="AR19" i="1"/>
  <c r="AS19" i="1" s="1"/>
  <c r="AR12" i="1"/>
  <c r="AS12" i="1" s="1"/>
  <c r="AR11" i="1"/>
  <c r="AS11" i="1" s="1"/>
  <c r="AR10" i="1"/>
  <c r="AS10" i="1" s="1"/>
  <c r="AR9" i="1"/>
  <c r="AS9" i="1" s="1"/>
  <c r="AR6" i="1"/>
  <c r="AS6" i="1" s="1"/>
  <c r="AR5" i="1"/>
  <c r="AS5" i="1" s="1"/>
  <c r="AR4" i="1"/>
  <c r="AS4" i="1" s="1"/>
  <c r="AR3" i="1"/>
  <c r="AS3" i="1" s="1"/>
  <c r="AR2" i="1"/>
  <c r="AS2" i="1" s="1"/>
  <c r="AP52" i="1"/>
  <c r="AQ52" i="1" s="1"/>
  <c r="AP51" i="1"/>
  <c r="AQ51" i="1" s="1"/>
  <c r="AP50" i="1"/>
  <c r="AQ50" i="1" s="1"/>
  <c r="AP49" i="1"/>
  <c r="AQ49" i="1" s="1"/>
  <c r="AP48" i="1"/>
  <c r="AQ48" i="1" s="1"/>
  <c r="AP47" i="1"/>
  <c r="AQ47" i="1" s="1"/>
  <c r="AP46" i="1"/>
  <c r="AQ46" i="1" s="1"/>
  <c r="AP45" i="1"/>
  <c r="AQ45" i="1" s="1"/>
  <c r="AP44" i="1"/>
  <c r="AQ44" i="1" s="1"/>
  <c r="AP43" i="1"/>
  <c r="AQ43" i="1" s="1"/>
  <c r="AP42" i="1"/>
  <c r="AQ42" i="1" s="1"/>
  <c r="AP41" i="1"/>
  <c r="AQ41" i="1" s="1"/>
  <c r="AP40" i="1"/>
  <c r="AQ40" i="1" s="1"/>
  <c r="AP39" i="1"/>
  <c r="AQ39" i="1" s="1"/>
  <c r="AP32" i="1"/>
  <c r="AQ32" i="1" s="1"/>
  <c r="AP31" i="1"/>
  <c r="AQ31" i="1" s="1"/>
  <c r="AP30" i="1"/>
  <c r="AQ30" i="1" s="1"/>
  <c r="AP29" i="1"/>
  <c r="AQ29" i="1" s="1"/>
  <c r="AP28" i="1"/>
  <c r="AQ28" i="1" s="1"/>
  <c r="AP27" i="1"/>
  <c r="AQ27" i="1" s="1"/>
  <c r="AP26" i="1"/>
  <c r="AQ26" i="1" s="1"/>
  <c r="AP25" i="1"/>
  <c r="AQ25" i="1" s="1"/>
  <c r="AP24" i="1"/>
  <c r="AQ24" i="1" s="1"/>
  <c r="AP23" i="1"/>
  <c r="AQ23" i="1" s="1"/>
  <c r="AP22" i="1"/>
  <c r="AQ22" i="1" s="1"/>
  <c r="AP21" i="1"/>
  <c r="AQ21" i="1" s="1"/>
  <c r="AP20" i="1"/>
  <c r="AQ20" i="1" s="1"/>
  <c r="AP19" i="1"/>
  <c r="AQ19" i="1" s="1"/>
  <c r="AP12" i="1"/>
  <c r="AQ12" i="1" s="1"/>
  <c r="AP11" i="1"/>
  <c r="AQ11" i="1" s="1"/>
  <c r="AP10" i="1"/>
  <c r="AQ10" i="1" s="1"/>
  <c r="AP9" i="1"/>
  <c r="AQ9" i="1" s="1"/>
  <c r="AP6" i="1"/>
  <c r="AQ6" i="1" s="1"/>
  <c r="AP5" i="1"/>
  <c r="AQ5" i="1" s="1"/>
  <c r="AP4" i="1"/>
  <c r="AQ4" i="1" s="1"/>
  <c r="AP3" i="1"/>
  <c r="AQ3" i="1" s="1"/>
  <c r="AP2" i="1"/>
  <c r="AQ2" i="1" s="1"/>
  <c r="AN52" i="1"/>
  <c r="AO52" i="1" s="1"/>
  <c r="AN51" i="1"/>
  <c r="AO51" i="1" s="1"/>
  <c r="AN50" i="1"/>
  <c r="AO50" i="1" s="1"/>
  <c r="AN49" i="1"/>
  <c r="AO49" i="1" s="1"/>
  <c r="AN48" i="1"/>
  <c r="AO48" i="1" s="1"/>
  <c r="AN47" i="1"/>
  <c r="AO47" i="1" s="1"/>
  <c r="AN46" i="1"/>
  <c r="AO46" i="1" s="1"/>
  <c r="AN45" i="1"/>
  <c r="AO45" i="1" s="1"/>
  <c r="AN44" i="1"/>
  <c r="AO44" i="1" s="1"/>
  <c r="AN43" i="1"/>
  <c r="AO43" i="1" s="1"/>
  <c r="AN42" i="1"/>
  <c r="AO42" i="1" s="1"/>
  <c r="AN41" i="1"/>
  <c r="AO41" i="1" s="1"/>
  <c r="AN40" i="1"/>
  <c r="AO40" i="1" s="1"/>
  <c r="AN39" i="1"/>
  <c r="AO39" i="1" s="1"/>
  <c r="AN32" i="1"/>
  <c r="AO32" i="1" s="1"/>
  <c r="AN31" i="1"/>
  <c r="AO31" i="1" s="1"/>
  <c r="AN30" i="1"/>
  <c r="AO30" i="1" s="1"/>
  <c r="AN29" i="1"/>
  <c r="AO29" i="1" s="1"/>
  <c r="AN28" i="1"/>
  <c r="AO28" i="1" s="1"/>
  <c r="AN27" i="1"/>
  <c r="AO27" i="1" s="1"/>
  <c r="AN26" i="1"/>
  <c r="AO26" i="1" s="1"/>
  <c r="AN25" i="1"/>
  <c r="AO25" i="1" s="1"/>
  <c r="AN24" i="1"/>
  <c r="AO24" i="1" s="1"/>
  <c r="AN23" i="1"/>
  <c r="AO23" i="1" s="1"/>
  <c r="AN22" i="1"/>
  <c r="AO22" i="1" s="1"/>
  <c r="AN21" i="1"/>
  <c r="AO21" i="1" s="1"/>
  <c r="AN20" i="1"/>
  <c r="AO20" i="1" s="1"/>
  <c r="AN19" i="1"/>
  <c r="AO19" i="1" s="1"/>
  <c r="AN12" i="1"/>
  <c r="AO12" i="1" s="1"/>
  <c r="AN11" i="1"/>
  <c r="AO11" i="1" s="1"/>
  <c r="AN10" i="1"/>
  <c r="AO10" i="1" s="1"/>
  <c r="AN9" i="1"/>
  <c r="AO9" i="1" s="1"/>
  <c r="AN6" i="1"/>
  <c r="AO6" i="1" s="1"/>
  <c r="AN5" i="1"/>
  <c r="AO5" i="1" s="1"/>
  <c r="AN4" i="1"/>
  <c r="AO4" i="1" s="1"/>
  <c r="AN3" i="1"/>
  <c r="AO3" i="1" s="1"/>
  <c r="AN2" i="1"/>
  <c r="AO2" i="1" s="1"/>
  <c r="AL52" i="1"/>
  <c r="AM52" i="1" s="1"/>
  <c r="AL51" i="1"/>
  <c r="AM51" i="1" s="1"/>
  <c r="AL50" i="1"/>
  <c r="AM50" i="1" s="1"/>
  <c r="AL49" i="1"/>
  <c r="AM49" i="1" s="1"/>
  <c r="AL48" i="1"/>
  <c r="AM48" i="1" s="1"/>
  <c r="AL47" i="1"/>
  <c r="AM47" i="1" s="1"/>
  <c r="AL46" i="1"/>
  <c r="AM46" i="1" s="1"/>
  <c r="AL45" i="1"/>
  <c r="AM45" i="1" s="1"/>
  <c r="AL44" i="1"/>
  <c r="AM44" i="1" s="1"/>
  <c r="AL43" i="1"/>
  <c r="AM43" i="1" s="1"/>
  <c r="AL42" i="1"/>
  <c r="AM42" i="1" s="1"/>
  <c r="AL41" i="1"/>
  <c r="AM41" i="1" s="1"/>
  <c r="AL40" i="1"/>
  <c r="AM40" i="1" s="1"/>
  <c r="AL39" i="1"/>
  <c r="AM39" i="1" s="1"/>
  <c r="AL32" i="1"/>
  <c r="AM32" i="1" s="1"/>
  <c r="AL31" i="1"/>
  <c r="AM31" i="1" s="1"/>
  <c r="AL30" i="1"/>
  <c r="AM30" i="1" s="1"/>
  <c r="AL29" i="1"/>
  <c r="AM29" i="1" s="1"/>
  <c r="AL28" i="1"/>
  <c r="AM28" i="1" s="1"/>
  <c r="AL27" i="1"/>
  <c r="AM27" i="1" s="1"/>
  <c r="AL26" i="1"/>
  <c r="AM26" i="1" s="1"/>
  <c r="AL25" i="1"/>
  <c r="AM25" i="1" s="1"/>
  <c r="AL24" i="1"/>
  <c r="AM24" i="1" s="1"/>
  <c r="AL23" i="1"/>
  <c r="AM23" i="1" s="1"/>
  <c r="AL22" i="1"/>
  <c r="AM22" i="1" s="1"/>
  <c r="AL21" i="1"/>
  <c r="AM21" i="1" s="1"/>
  <c r="AL20" i="1"/>
  <c r="AM20" i="1" s="1"/>
  <c r="AL19" i="1"/>
  <c r="AM19" i="1" s="1"/>
  <c r="AL12" i="1"/>
  <c r="AM12" i="1" s="1"/>
  <c r="AL11" i="1"/>
  <c r="AM11" i="1" s="1"/>
  <c r="AL10" i="1"/>
  <c r="AM10" i="1" s="1"/>
  <c r="AL9" i="1"/>
  <c r="AM9" i="1" s="1"/>
  <c r="AL6" i="1"/>
  <c r="AM6" i="1" s="1"/>
  <c r="AL5" i="1"/>
  <c r="AM5" i="1" s="1"/>
  <c r="AL4" i="1"/>
  <c r="AM4" i="1" s="1"/>
  <c r="AL3" i="1"/>
  <c r="AM3" i="1" s="1"/>
  <c r="AL2" i="1"/>
  <c r="AM2" i="1" s="1"/>
  <c r="AJ52" i="1"/>
  <c r="AK52" i="1" s="1"/>
  <c r="AJ51" i="1"/>
  <c r="AK51" i="1" s="1"/>
  <c r="AJ50" i="1"/>
  <c r="AK50" i="1" s="1"/>
  <c r="AJ49" i="1"/>
  <c r="AK49" i="1" s="1"/>
  <c r="AJ48" i="1"/>
  <c r="AK48" i="1" s="1"/>
  <c r="AJ47" i="1"/>
  <c r="AK47" i="1" s="1"/>
  <c r="AJ46" i="1"/>
  <c r="AK46" i="1" s="1"/>
  <c r="AJ45" i="1"/>
  <c r="AK45" i="1" s="1"/>
  <c r="AJ44" i="1"/>
  <c r="AK44" i="1" s="1"/>
  <c r="AJ43" i="1"/>
  <c r="AK43" i="1" s="1"/>
  <c r="AJ42" i="1"/>
  <c r="AK42" i="1" s="1"/>
  <c r="AJ41" i="1"/>
  <c r="AK41" i="1" s="1"/>
  <c r="AJ40" i="1"/>
  <c r="AK40" i="1" s="1"/>
  <c r="AJ39" i="1"/>
  <c r="AK39" i="1" s="1"/>
  <c r="AJ32" i="1"/>
  <c r="AK32" i="1" s="1"/>
  <c r="AJ31" i="1"/>
  <c r="AK31" i="1" s="1"/>
  <c r="AJ30" i="1"/>
  <c r="AK30" i="1" s="1"/>
  <c r="AJ29" i="1"/>
  <c r="AK29" i="1" s="1"/>
  <c r="AJ28" i="1"/>
  <c r="AK28" i="1" s="1"/>
  <c r="AJ27" i="1"/>
  <c r="AK27" i="1" s="1"/>
  <c r="AJ26" i="1"/>
  <c r="AK26" i="1" s="1"/>
  <c r="AJ25" i="1"/>
  <c r="AK25" i="1" s="1"/>
  <c r="AJ24" i="1"/>
  <c r="AK24" i="1" s="1"/>
  <c r="AJ23" i="1"/>
  <c r="AK23" i="1" s="1"/>
  <c r="AJ22" i="1"/>
  <c r="AK22" i="1" s="1"/>
  <c r="AJ21" i="1"/>
  <c r="AK21" i="1" s="1"/>
  <c r="AJ20" i="1"/>
  <c r="AK20" i="1" s="1"/>
  <c r="AJ19" i="1"/>
  <c r="AK19" i="1" s="1"/>
  <c r="AJ12" i="1"/>
  <c r="AK12" i="1" s="1"/>
  <c r="AJ11" i="1"/>
  <c r="AK11" i="1" s="1"/>
  <c r="AJ10" i="1"/>
  <c r="AK10" i="1" s="1"/>
  <c r="AJ9" i="1"/>
  <c r="AK9" i="1" s="1"/>
  <c r="AJ3" i="1"/>
  <c r="AK3" i="1" s="1"/>
  <c r="AJ4" i="1"/>
  <c r="AK4" i="1" s="1"/>
  <c r="AJ5" i="1"/>
  <c r="AK5" i="1" s="1"/>
  <c r="AJ6" i="1"/>
  <c r="AK6" i="1" s="1"/>
  <c r="AJ2" i="1"/>
  <c r="AK2" i="1" s="1"/>
  <c r="AH52" i="1"/>
  <c r="AI52" i="1" s="1"/>
  <c r="AH51" i="1"/>
  <c r="AI51" i="1" s="1"/>
  <c r="AH50" i="1"/>
  <c r="AI50" i="1" s="1"/>
  <c r="AH49" i="1"/>
  <c r="AI49" i="1" s="1"/>
  <c r="AH48" i="1"/>
  <c r="AI48" i="1" s="1"/>
  <c r="AH47" i="1"/>
  <c r="AI47" i="1" s="1"/>
  <c r="AH46" i="1"/>
  <c r="AI46" i="1" s="1"/>
  <c r="AH45" i="1"/>
  <c r="AI45" i="1" s="1"/>
  <c r="AH44" i="1"/>
  <c r="AI44" i="1" s="1"/>
  <c r="AH43" i="1"/>
  <c r="AI43" i="1" s="1"/>
  <c r="AH42" i="1"/>
  <c r="AI42" i="1" s="1"/>
  <c r="AH41" i="1"/>
  <c r="AI41" i="1" s="1"/>
  <c r="AH40" i="1"/>
  <c r="AI40" i="1" s="1"/>
  <c r="AH39" i="1"/>
  <c r="AI39" i="1" s="1"/>
  <c r="AH32" i="1"/>
  <c r="AI32" i="1" s="1"/>
  <c r="AH31" i="1"/>
  <c r="AI31" i="1" s="1"/>
  <c r="AH30" i="1"/>
  <c r="AI30" i="1" s="1"/>
  <c r="AH29" i="1"/>
  <c r="AI29" i="1" s="1"/>
  <c r="AH28" i="1"/>
  <c r="AI28" i="1" s="1"/>
  <c r="AH27" i="1"/>
  <c r="AI27" i="1" s="1"/>
  <c r="AH26" i="1"/>
  <c r="AI26" i="1" s="1"/>
  <c r="AH25" i="1"/>
  <c r="AI25" i="1" s="1"/>
  <c r="AH24" i="1"/>
  <c r="AI24" i="1" s="1"/>
  <c r="AH23" i="1"/>
  <c r="AI23" i="1" s="1"/>
  <c r="AH22" i="1"/>
  <c r="AI22" i="1" s="1"/>
  <c r="AH21" i="1"/>
  <c r="AI21" i="1" s="1"/>
  <c r="AH20" i="1"/>
  <c r="AI20" i="1" s="1"/>
  <c r="AH19" i="1"/>
  <c r="AI19" i="1" s="1"/>
  <c r="AH12" i="1"/>
  <c r="AI12" i="1" s="1"/>
  <c r="AH11" i="1"/>
  <c r="AI11" i="1" s="1"/>
  <c r="AH10" i="1"/>
  <c r="AI10" i="1" s="1"/>
  <c r="AH9" i="1"/>
  <c r="AI9" i="1" s="1"/>
  <c r="AH3" i="1"/>
  <c r="AI3" i="1" s="1"/>
  <c r="AH4" i="1"/>
  <c r="AI4" i="1" s="1"/>
  <c r="AH5" i="1"/>
  <c r="AI5" i="1" s="1"/>
  <c r="AH6" i="1"/>
  <c r="AI6" i="1" s="1"/>
  <c r="AH2" i="1"/>
  <c r="AI2" i="1" s="1"/>
  <c r="AV53" i="1" l="1"/>
  <c r="AW53" i="1" s="1"/>
  <c r="BB33" i="1"/>
  <c r="BC33" i="1" s="1"/>
  <c r="AR53" i="1"/>
  <c r="AS53" i="1" s="1"/>
  <c r="AX13" i="1"/>
  <c r="AY13" i="1" s="1"/>
  <c r="BD33" i="1"/>
  <c r="BE33" i="1" s="1"/>
  <c r="BD13" i="1"/>
  <c r="BE13" i="1" s="1"/>
  <c r="AP53" i="1"/>
  <c r="AQ53" i="1" s="1"/>
  <c r="AR33" i="1"/>
  <c r="AS33" i="1" s="1"/>
  <c r="AN33" i="1"/>
  <c r="AO33" i="1" s="1"/>
  <c r="BD53" i="1"/>
  <c r="BE53" i="1" s="1"/>
  <c r="AX53" i="1"/>
  <c r="AY53" i="1" s="1"/>
  <c r="BA21" i="8"/>
  <c r="BB21" i="8" s="1"/>
  <c r="BA21" i="9"/>
  <c r="BB21" i="9" s="1"/>
  <c r="BB53" i="1"/>
  <c r="BC53" i="1" s="1"/>
  <c r="AT53" i="1"/>
  <c r="AU53" i="1" s="1"/>
  <c r="AM10" i="4"/>
  <c r="AN10" i="4" s="1"/>
  <c r="AQ41" i="6"/>
  <c r="AR41" i="6" s="1"/>
  <c r="AQ61" i="6"/>
  <c r="AR61" i="6" s="1"/>
  <c r="AM41" i="9"/>
  <c r="AN41" i="9" s="1"/>
  <c r="AN13" i="1"/>
  <c r="AO13" i="1" s="1"/>
  <c r="AO10" i="4"/>
  <c r="AP10" i="4" s="1"/>
  <c r="BA21" i="4"/>
  <c r="BB21" i="4" s="1"/>
  <c r="AU41" i="4"/>
  <c r="AV41" i="4" s="1"/>
  <c r="AZ33" i="1"/>
  <c r="BA33" i="1" s="1"/>
  <c r="AQ10" i="4"/>
  <c r="AR10" i="4" s="1"/>
  <c r="BC21" i="4"/>
  <c r="BD21" i="4" s="1"/>
  <c r="AW41" i="4"/>
  <c r="AX41" i="4" s="1"/>
  <c r="AY61" i="5"/>
  <c r="AZ61" i="5" s="1"/>
  <c r="AU41" i="6"/>
  <c r="AV41" i="6" s="1"/>
  <c r="AY61" i="8"/>
  <c r="AZ61" i="8" s="1"/>
  <c r="AY41" i="4"/>
  <c r="AZ41" i="4" s="1"/>
  <c r="BA61" i="5"/>
  <c r="BB61" i="5" s="1"/>
  <c r="AY21" i="8"/>
  <c r="AZ21" i="8" s="1"/>
  <c r="AY21" i="9"/>
  <c r="AZ21" i="9" s="1"/>
  <c r="AQ21" i="4"/>
  <c r="AR21" i="4" s="1"/>
  <c r="BA41" i="11"/>
  <c r="BB41" i="11" s="1"/>
  <c r="AT33" i="1"/>
  <c r="AU33" i="1" s="1"/>
  <c r="AV13" i="1"/>
  <c r="AW13" i="1" s="1"/>
  <c r="AW10" i="4"/>
  <c r="AX10" i="4" s="1"/>
  <c r="AO61" i="4"/>
  <c r="AP61" i="4" s="1"/>
  <c r="AQ10" i="10"/>
  <c r="AR10" i="10" s="1"/>
  <c r="AY10" i="4"/>
  <c r="AZ10" i="4" s="1"/>
  <c r="AQ61" i="4"/>
  <c r="AR61" i="4" s="1"/>
  <c r="AU10" i="5"/>
  <c r="AV10" i="5" s="1"/>
  <c r="BA41" i="5"/>
  <c r="BB41" i="5" s="1"/>
  <c r="AW10" i="6"/>
  <c r="AX10" i="6" s="1"/>
  <c r="AY21" i="6"/>
  <c r="AZ21" i="6" s="1"/>
  <c r="BC61" i="8"/>
  <c r="BD61" i="8" s="1"/>
  <c r="BA21" i="10"/>
  <c r="BB21" i="10" s="1"/>
  <c r="BC21" i="11"/>
  <c r="BD21" i="11" s="1"/>
  <c r="AY41" i="13"/>
  <c r="AZ41" i="13" s="1"/>
  <c r="AU61" i="13"/>
  <c r="AV61" i="13" s="1"/>
  <c r="AO61" i="14"/>
  <c r="AP61" i="14" s="1"/>
  <c r="AM10" i="15"/>
  <c r="AN10" i="15" s="1"/>
  <c r="AY41" i="15"/>
  <c r="AZ41" i="15" s="1"/>
  <c r="AW21" i="17"/>
  <c r="AX21" i="17" s="1"/>
  <c r="AY21" i="19"/>
  <c r="AZ21" i="19" s="1"/>
  <c r="AW61" i="6"/>
  <c r="AX61" i="6" s="1"/>
  <c r="AW21" i="7"/>
  <c r="AX21" i="7" s="1"/>
  <c r="BA61" i="7"/>
  <c r="BB61" i="7" s="1"/>
  <c r="BC21" i="10"/>
  <c r="BD21" i="10" s="1"/>
  <c r="AK41" i="11"/>
  <c r="AL41" i="11" s="1"/>
  <c r="AS21" i="12"/>
  <c r="AT21" i="12" s="1"/>
  <c r="AY21" i="17"/>
  <c r="AZ21" i="17" s="1"/>
  <c r="AU21" i="14"/>
  <c r="AV21" i="14" s="1"/>
  <c r="AS10" i="13"/>
  <c r="AT10" i="13" s="1"/>
  <c r="AO41" i="6"/>
  <c r="AP41" i="6" s="1"/>
  <c r="AO21" i="10"/>
  <c r="AP21" i="10" s="1"/>
  <c r="AU10" i="11"/>
  <c r="AV10" i="11" s="1"/>
  <c r="BA10" i="14"/>
  <c r="BB10" i="14" s="1"/>
  <c r="BC41" i="19"/>
  <c r="BD41" i="19" s="1"/>
  <c r="AO10" i="5"/>
  <c r="AP10" i="5" s="1"/>
  <c r="BC10" i="7"/>
  <c r="BD10" i="7" s="1"/>
  <c r="BA10" i="8"/>
  <c r="BB10" i="8" s="1"/>
  <c r="AY10" i="9"/>
  <c r="AZ10" i="9" s="1"/>
  <c r="AU21" i="11"/>
  <c r="AV21" i="11" s="1"/>
  <c r="AM41" i="13"/>
  <c r="AN41" i="13" s="1"/>
  <c r="AU10" i="16"/>
  <c r="AV10" i="16" s="1"/>
  <c r="AU41" i="16"/>
  <c r="AV41" i="16" s="1"/>
  <c r="AW10" i="19"/>
  <c r="AX10" i="19" s="1"/>
  <c r="AY10" i="19"/>
  <c r="AZ10" i="19" s="1"/>
  <c r="AU21" i="12"/>
  <c r="AV21" i="12" s="1"/>
  <c r="AG10" i="18"/>
  <c r="AH10" i="18" s="1"/>
  <c r="BA10" i="19"/>
  <c r="BB10" i="19" s="1"/>
  <c r="AG21" i="19"/>
  <c r="AH21" i="19" s="1"/>
  <c r="AG61" i="19"/>
  <c r="AH61" i="19" s="1"/>
  <c r="AM10" i="6"/>
  <c r="AN10" i="6" s="1"/>
  <c r="AO21" i="6"/>
  <c r="AP21" i="6" s="1"/>
  <c r="AM41" i="7"/>
  <c r="AN41" i="7" s="1"/>
  <c r="AM41" i="8"/>
  <c r="AN41" i="8" s="1"/>
  <c r="AY10" i="10"/>
  <c r="AZ10" i="10" s="1"/>
  <c r="AQ21" i="10"/>
  <c r="AR21" i="10" s="1"/>
  <c r="BA10" i="11"/>
  <c r="BB10" i="11" s="1"/>
  <c r="AS21" i="11"/>
  <c r="AT21" i="11" s="1"/>
  <c r="AW41" i="11"/>
  <c r="AX41" i="11" s="1"/>
  <c r="AQ61" i="11"/>
  <c r="AR61" i="11" s="1"/>
  <c r="BA21" i="12"/>
  <c r="BB21" i="12" s="1"/>
  <c r="BA10" i="13"/>
  <c r="BB10" i="13" s="1"/>
  <c r="AQ21" i="13"/>
  <c r="AR21" i="13" s="1"/>
  <c r="BA21" i="14"/>
  <c r="BB21" i="14" s="1"/>
  <c r="AM41" i="14"/>
  <c r="AN41" i="14" s="1"/>
  <c r="AO61" i="16"/>
  <c r="AP61" i="16" s="1"/>
  <c r="BA61" i="17"/>
  <c r="BB61" i="17" s="1"/>
  <c r="AI61" i="19"/>
  <c r="AJ61" i="19" s="1"/>
  <c r="BA10" i="5"/>
  <c r="BB10" i="5" s="1"/>
  <c r="AS41" i="5"/>
  <c r="AT41" i="5" s="1"/>
  <c r="AO10" i="6"/>
  <c r="AP10" i="6" s="1"/>
  <c r="AW41" i="6"/>
  <c r="AX41" i="6" s="1"/>
  <c r="AM61" i="6"/>
  <c r="AN61" i="6" s="1"/>
  <c r="AO41" i="8"/>
  <c r="AP41" i="8" s="1"/>
  <c r="BA10" i="10"/>
  <c r="BB10" i="10" s="1"/>
  <c r="BC10" i="11"/>
  <c r="BD10" i="11" s="1"/>
  <c r="AQ61" i="12"/>
  <c r="AR61" i="12" s="1"/>
  <c r="AQ41" i="13"/>
  <c r="AR41" i="13" s="1"/>
  <c r="AO41" i="14"/>
  <c r="AP41" i="14" s="1"/>
  <c r="AQ61" i="18"/>
  <c r="AR61" i="18" s="1"/>
  <c r="AQ21" i="19"/>
  <c r="AR21" i="19" s="1"/>
  <c r="AO61" i="5"/>
  <c r="AP61" i="5" s="1"/>
  <c r="AW61" i="8"/>
  <c r="AX61" i="8" s="1"/>
  <c r="BC10" i="10"/>
  <c r="BD10" i="10" s="1"/>
  <c r="AU21" i="10"/>
  <c r="AV21" i="10" s="1"/>
  <c r="AW21" i="11"/>
  <c r="AX21" i="11" s="1"/>
  <c r="AU61" i="11"/>
  <c r="AV61" i="11" s="1"/>
  <c r="AS61" i="12"/>
  <c r="AT61" i="12" s="1"/>
  <c r="AU21" i="13"/>
  <c r="AV21" i="13" s="1"/>
  <c r="AQ41" i="14"/>
  <c r="AR41" i="14" s="1"/>
  <c r="AQ61" i="14"/>
  <c r="AR61" i="14" s="1"/>
  <c r="AS61" i="15"/>
  <c r="AT61" i="15" s="1"/>
  <c r="AS21" i="16"/>
  <c r="AT21" i="16" s="1"/>
  <c r="AS61" i="16"/>
  <c r="AT61" i="16" s="1"/>
  <c r="AQ21" i="17"/>
  <c r="AR21" i="17" s="1"/>
  <c r="AS61" i="18"/>
  <c r="AT61" i="18" s="1"/>
  <c r="AS21" i="19"/>
  <c r="AT21" i="19" s="1"/>
  <c r="AM41" i="19"/>
  <c r="AN41" i="19" s="1"/>
  <c r="AW41" i="5"/>
  <c r="AX41" i="5" s="1"/>
  <c r="AU21" i="6"/>
  <c r="AV21" i="6" s="1"/>
  <c r="BA41" i="6"/>
  <c r="BB41" i="6" s="1"/>
  <c r="AM10" i="7"/>
  <c r="AN10" i="7" s="1"/>
  <c r="AU10" i="7"/>
  <c r="AV10" i="7" s="1"/>
  <c r="AU61" i="7"/>
  <c r="AV61" i="7" s="1"/>
  <c r="AS10" i="8"/>
  <c r="AT10" i="8" s="1"/>
  <c r="AS41" i="8"/>
  <c r="AT41" i="8" s="1"/>
  <c r="AO61" i="9"/>
  <c r="AP61" i="9" s="1"/>
  <c r="AW21" i="10"/>
  <c r="AX21" i="10" s="1"/>
  <c r="AU61" i="12"/>
  <c r="AV61" i="12" s="1"/>
  <c r="AU41" i="13"/>
  <c r="AV41" i="13" s="1"/>
  <c r="BC41" i="13"/>
  <c r="BD41" i="13" s="1"/>
  <c r="AS41" i="14"/>
  <c r="AT41" i="14" s="1"/>
  <c r="BA41" i="14"/>
  <c r="BB41" i="14" s="1"/>
  <c r="AS61" i="14"/>
  <c r="AT61" i="14" s="1"/>
  <c r="AY21" i="15"/>
  <c r="AZ21" i="15" s="1"/>
  <c r="AU41" i="15"/>
  <c r="AV41" i="15" s="1"/>
  <c r="AU21" i="16"/>
  <c r="AV21" i="16" s="1"/>
  <c r="AS10" i="18"/>
  <c r="AT10" i="18" s="1"/>
  <c r="AG10" i="19"/>
  <c r="AH10" i="19" s="1"/>
  <c r="AI10" i="5"/>
  <c r="AJ10" i="5" s="1"/>
  <c r="AY41" i="5"/>
  <c r="AZ41" i="5" s="1"/>
  <c r="AU10" i="6"/>
  <c r="AV10" i="6" s="1"/>
  <c r="AW21" i="6"/>
  <c r="AX21" i="6" s="1"/>
  <c r="AS61" i="6"/>
  <c r="AT61" i="6" s="1"/>
  <c r="AW10" i="7"/>
  <c r="AX10" i="7" s="1"/>
  <c r="AS21" i="7"/>
  <c r="AT21" i="7" s="1"/>
  <c r="AW61" i="7"/>
  <c r="AX61" i="7" s="1"/>
  <c r="AM10" i="8"/>
  <c r="AN10" i="8" s="1"/>
  <c r="BA61" i="8"/>
  <c r="BB61" i="8" s="1"/>
  <c r="AY21" i="10"/>
  <c r="AZ21" i="10" s="1"/>
  <c r="AQ41" i="10"/>
  <c r="AR41" i="10" s="1"/>
  <c r="AM61" i="10"/>
  <c r="AN61" i="10" s="1"/>
  <c r="BA21" i="11"/>
  <c r="BB21" i="11" s="1"/>
  <c r="AY61" i="11"/>
  <c r="AZ61" i="11" s="1"/>
  <c r="BA41" i="12"/>
  <c r="BB41" i="12" s="1"/>
  <c r="AW61" i="12"/>
  <c r="AX61" i="12" s="1"/>
  <c r="AY21" i="13"/>
  <c r="AZ21" i="13" s="1"/>
  <c r="AW41" i="13"/>
  <c r="AX41" i="13" s="1"/>
  <c r="BA21" i="15"/>
  <c r="BB21" i="15" s="1"/>
  <c r="AW41" i="15"/>
  <c r="AX41" i="15" s="1"/>
  <c r="AW61" i="15"/>
  <c r="AX61" i="15" s="1"/>
  <c r="AW21" i="16"/>
  <c r="AX21" i="16" s="1"/>
  <c r="AU10" i="18"/>
  <c r="AV10" i="18" s="1"/>
  <c r="AI10" i="19"/>
  <c r="AJ10" i="19" s="1"/>
  <c r="AK61" i="10"/>
  <c r="AL61" i="10" s="1"/>
  <c r="AK41" i="16"/>
  <c r="AL41" i="16" s="1"/>
  <c r="AK10" i="9"/>
  <c r="AL10" i="9" s="1"/>
  <c r="AK41" i="14"/>
  <c r="AL41" i="14" s="1"/>
  <c r="AK10" i="6"/>
  <c r="AL10" i="6" s="1"/>
  <c r="AK61" i="11"/>
  <c r="AL61" i="11" s="1"/>
  <c r="AL53" i="1"/>
  <c r="AM53" i="1" s="1"/>
  <c r="AL33" i="1"/>
  <c r="AM33" i="1" s="1"/>
  <c r="AL13" i="1"/>
  <c r="AM13" i="1" s="1"/>
  <c r="AK61" i="7"/>
  <c r="AL61" i="7" s="1"/>
  <c r="AI61" i="9"/>
  <c r="AJ61" i="9" s="1"/>
  <c r="AI61" i="12"/>
  <c r="AJ61" i="12" s="1"/>
  <c r="AI10" i="12"/>
  <c r="AJ10" i="12" s="1"/>
  <c r="AI21" i="8"/>
  <c r="AJ21" i="8" s="1"/>
  <c r="AI10" i="8"/>
  <c r="AJ10" i="8" s="1"/>
  <c r="AI41" i="9"/>
  <c r="AJ41" i="9" s="1"/>
  <c r="AI41" i="6"/>
  <c r="AJ41" i="6" s="1"/>
  <c r="AI41" i="11"/>
  <c r="AJ41" i="11" s="1"/>
  <c r="AJ33" i="1"/>
  <c r="AK33" i="1" s="1"/>
  <c r="AJ13" i="1"/>
  <c r="AK13" i="1" s="1"/>
  <c r="AK61" i="19"/>
  <c r="AL61" i="19" s="1"/>
  <c r="AK21" i="18"/>
  <c r="AL21" i="18" s="1"/>
  <c r="AK61" i="17"/>
  <c r="AL61" i="17" s="1"/>
  <c r="AK21" i="16"/>
  <c r="AL21" i="16" s="1"/>
  <c r="AK61" i="14"/>
  <c r="AL61" i="14" s="1"/>
  <c r="AK61" i="13"/>
  <c r="AL61" i="13" s="1"/>
  <c r="AK61" i="9"/>
  <c r="AL61" i="9" s="1"/>
  <c r="AK61" i="8"/>
  <c r="AL61" i="8" s="1"/>
  <c r="AK61" i="6"/>
  <c r="AL61" i="6" s="1"/>
  <c r="AK61" i="4"/>
  <c r="AL61" i="4" s="1"/>
  <c r="AK41" i="19"/>
  <c r="AL41" i="19" s="1"/>
  <c r="AK41" i="17"/>
  <c r="AL41" i="17" s="1"/>
  <c r="AK10" i="17"/>
  <c r="AL10" i="17" s="1"/>
  <c r="AK10" i="16"/>
  <c r="AL10" i="16" s="1"/>
  <c r="AK41" i="15"/>
  <c r="AL41" i="15" s="1"/>
  <c r="AK10" i="14"/>
  <c r="AL10" i="14" s="1"/>
  <c r="AK41" i="13"/>
  <c r="AL41" i="13" s="1"/>
  <c r="AK10" i="13"/>
  <c r="AL10" i="13" s="1"/>
  <c r="AK41" i="12"/>
  <c r="AL41" i="12" s="1"/>
  <c r="AK10" i="12"/>
  <c r="AL10" i="12" s="1"/>
  <c r="AK10" i="11"/>
  <c r="AL10" i="11" s="1"/>
  <c r="AK10" i="10"/>
  <c r="AL10" i="10" s="1"/>
  <c r="AK41" i="9"/>
  <c r="AL41" i="9" s="1"/>
  <c r="AK41" i="8"/>
  <c r="AL41" i="8" s="1"/>
  <c r="AK10" i="8"/>
  <c r="AL10" i="8" s="1"/>
  <c r="AK41" i="7"/>
  <c r="AL41" i="7" s="1"/>
  <c r="AK10" i="7"/>
  <c r="AL10" i="7" s="1"/>
  <c r="AK41" i="6"/>
  <c r="AL41" i="6" s="1"/>
  <c r="AK10" i="5"/>
  <c r="AL10" i="5" s="1"/>
  <c r="AK41" i="4"/>
  <c r="AL41" i="4" s="1"/>
  <c r="AK10" i="4"/>
  <c r="AL10" i="4" s="1"/>
  <c r="AI61" i="17"/>
  <c r="AJ61" i="17" s="1"/>
  <c r="AI21" i="17"/>
  <c r="AJ21" i="17" s="1"/>
  <c r="AI21" i="15"/>
  <c r="AJ21" i="15" s="1"/>
  <c r="AI61" i="13"/>
  <c r="AJ61" i="13" s="1"/>
  <c r="AI21" i="10"/>
  <c r="AJ21" i="10" s="1"/>
  <c r="AI41" i="19"/>
  <c r="AJ41" i="19" s="1"/>
  <c r="AI41" i="17"/>
  <c r="AJ41" i="17" s="1"/>
  <c r="AI10" i="17"/>
  <c r="AJ10" i="17" s="1"/>
  <c r="AI10" i="16"/>
  <c r="AJ10" i="16" s="1"/>
  <c r="AI41" i="15"/>
  <c r="AJ41" i="15" s="1"/>
  <c r="AI10" i="15"/>
  <c r="AJ10" i="15" s="1"/>
  <c r="AI41" i="13"/>
  <c r="AJ41" i="13" s="1"/>
  <c r="AI10" i="11"/>
  <c r="AJ10" i="11" s="1"/>
  <c r="AI41" i="10"/>
  <c r="AJ41" i="10" s="1"/>
  <c r="AI10" i="10"/>
  <c r="AJ10" i="10" s="1"/>
  <c r="AI10" i="9"/>
  <c r="AJ10" i="9" s="1"/>
  <c r="AI10" i="7"/>
  <c r="AJ10" i="7" s="1"/>
  <c r="AI10" i="6"/>
  <c r="AJ10" i="6" s="1"/>
  <c r="AI41" i="4"/>
  <c r="AJ41" i="4" s="1"/>
  <c r="AI10" i="4"/>
  <c r="AJ10" i="4" s="1"/>
  <c r="AQ61" i="19"/>
  <c r="AR61" i="19" s="1"/>
  <c r="AS61" i="19"/>
  <c r="AT61" i="19" s="1"/>
  <c r="AU61" i="19"/>
  <c r="AV61" i="19" s="1"/>
  <c r="AS41" i="19"/>
  <c r="AT41" i="19" s="1"/>
  <c r="AQ41" i="19"/>
  <c r="AR41" i="19" s="1"/>
  <c r="AU41" i="19"/>
  <c r="AV41" i="19" s="1"/>
  <c r="AO41" i="19"/>
  <c r="AP41" i="19" s="1"/>
  <c r="AO21" i="19"/>
  <c r="AP21" i="19" s="1"/>
  <c r="AU21" i="19"/>
  <c r="AV21" i="19" s="1"/>
  <c r="AW21" i="19"/>
  <c r="AX21" i="19" s="1"/>
  <c r="AQ10" i="19"/>
  <c r="AR10" i="19" s="1"/>
  <c r="AS10" i="19"/>
  <c r="AT10" i="19" s="1"/>
  <c r="AU10" i="19"/>
  <c r="AV10" i="19" s="1"/>
  <c r="AO10" i="19"/>
  <c r="AP10" i="19" s="1"/>
  <c r="AO61" i="18"/>
  <c r="AP61" i="18" s="1"/>
  <c r="AU61" i="18"/>
  <c r="AV61" i="18" s="1"/>
  <c r="AG61" i="18"/>
  <c r="AH61" i="18" s="1"/>
  <c r="AW61" i="18"/>
  <c r="AX61" i="18" s="1"/>
  <c r="AI61" i="18"/>
  <c r="AJ61" i="18" s="1"/>
  <c r="AY61" i="18"/>
  <c r="AZ61" i="18" s="1"/>
  <c r="AK61" i="18"/>
  <c r="AL61" i="18" s="1"/>
  <c r="BA61" i="18"/>
  <c r="BB61" i="18" s="1"/>
  <c r="AI41" i="18"/>
  <c r="AJ41" i="18" s="1"/>
  <c r="AY41" i="18"/>
  <c r="AZ41" i="18" s="1"/>
  <c r="AG41" i="18"/>
  <c r="AH41" i="18" s="1"/>
  <c r="AW41" i="18"/>
  <c r="AX41" i="18" s="1"/>
  <c r="AK41" i="18"/>
  <c r="AL41" i="18" s="1"/>
  <c r="BA41" i="18"/>
  <c r="BB41" i="18" s="1"/>
  <c r="AM41" i="18"/>
  <c r="AN41" i="18" s="1"/>
  <c r="BC41" i="18"/>
  <c r="BD41" i="18" s="1"/>
  <c r="AY21" i="18"/>
  <c r="AZ21" i="18" s="1"/>
  <c r="AG21" i="18"/>
  <c r="AH21" i="18" s="1"/>
  <c r="BA21" i="18"/>
  <c r="BB21" i="18" s="1"/>
  <c r="AI21" i="18"/>
  <c r="AJ21" i="18" s="1"/>
  <c r="AK10" i="18"/>
  <c r="AL10" i="18" s="1"/>
  <c r="BA10" i="18"/>
  <c r="BB10" i="18" s="1"/>
  <c r="AI10" i="18"/>
  <c r="AJ10" i="18" s="1"/>
  <c r="AM10" i="18"/>
  <c r="AN10" i="18" s="1"/>
  <c r="BC10" i="18"/>
  <c r="BD10" i="18" s="1"/>
  <c r="AY10" i="18"/>
  <c r="AZ10" i="18" s="1"/>
  <c r="AO10" i="18"/>
  <c r="AP10" i="18" s="1"/>
  <c r="AG41" i="17"/>
  <c r="AH41" i="17" s="1"/>
  <c r="AO61" i="17"/>
  <c r="AP61" i="17" s="1"/>
  <c r="AQ61" i="17"/>
  <c r="AR61" i="17" s="1"/>
  <c r="AS61" i="17"/>
  <c r="AT61" i="17" s="1"/>
  <c r="AO41" i="17"/>
  <c r="AP41" i="17" s="1"/>
  <c r="AS41" i="17"/>
  <c r="AT41" i="17" s="1"/>
  <c r="AQ41" i="17"/>
  <c r="AR41" i="17" s="1"/>
  <c r="AU41" i="17"/>
  <c r="AV41" i="17" s="1"/>
  <c r="AS21" i="17"/>
  <c r="AT21" i="17" s="1"/>
  <c r="AK21" i="17"/>
  <c r="AL21" i="17" s="1"/>
  <c r="AU21" i="17"/>
  <c r="AV21" i="17" s="1"/>
  <c r="AO10" i="17"/>
  <c r="AP10" i="17" s="1"/>
  <c r="AS10" i="17"/>
  <c r="AT10" i="17" s="1"/>
  <c r="AG21" i="16"/>
  <c r="AH21" i="16" s="1"/>
  <c r="AG10" i="16"/>
  <c r="AH10" i="16" s="1"/>
  <c r="AK61" i="16"/>
  <c r="AL61" i="16" s="1"/>
  <c r="AG61" i="16"/>
  <c r="AH61" i="16" s="1"/>
  <c r="AW61" i="16"/>
  <c r="AX61" i="16" s="1"/>
  <c r="AI61" i="16"/>
  <c r="AJ61" i="16" s="1"/>
  <c r="AY61" i="16"/>
  <c r="AZ61" i="16" s="1"/>
  <c r="AU61" i="16"/>
  <c r="AV61" i="16" s="1"/>
  <c r="BA61" i="16"/>
  <c r="BB61" i="16" s="1"/>
  <c r="AS41" i="16"/>
  <c r="AT41" i="16" s="1"/>
  <c r="AG41" i="16"/>
  <c r="AH41" i="16" s="1"/>
  <c r="AW41" i="16"/>
  <c r="AX41" i="16" s="1"/>
  <c r="AI41" i="16"/>
  <c r="AJ41" i="16" s="1"/>
  <c r="AY41" i="16"/>
  <c r="AZ41" i="16" s="1"/>
  <c r="BA41" i="16"/>
  <c r="BB41" i="16" s="1"/>
  <c r="AO21" i="16"/>
  <c r="AP21" i="16" s="1"/>
  <c r="AO10" i="16"/>
  <c r="AP10" i="16" s="1"/>
  <c r="AS10" i="16"/>
  <c r="AT10" i="16" s="1"/>
  <c r="AM61" i="15"/>
  <c r="AN61" i="15" s="1"/>
  <c r="BC61" i="15"/>
  <c r="BD61" i="15" s="1"/>
  <c r="AK61" i="15"/>
  <c r="AL61" i="15" s="1"/>
  <c r="BA61" i="15"/>
  <c r="BB61" i="15" s="1"/>
  <c r="AO61" i="15"/>
  <c r="AP61" i="15" s="1"/>
  <c r="AQ61" i="15"/>
  <c r="AR61" i="15" s="1"/>
  <c r="AM41" i="15"/>
  <c r="AN41" i="15" s="1"/>
  <c r="BC41" i="15"/>
  <c r="BD41" i="15" s="1"/>
  <c r="AO41" i="15"/>
  <c r="AP41" i="15" s="1"/>
  <c r="AS41" i="15"/>
  <c r="AT41" i="15" s="1"/>
  <c r="BA10" i="15"/>
  <c r="BB10" i="15" s="1"/>
  <c r="BC10" i="15"/>
  <c r="BD10" i="15" s="1"/>
  <c r="AS10" i="15"/>
  <c r="AT10" i="15" s="1"/>
  <c r="AU10" i="15"/>
  <c r="AV10" i="15" s="1"/>
  <c r="AG21" i="14"/>
  <c r="AH21" i="14" s="1"/>
  <c r="AI61" i="14"/>
  <c r="AJ61" i="14" s="1"/>
  <c r="AM61" i="14"/>
  <c r="AN61" i="14" s="1"/>
  <c r="BC61" i="14"/>
  <c r="BD61" i="14" s="1"/>
  <c r="AU61" i="14"/>
  <c r="AV61" i="14" s="1"/>
  <c r="AY61" i="14"/>
  <c r="AZ61" i="14" s="1"/>
  <c r="AG41" i="14"/>
  <c r="AH41" i="14" s="1"/>
  <c r="AW41" i="14"/>
  <c r="AX41" i="14" s="1"/>
  <c r="AI41" i="14"/>
  <c r="AJ41" i="14" s="1"/>
  <c r="AY41" i="14"/>
  <c r="AZ41" i="14" s="1"/>
  <c r="AU41" i="14"/>
  <c r="AV41" i="14" s="1"/>
  <c r="BC21" i="14"/>
  <c r="BD21" i="14" s="1"/>
  <c r="AS21" i="14"/>
  <c r="AT21" i="14" s="1"/>
  <c r="AY21" i="14"/>
  <c r="AZ21" i="14" s="1"/>
  <c r="AO21" i="14"/>
  <c r="AP21" i="14" s="1"/>
  <c r="AU10" i="14"/>
  <c r="AV10" i="14" s="1"/>
  <c r="AS10" i="14"/>
  <c r="AT10" i="14" s="1"/>
  <c r="AG10" i="14"/>
  <c r="AH10" i="14" s="1"/>
  <c r="AW10" i="14"/>
  <c r="AX10" i="14" s="1"/>
  <c r="AI10" i="14"/>
  <c r="AJ10" i="14" s="1"/>
  <c r="AY10" i="14"/>
  <c r="AZ10" i="14" s="1"/>
  <c r="AG61" i="13"/>
  <c r="AH61" i="13" s="1"/>
  <c r="AG41" i="13"/>
  <c r="AH41" i="13" s="1"/>
  <c r="AG10" i="13"/>
  <c r="AH10" i="13" s="1"/>
  <c r="AQ61" i="13"/>
  <c r="AR61" i="13" s="1"/>
  <c r="BC61" i="13"/>
  <c r="BD61" i="13" s="1"/>
  <c r="AO41" i="13"/>
  <c r="AP41" i="13" s="1"/>
  <c r="AS41" i="13"/>
  <c r="AT41" i="13" s="1"/>
  <c r="AG21" i="13"/>
  <c r="AH21" i="13" s="1"/>
  <c r="BA21" i="13"/>
  <c r="BB21" i="13" s="1"/>
  <c r="AI21" i="13"/>
  <c r="AJ21" i="13" s="1"/>
  <c r="AO21" i="13"/>
  <c r="AP21" i="13" s="1"/>
  <c r="AQ10" i="13"/>
  <c r="AR10" i="13" s="1"/>
  <c r="AO10" i="13"/>
  <c r="AP10" i="13" s="1"/>
  <c r="AU10" i="13"/>
  <c r="AV10" i="13" s="1"/>
  <c r="AI10" i="13"/>
  <c r="AJ10" i="13" s="1"/>
  <c r="AY10" i="13"/>
  <c r="AZ10" i="13" s="1"/>
  <c r="AG61" i="12"/>
  <c r="AH61" i="12" s="1"/>
  <c r="AO61" i="12"/>
  <c r="AP61" i="12" s="1"/>
  <c r="AK61" i="12"/>
  <c r="AL61" i="12" s="1"/>
  <c r="BA61" i="12"/>
  <c r="BB61" i="12" s="1"/>
  <c r="AQ41" i="12"/>
  <c r="AR41" i="12" s="1"/>
  <c r="AU41" i="12"/>
  <c r="AV41" i="12" s="1"/>
  <c r="AG41" i="12"/>
  <c r="AH41" i="12" s="1"/>
  <c r="AW41" i="12"/>
  <c r="AX41" i="12" s="1"/>
  <c r="AI41" i="12"/>
  <c r="AJ41" i="12" s="1"/>
  <c r="AY41" i="12"/>
  <c r="AZ41" i="12" s="1"/>
  <c r="AO41" i="12"/>
  <c r="AP41" i="12" s="1"/>
  <c r="AQ21" i="12"/>
  <c r="AR21" i="12" s="1"/>
  <c r="AY21" i="12"/>
  <c r="AZ21" i="12" s="1"/>
  <c r="AG21" i="12"/>
  <c r="AH21" i="12" s="1"/>
  <c r="AI21" i="12"/>
  <c r="AJ21" i="12" s="1"/>
  <c r="AQ10" i="12"/>
  <c r="AR10" i="12" s="1"/>
  <c r="AU10" i="12"/>
  <c r="AV10" i="12" s="1"/>
  <c r="AG10" i="12"/>
  <c r="AH10" i="12" s="1"/>
  <c r="AW10" i="12"/>
  <c r="AX10" i="12" s="1"/>
  <c r="AS10" i="12"/>
  <c r="AT10" i="12" s="1"/>
  <c r="AG61" i="11"/>
  <c r="AH61" i="11" s="1"/>
  <c r="AI61" i="11"/>
  <c r="AJ61" i="11" s="1"/>
  <c r="AG21" i="11"/>
  <c r="AH21" i="11" s="1"/>
  <c r="AI21" i="11"/>
  <c r="AJ21" i="11" s="1"/>
  <c r="AG10" i="11"/>
  <c r="AH10" i="11" s="1"/>
  <c r="AG61" i="10"/>
  <c r="AH61" i="10" s="1"/>
  <c r="AI61" i="10"/>
  <c r="AJ61" i="10" s="1"/>
  <c r="AG41" i="10"/>
  <c r="AH41" i="10" s="1"/>
  <c r="AG21" i="10"/>
  <c r="AH21" i="10" s="1"/>
  <c r="AG10" i="10"/>
  <c r="AH10" i="10" s="1"/>
  <c r="AG61" i="9"/>
  <c r="AH61" i="9" s="1"/>
  <c r="AG41" i="9"/>
  <c r="AH41" i="9" s="1"/>
  <c r="AK21" i="9"/>
  <c r="AL21" i="9" s="1"/>
  <c r="AG21" i="9"/>
  <c r="AH21" i="9" s="1"/>
  <c r="AI21" i="9"/>
  <c r="AJ21" i="9" s="1"/>
  <c r="AG10" i="9"/>
  <c r="AH10" i="9" s="1"/>
  <c r="AG61" i="8"/>
  <c r="AH61" i="8" s="1"/>
  <c r="AI61" i="8"/>
  <c r="AJ61" i="8" s="1"/>
  <c r="AG41" i="8"/>
  <c r="AH41" i="8" s="1"/>
  <c r="AG10" i="8"/>
  <c r="AH10" i="8" s="1"/>
  <c r="AI61" i="7"/>
  <c r="AJ61" i="7" s="1"/>
  <c r="AG61" i="7"/>
  <c r="AH61" i="7" s="1"/>
  <c r="AG41" i="7"/>
  <c r="AH41" i="7" s="1"/>
  <c r="AI41" i="7"/>
  <c r="AJ41" i="7" s="1"/>
  <c r="AK21" i="7"/>
  <c r="AL21" i="7" s="1"/>
  <c r="AG21" i="7"/>
  <c r="AH21" i="7" s="1"/>
  <c r="AG10" i="7"/>
  <c r="AH10" i="7" s="1"/>
  <c r="AI21" i="7"/>
  <c r="AJ21" i="7" s="1"/>
  <c r="AG61" i="6"/>
  <c r="AH61" i="6" s="1"/>
  <c r="AI61" i="6"/>
  <c r="AJ61" i="6" s="1"/>
  <c r="AG41" i="6"/>
  <c r="AH41" i="6" s="1"/>
  <c r="AG21" i="6"/>
  <c r="AH21" i="6" s="1"/>
  <c r="AI21" i="6"/>
  <c r="AJ21" i="6" s="1"/>
  <c r="AG10" i="6"/>
  <c r="AH10" i="6" s="1"/>
  <c r="AG61" i="5"/>
  <c r="AH61" i="5" s="1"/>
  <c r="AM61" i="5"/>
  <c r="AN61" i="5" s="1"/>
  <c r="AI61" i="5"/>
  <c r="AJ61" i="5" s="1"/>
  <c r="AK61" i="5"/>
  <c r="AL61" i="5" s="1"/>
  <c r="AG41" i="5"/>
  <c r="AH41" i="5" s="1"/>
  <c r="AI41" i="5"/>
  <c r="AJ41" i="5" s="1"/>
  <c r="AK41" i="5"/>
  <c r="AL41" i="5" s="1"/>
  <c r="AG21" i="5"/>
  <c r="AH21" i="5" s="1"/>
  <c r="AI21" i="5"/>
  <c r="AJ21" i="5" s="1"/>
  <c r="AG10" i="5"/>
  <c r="AH10" i="5" s="1"/>
  <c r="AG41" i="4"/>
  <c r="AH41" i="4" s="1"/>
  <c r="AI61" i="4"/>
  <c r="AJ61" i="4" s="1"/>
  <c r="AI21" i="4"/>
  <c r="AJ21" i="4" s="1"/>
  <c r="AK21" i="4"/>
  <c r="AL21" i="4" s="1"/>
  <c r="AG10" i="4"/>
  <c r="AH10" i="4" s="1"/>
  <c r="AM17" i="12"/>
  <c r="AN17" i="12" s="1"/>
  <c r="AK17" i="12"/>
  <c r="AL17" i="12" s="1"/>
  <c r="AM20" i="12"/>
  <c r="AN20" i="12" s="1"/>
  <c r="AM41" i="12"/>
  <c r="AN41" i="12" s="1"/>
  <c r="BC41" i="12"/>
  <c r="BD41" i="12" s="1"/>
  <c r="AM61" i="12"/>
  <c r="AN61" i="12" s="1"/>
  <c r="BC61" i="12"/>
  <c r="BD61" i="12" s="1"/>
  <c r="AM19" i="13"/>
  <c r="AN19" i="13" s="1"/>
  <c r="AK19" i="12"/>
  <c r="AL19" i="12" s="1"/>
  <c r="E21" i="13"/>
  <c r="AK21" i="13" s="1"/>
  <c r="AL21" i="13" s="1"/>
  <c r="AM10" i="12"/>
  <c r="AN10" i="12" s="1"/>
  <c r="BC10" i="12"/>
  <c r="BD10" i="12" s="1"/>
  <c r="T21" i="12"/>
  <c r="U21" i="12"/>
  <c r="AS41" i="12"/>
  <c r="AT41" i="12" s="1"/>
  <c r="AM10" i="13"/>
  <c r="AN10" i="13" s="1"/>
  <c r="BC10" i="13"/>
  <c r="BD10" i="13" s="1"/>
  <c r="BC21" i="13"/>
  <c r="BD21" i="13" s="1"/>
  <c r="AM18" i="13"/>
  <c r="AN18" i="13" s="1"/>
  <c r="AM20" i="13"/>
  <c r="AN20" i="13" s="1"/>
  <c r="E21" i="12"/>
  <c r="BC21" i="12"/>
  <c r="BD21" i="12" s="1"/>
  <c r="AK19" i="13"/>
  <c r="AL19" i="13" s="1"/>
  <c r="U21" i="13"/>
  <c r="AM61" i="13"/>
  <c r="AN61" i="13" s="1"/>
  <c r="AM19" i="14"/>
  <c r="AN19" i="14" s="1"/>
  <c r="T21" i="14"/>
  <c r="U21" i="14"/>
  <c r="AM21" i="14" s="1"/>
  <c r="AN21" i="14" s="1"/>
  <c r="AM17" i="14"/>
  <c r="AN17" i="14" s="1"/>
  <c r="AM20" i="15"/>
  <c r="AN20" i="15" s="1"/>
  <c r="AM18" i="14"/>
  <c r="AN18" i="14" s="1"/>
  <c r="AK10" i="15"/>
  <c r="AL10" i="15" s="1"/>
  <c r="AI21" i="14"/>
  <c r="AJ21" i="14" s="1"/>
  <c r="AO61" i="13"/>
  <c r="AP61" i="13" s="1"/>
  <c r="E21" i="14"/>
  <c r="AM20" i="14"/>
  <c r="AN20" i="14" s="1"/>
  <c r="AM18" i="15"/>
  <c r="AN18" i="15" s="1"/>
  <c r="T21" i="15"/>
  <c r="AK21" i="15" s="1"/>
  <c r="AL21" i="15" s="1"/>
  <c r="AM18" i="16"/>
  <c r="AN18" i="16" s="1"/>
  <c r="F21" i="16"/>
  <c r="AM21" i="16" s="1"/>
  <c r="AN21" i="16" s="1"/>
  <c r="AG10" i="15"/>
  <c r="AH10" i="15" s="1"/>
  <c r="AW10" i="15"/>
  <c r="AX10" i="15" s="1"/>
  <c r="AS21" i="15"/>
  <c r="AT21" i="15" s="1"/>
  <c r="AK17" i="15"/>
  <c r="AL17" i="15" s="1"/>
  <c r="AK19" i="15"/>
  <c r="AL19" i="15" s="1"/>
  <c r="F21" i="17"/>
  <c r="AM21" i="17" s="1"/>
  <c r="AN21" i="17" s="1"/>
  <c r="AM17" i="17"/>
  <c r="AN17" i="17" s="1"/>
  <c r="AK19" i="14"/>
  <c r="AL19" i="14" s="1"/>
  <c r="AG61" i="14"/>
  <c r="AH61" i="14" s="1"/>
  <c r="AW61" i="14"/>
  <c r="AX61" i="14" s="1"/>
  <c r="BC21" i="15"/>
  <c r="BD21" i="15" s="1"/>
  <c r="AQ21" i="15"/>
  <c r="AR21" i="15" s="1"/>
  <c r="AQ41" i="15"/>
  <c r="AR41" i="15" s="1"/>
  <c r="AI61" i="15"/>
  <c r="AJ61" i="15" s="1"/>
  <c r="AY61" i="15"/>
  <c r="AZ61" i="15" s="1"/>
  <c r="AQ10" i="16"/>
  <c r="AR10" i="16" s="1"/>
  <c r="AM18" i="17"/>
  <c r="AN18" i="17" s="1"/>
  <c r="AM41" i="17"/>
  <c r="AN41" i="17" s="1"/>
  <c r="BC41" i="17"/>
  <c r="BD41" i="17" s="1"/>
  <c r="F21" i="18"/>
  <c r="AM21" i="18" s="1"/>
  <c r="AN21" i="18" s="1"/>
  <c r="AM17" i="18"/>
  <c r="AN17" i="18" s="1"/>
  <c r="AK21" i="19"/>
  <c r="AL21" i="19" s="1"/>
  <c r="AM61" i="19"/>
  <c r="AN61" i="19" s="1"/>
  <c r="BC61" i="19"/>
  <c r="BD61" i="19" s="1"/>
  <c r="AM41" i="16"/>
  <c r="AN41" i="16" s="1"/>
  <c r="BC41" i="16"/>
  <c r="BD41" i="16" s="1"/>
  <c r="AM61" i="16"/>
  <c r="AN61" i="16" s="1"/>
  <c r="BC61" i="16"/>
  <c r="BD61" i="16" s="1"/>
  <c r="AM10" i="17"/>
  <c r="AN10" i="17" s="1"/>
  <c r="BC10" i="17"/>
  <c r="BD10" i="17" s="1"/>
  <c r="F21" i="19"/>
  <c r="AM21" i="19" s="1"/>
  <c r="AN21" i="19" s="1"/>
  <c r="AM17" i="19"/>
  <c r="AN17" i="19" s="1"/>
  <c r="AY21" i="16"/>
  <c r="AZ21" i="16" s="1"/>
  <c r="AG21" i="15"/>
  <c r="AH21" i="15" s="1"/>
  <c r="AW21" i="15"/>
  <c r="AX21" i="15" s="1"/>
  <c r="AM17" i="16"/>
  <c r="AN17" i="16" s="1"/>
  <c r="AI21" i="16"/>
  <c r="AJ21" i="16" s="1"/>
  <c r="AQ41" i="16"/>
  <c r="AR41" i="16" s="1"/>
  <c r="AQ61" i="16"/>
  <c r="AR61" i="16" s="1"/>
  <c r="AQ10" i="17"/>
  <c r="AR10" i="17" s="1"/>
  <c r="BC21" i="17"/>
  <c r="BD21" i="17" s="1"/>
  <c r="AM20" i="18"/>
  <c r="AN20" i="18" s="1"/>
  <c r="AQ41" i="18"/>
  <c r="AR41" i="18" s="1"/>
  <c r="BC21" i="16"/>
  <c r="BD21" i="16" s="1"/>
  <c r="BC21" i="18"/>
  <c r="BD21" i="18" s="1"/>
  <c r="AM20" i="19"/>
  <c r="AN20" i="19" s="1"/>
  <c r="AM10" i="19"/>
  <c r="AN10" i="19" s="1"/>
  <c r="BC10" i="19"/>
  <c r="BD10" i="19" s="1"/>
  <c r="AU61" i="15"/>
  <c r="AV61" i="15" s="1"/>
  <c r="AM10" i="16"/>
  <c r="AN10" i="16" s="1"/>
  <c r="BC10" i="16"/>
  <c r="BD10" i="16" s="1"/>
  <c r="AQ21" i="16"/>
  <c r="AR21" i="16" s="1"/>
  <c r="AM61" i="17"/>
  <c r="AN61" i="17" s="1"/>
  <c r="BC61" i="17"/>
  <c r="BD61" i="17" s="1"/>
  <c r="AQ10" i="18"/>
  <c r="AR10" i="18" s="1"/>
  <c r="AQ21" i="18"/>
  <c r="AR21" i="18" s="1"/>
  <c r="AK17" i="16"/>
  <c r="AL17" i="16" s="1"/>
  <c r="AK17" i="17"/>
  <c r="AL17" i="17" s="1"/>
  <c r="AK17" i="18"/>
  <c r="AL17" i="18" s="1"/>
  <c r="AK17" i="19"/>
  <c r="AL17" i="19" s="1"/>
  <c r="T21" i="11"/>
  <c r="AK21" i="11" s="1"/>
  <c r="AL21" i="11" s="1"/>
  <c r="U21" i="11"/>
  <c r="AM21" i="11" s="1"/>
  <c r="AN21" i="11" s="1"/>
  <c r="F21" i="10"/>
  <c r="AM17" i="10"/>
  <c r="AN17" i="10" s="1"/>
  <c r="AK17" i="10"/>
  <c r="AL17" i="10" s="1"/>
  <c r="E21" i="10"/>
  <c r="AK21" i="10" s="1"/>
  <c r="AL21" i="10" s="1"/>
  <c r="AK19" i="10"/>
  <c r="AL19" i="10" s="1"/>
  <c r="U21" i="10"/>
  <c r="AQ61" i="10"/>
  <c r="AR61" i="10" s="1"/>
  <c r="AM18" i="9"/>
  <c r="AN18" i="9" s="1"/>
  <c r="AK17" i="9"/>
  <c r="AL17" i="9" s="1"/>
  <c r="AS41" i="9"/>
  <c r="AT41" i="9" s="1"/>
  <c r="AM19" i="8"/>
  <c r="AN19" i="8" s="1"/>
  <c r="AM20" i="8"/>
  <c r="AN20" i="8" s="1"/>
  <c r="AK19" i="8"/>
  <c r="AL19" i="8" s="1"/>
  <c r="AS61" i="8"/>
  <c r="AT61" i="8" s="1"/>
  <c r="F21" i="8"/>
  <c r="AK20" i="8"/>
  <c r="AL20" i="8" s="1"/>
  <c r="AK17" i="8"/>
  <c r="AL17" i="8" s="1"/>
  <c r="E21" i="8"/>
  <c r="AK21" i="8" s="1"/>
  <c r="AL21" i="8" s="1"/>
  <c r="AU61" i="8"/>
  <c r="AV61" i="8" s="1"/>
  <c r="U21" i="8"/>
  <c r="AO10" i="8"/>
  <c r="AP10" i="8" s="1"/>
  <c r="AG21" i="8"/>
  <c r="AH21" i="8" s="1"/>
  <c r="AW21" i="8"/>
  <c r="AX21" i="8" s="1"/>
  <c r="AQ10" i="7"/>
  <c r="AR10" i="7" s="1"/>
  <c r="AO61" i="7"/>
  <c r="AP61" i="7" s="1"/>
  <c r="AK20" i="7"/>
  <c r="AL20" i="7" s="1"/>
  <c r="AO21" i="7"/>
  <c r="AP21" i="7" s="1"/>
  <c r="AU41" i="7"/>
  <c r="AV41" i="7" s="1"/>
  <c r="F21" i="6"/>
  <c r="AM21" i="6" s="1"/>
  <c r="AN21" i="6" s="1"/>
  <c r="AM17" i="6"/>
  <c r="AN17" i="6" s="1"/>
  <c r="E21" i="6"/>
  <c r="AK21" i="6" s="1"/>
  <c r="AL21" i="6" s="1"/>
  <c r="AK18" i="6"/>
  <c r="AL18" i="6" s="1"/>
  <c r="AK20" i="6"/>
  <c r="AL20" i="6" s="1"/>
  <c r="AK21" i="5"/>
  <c r="AL21" i="5" s="1"/>
  <c r="AM18" i="5"/>
  <c r="AN18" i="5" s="1"/>
  <c r="AM20" i="4"/>
  <c r="AN20" i="4" s="1"/>
  <c r="AK20" i="4"/>
  <c r="AL20" i="4" s="1"/>
  <c r="U21" i="4"/>
  <c r="AM21" i="4" s="1"/>
  <c r="AN21" i="4" s="1"/>
  <c r="AU21" i="4"/>
  <c r="AV21" i="4" s="1"/>
  <c r="AU61" i="4"/>
  <c r="AV61" i="4" s="1"/>
  <c r="AG21" i="4"/>
  <c r="AH21" i="4" s="1"/>
  <c r="AW21" i="4"/>
  <c r="AX21" i="4" s="1"/>
  <c r="AG61" i="4"/>
  <c r="AH61" i="4" s="1"/>
  <c r="AW61" i="4"/>
  <c r="AX61" i="4" s="1"/>
  <c r="AZ53" i="1"/>
  <c r="BA53" i="1" s="1"/>
  <c r="AJ53" i="1"/>
  <c r="AK53" i="1" s="1"/>
  <c r="AX33" i="1"/>
  <c r="AY33" i="1" s="1"/>
  <c r="AV33" i="1"/>
  <c r="AW33" i="1" s="1"/>
  <c r="AR13" i="1"/>
  <c r="AS13" i="1" s="1"/>
  <c r="AK21" i="12" l="1"/>
  <c r="AL21" i="12" s="1"/>
  <c r="AK21" i="14"/>
  <c r="AL21" i="14" s="1"/>
  <c r="AM21" i="10"/>
  <c r="AN21" i="10" s="1"/>
  <c r="AM21" i="8"/>
  <c r="AN21" i="8" s="1"/>
  <c r="AM17" i="15"/>
  <c r="AN17" i="15" s="1"/>
  <c r="U21" i="15"/>
  <c r="AM21" i="15" s="1"/>
  <c r="AN21" i="15" s="1"/>
  <c r="F21" i="13"/>
  <c r="AM21" i="13" s="1"/>
  <c r="AN21" i="13" s="1"/>
  <c r="AM17" i="13"/>
  <c r="AN17" i="13" s="1"/>
  <c r="F21" i="12"/>
  <c r="AM21" i="12" s="1"/>
  <c r="AN21" i="12" s="1"/>
  <c r="U21" i="9"/>
  <c r="AM21" i="9" s="1"/>
  <c r="AN21" i="9" s="1"/>
  <c r="AM17" i="8"/>
  <c r="AN17" i="8" s="1"/>
  <c r="F21" i="7"/>
  <c r="AM21" i="7" s="1"/>
  <c r="AN21" i="7" s="1"/>
  <c r="AM17" i="7"/>
  <c r="AN17" i="7" s="1"/>
  <c r="U21" i="5"/>
  <c r="AM21" i="5" s="1"/>
  <c r="AN21" i="5" s="1"/>
  <c r="AM17" i="5"/>
  <c r="AN17" i="5" s="1"/>
  <c r="AM17" i="4"/>
  <c r="AN17" i="4" s="1"/>
  <c r="E61" i="2" l="1"/>
  <c r="D61" i="2"/>
  <c r="C61" i="2"/>
  <c r="E41" i="2"/>
  <c r="D41" i="2"/>
  <c r="C41" i="2"/>
  <c r="D21" i="2"/>
  <c r="C21" i="2"/>
  <c r="E20" i="2"/>
  <c r="F20" i="2" s="1"/>
  <c r="E19" i="2"/>
  <c r="F19" i="2" s="1"/>
  <c r="E18" i="2"/>
  <c r="F18" i="2" s="1"/>
  <c r="E17" i="2"/>
  <c r="D10" i="2"/>
  <c r="C10" i="2"/>
  <c r="E9" i="2"/>
  <c r="F9" i="2" s="1"/>
  <c r="E8" i="2"/>
  <c r="F8" i="2" s="1"/>
  <c r="E7" i="2"/>
  <c r="F7" i="2" s="1"/>
  <c r="E6" i="2"/>
  <c r="F6" i="2" s="1"/>
  <c r="E5" i="2"/>
  <c r="S53" i="1"/>
  <c r="S33" i="1"/>
  <c r="S13" i="1"/>
  <c r="D13" i="1"/>
  <c r="D53" i="1"/>
  <c r="D33" i="1"/>
  <c r="F41" i="2" l="1"/>
  <c r="E10" i="2"/>
  <c r="F10" i="2" s="1"/>
  <c r="F61" i="2"/>
  <c r="AH53" i="1"/>
  <c r="AI53" i="1" s="1"/>
  <c r="AH33" i="1"/>
  <c r="AI33" i="1" s="1"/>
  <c r="AH13" i="1"/>
  <c r="AI13" i="1" s="1"/>
  <c r="E21" i="2"/>
  <c r="F21" i="2" s="1"/>
  <c r="F17" i="2"/>
  <c r="F5" i="2"/>
</calcChain>
</file>

<file path=xl/sharedStrings.xml><?xml version="1.0" encoding="utf-8"?>
<sst xmlns="http://schemas.openxmlformats.org/spreadsheetml/2006/main" count="13739" uniqueCount="2041">
  <si>
    <t>รายงานเปรียบเทียบรายการสินทรัพย์อาคารและสิ่งปลูกสร้างงบทดลอง New GFMIS Thai และงบทดลองเกณฑ์คงค้าง</t>
  </si>
  <si>
    <t>โรงพยาบาล................................</t>
  </si>
  <si>
    <t>ลำดับ</t>
  </si>
  <si>
    <t>รายการ</t>
  </si>
  <si>
    <t>งบทดลอง GFMIS</t>
  </si>
  <si>
    <t>งบทดลองบัญชีเกณฑ์คงค้าง</t>
  </si>
  <si>
    <t>ผลต่างงบทดลอง</t>
  </si>
  <si>
    <t>ร้อยละผลต่าง</t>
  </si>
  <si>
    <t>งานระหว่างทำ</t>
  </si>
  <si>
    <t>อาคารสำนักงาน</t>
  </si>
  <si>
    <t>ค่าเสื่อมราคาสะสม-อาคารสำนักงาน</t>
  </si>
  <si>
    <t>อาคารพักอาศัย</t>
  </si>
  <si>
    <t>ค่าเสื่อมราคาสะสม-อาคารพักอาศัย</t>
  </si>
  <si>
    <t>อาคารเพื่อประโยชน์อื่น</t>
  </si>
  <si>
    <t>ค่าเสื่อมราคาสะสม-อาคารเพื่อประโยชน์อื่น</t>
  </si>
  <si>
    <t>สิ่งปลูกสร้าง</t>
  </si>
  <si>
    <t>ค่าเสื่อมราคาสะสม-สิ่งปลูกสร้าง</t>
  </si>
  <si>
    <t>รวม</t>
  </si>
  <si>
    <t>ครุภัณฑ์สำนักงาน</t>
  </si>
  <si>
    <t>ค่าเสื่อมราคาสะสม-ครุภัณฑ์สำนักงาน</t>
  </si>
  <si>
    <t>ครุภัณฑ์ยานพาหนะและขนส่ง</t>
  </si>
  <si>
    <t>ค่าเสื่อมราคาสะสม-ครุภัณฑ์ยานพาหนะและขนส่ง</t>
  </si>
  <si>
    <t>ครุภัณฑ์ไฟฟ้าและวิทยุ</t>
  </si>
  <si>
    <t>ค่าเสื่อมราคาสะสม-ครุภัณฑ์ไฟฟ้าและวิทยุ</t>
  </si>
  <si>
    <t>ครุภัณฑ์โฆษณาและเผยแพร่</t>
  </si>
  <si>
    <t>ค่าเสื่อมราคาสะสม-ครุภัณฑ์โฆษณาและเผยแพร่</t>
  </si>
  <si>
    <t>ครุภัณฑ์โรงงาน</t>
  </si>
  <si>
    <t>ค่าเสื่อมราคาสะสม-ครุภัณฑ์โรงงาน</t>
  </si>
  <si>
    <t>ครุภัณฑ์วิทยาศาสตร์และการแพทย์</t>
  </si>
  <si>
    <t>ค่าเสื่อมราคาสะสม-ครุภัณฑ์วิทยาศาสตร์และการแพทย์</t>
  </si>
  <si>
    <t>ครุภัณฑ์คอมพิวเตอร์</t>
  </si>
  <si>
    <t>ค่าเสื่อมราคาสะสม-ครุภัณฑ์คอมพิวเตอร์</t>
  </si>
  <si>
    <t>ครุภัณฑ์งานบ้านงานครัว</t>
  </si>
  <si>
    <t>ค่าเสื่อมราคาสะสม-ครุภัณฑ์งานบ้านงานครัว</t>
  </si>
  <si>
    <t>ครุภัณฑ์ก่อสร้าง</t>
  </si>
  <si>
    <t>ค่าเสื่อมราคาสะสม-ครุภัณฑ์ก่อสร้าง</t>
  </si>
  <si>
    <t>ครุภัณฑ์การเกษตร</t>
  </si>
  <si>
    <t>ค่าเสื่อมราคาสะสม-ครุภัณฑ์การเกษตร</t>
  </si>
  <si>
    <t>ครุภัณฑ์กีฬา</t>
  </si>
  <si>
    <t>ค่าเสื่อมราคาสะสม-ครุภัณฑ์กีฬา</t>
  </si>
  <si>
    <t>ครุภัณฑ์ดนตรี</t>
  </si>
  <si>
    <t>ค่าเสื่อมราคาสะสม-ครุภัณฑ์ดนตรี</t>
  </si>
  <si>
    <t>ครุภัณฑ์ อื่นๆ</t>
  </si>
  <si>
    <t>ค่าเสื่อมราคาสะสม-ครุภัณฑ์ อื่นๆ</t>
  </si>
  <si>
    <t>Software</t>
  </si>
  <si>
    <t>งบทดลอง New GFMIS Thai อาคารและสิ่งปลูกสร้าง</t>
  </si>
  <si>
    <t>งบทดลอง New GFMIS Thai ค่าเสื่อมราคาสะสมอาคารและสิ่งปลูกสร้าง</t>
  </si>
  <si>
    <t>งบทดลอง New GFMIS Thai ครุภัณฑ์</t>
  </si>
  <si>
    <t>งบทดลอง New GFMIS Thai ค่าเสื่อมราคาสะสมคุมครุภัณฑ์</t>
  </si>
  <si>
    <t>งบทดลองบัญชีเกณฑ์คงค้าง อาคารและสิ่งปลูกสร้าง</t>
  </si>
  <si>
    <t>งบทดลองบัญชีเกณฑ์คงค้าง ค่าเสื่อมราคาสะสมอาคารและสิ่งปลูกสร้าง</t>
  </si>
  <si>
    <t>งบทดลองบัญชีเกณฑ์คงค้าง ครุภัณฑ์</t>
  </si>
  <si>
    <t>งบทดลองบัญชีเกณฑ์คงค้าง ค่าเสื่อมราคาสะสมคุมครุภัณฑ์</t>
  </si>
  <si>
    <t>รหัส</t>
  </si>
  <si>
    <t>รพ.</t>
  </si>
  <si>
    <t>รพ.เทิง</t>
  </si>
  <si>
    <t>รพ.พาน</t>
  </si>
  <si>
    <t>รพ.ป่าแดด</t>
  </si>
  <si>
    <t>รพ.แม่จัน</t>
  </si>
  <si>
    <t>รพ.เชียงแสน</t>
  </si>
  <si>
    <t>รพ.แม่สาย</t>
  </si>
  <si>
    <t>รพ.แม่สรวย</t>
  </si>
  <si>
    <t>รพ.เวียงป่าเป้า</t>
  </si>
  <si>
    <t>รพ.พญาเม็งราย</t>
  </si>
  <si>
    <t>รพ.เวียงแก่น</t>
  </si>
  <si>
    <t>รพ.ขุนตาล</t>
  </si>
  <si>
    <t>รพ.แม่ฟ้าหลวง</t>
  </si>
  <si>
    <t>รพ.แม่ลาว</t>
  </si>
  <si>
    <t>รพ.เวียงเชียงรุ้ง</t>
  </si>
  <si>
    <t>รพ.เชียงของ</t>
  </si>
  <si>
    <t>รพ.พระญาณสังวร</t>
  </si>
  <si>
    <t>รพ.ดอยหลวง</t>
  </si>
  <si>
    <t>เดือน</t>
  </si>
  <si>
    <t>ตุลาคม 2568</t>
  </si>
  <si>
    <t>พฤศจิกายน 2568</t>
  </si>
  <si>
    <t>ธันวาคม 2568</t>
  </si>
  <si>
    <t>มกราคม 2569</t>
  </si>
  <si>
    <t>กุมภาพันธ์ 2569</t>
  </si>
  <si>
    <t>มีนาคม 2569</t>
  </si>
  <si>
    <t>เมษายน 2569</t>
  </si>
  <si>
    <t>พฤษภาคม 2569</t>
  </si>
  <si>
    <t>มิถุนายน 2569</t>
  </si>
  <si>
    <t>กรกฎาคม 2569</t>
  </si>
  <si>
    <t>สิงหาคม 2569</t>
  </si>
  <si>
    <t>กันยายน 2569</t>
  </si>
  <si>
    <t>ผลต่าง</t>
  </si>
  <si>
    <t>ร้อยละ</t>
  </si>
  <si>
    <t>รายงานเปรียบเทียบรายการค่าเสื่อมราคาสะสมอาคารและสิ่งปลูกสร้างงบทดลอง New GFMIS Thai และงบทดลองเกณฑ์คงค้าง</t>
  </si>
  <si>
    <t>รายงานเปรียบเทียบรายการสินทรัพย์ครุภัณฑ์งบทดลอง New GFMIS Thai และงบทดลองเกณฑ์คงค้าง</t>
  </si>
  <si>
    <t>รายงานเปรียบเทียบรายการค่าเสื่อมราคาสะสมครุภัณฑ์งบทดลอง New GFMIS Thai และงบทดลองเกณฑ์คงค้าง</t>
  </si>
  <si>
    <t>110000347776</t>
  </si>
  <si>
    <t>0000</t>
  </si>
  <si>
    <t>01.01.2568</t>
  </si>
  <si>
    <t>อาคารบ้านพักข้าราชการ ระดับ 5-6 รพ.ขุนตาล</t>
  </si>
  <si>
    <t>110000347782</t>
  </si>
  <si>
    <t>อาคารบ้านพักข้าราชการ ระดับ5-6 รพ.ขุนตาล</t>
  </si>
  <si>
    <t>110000347783</t>
  </si>
  <si>
    <t>อาคารบ้านพักข้าราชการ ระดับ 5-6</t>
  </si>
  <si>
    <t>110000347784</t>
  </si>
  <si>
    <t>อาคารบ้านพักข้าราชการ ระดับ 7-8</t>
  </si>
  <si>
    <t>110000347785</t>
  </si>
  <si>
    <t>อาคารพักพยาบาล 20 ห้อง รพ.ขุนตาล</t>
  </si>
  <si>
    <t>110000347800</t>
  </si>
  <si>
    <t>อาคารบ้านพักข้าราชการ ระดับ 1-2 รพ.ขุนตาล</t>
  </si>
  <si>
    <t>110000347801</t>
  </si>
  <si>
    <t>อาคารบ้านพักข้าราชการ ระดับ 3-4 รพ.ขุนตาล</t>
  </si>
  <si>
    <t>110000348085</t>
  </si>
  <si>
    <t>อาคารพยาบาล 20 ห้อง รพ.ขุนตาล</t>
  </si>
  <si>
    <t>0001</t>
  </si>
  <si>
    <t>110000348553</t>
  </si>
  <si>
    <t>บ้านพักข้าราชการ ระดับ 7-8 รพ.ขุนตาล</t>
  </si>
  <si>
    <t>110000348583</t>
  </si>
  <si>
    <t>บ้านพักข้าราชการ ระดับ 5-6</t>
  </si>
  <si>
    <t>110000348585</t>
  </si>
  <si>
    <t>110000348587</t>
  </si>
  <si>
    <t>บ้านพักข้าราชการ ระดับ 3-4 รพร.เชียงของ</t>
  </si>
  <si>
    <t>110000348588</t>
  </si>
  <si>
    <t>110000348589</t>
  </si>
  <si>
    <t>110000348590</t>
  </si>
  <si>
    <t>บ้านพักข้าราชการ ระดับ 1-2 รพร.เชียงของ</t>
  </si>
  <si>
    <t>110000348591</t>
  </si>
  <si>
    <t>110000348592</t>
  </si>
  <si>
    <t>110000348593</t>
  </si>
  <si>
    <t>110000348594</t>
  </si>
  <si>
    <t>110000348595</t>
  </si>
  <si>
    <t>110000348596</t>
  </si>
  <si>
    <t>110000348597</t>
  </si>
  <si>
    <t>110000348598</t>
  </si>
  <si>
    <t>110000348599</t>
  </si>
  <si>
    <t>110000348600</t>
  </si>
  <si>
    <t>เรือนแถวพยาบาล (5 ครอบครัว) รพร.เชียงของ</t>
  </si>
  <si>
    <t>110000348601</t>
  </si>
  <si>
    <t>110000348602</t>
  </si>
  <si>
    <t>110000348618</t>
  </si>
  <si>
    <t>110000348620</t>
  </si>
  <si>
    <t>110000348621</t>
  </si>
  <si>
    <t>บ้านพักข้าราชการ ระดับ 5-6 รพร.เชียงของ</t>
  </si>
  <si>
    <t>110000348622</t>
  </si>
  <si>
    <t>110000348623</t>
  </si>
  <si>
    <t>110000348624</t>
  </si>
  <si>
    <t>110000348640</t>
  </si>
  <si>
    <t>อาคารพักพยาบาล 10 ห้อง รพร.เชียงของ</t>
  </si>
  <si>
    <t>110000348641</t>
  </si>
  <si>
    <t>อาคารพักพยาบาล 10 ห้อง</t>
  </si>
  <si>
    <t>110000349145</t>
  </si>
  <si>
    <t xml:space="preserve">อาคารพักแพทย์ รพร.เชียงของ </t>
  </si>
  <si>
    <t>110000354389</t>
  </si>
  <si>
    <t>อาคารพักพยาบาล 24 ห้อง (12ครอบครัว)รพร.เชียงของ</t>
  </si>
  <si>
    <t>110000343990</t>
  </si>
  <si>
    <t>บ้านพักข้าราชการ ระดับ 5-6 รพ.เชียงแสน</t>
  </si>
  <si>
    <t>110000343992</t>
  </si>
  <si>
    <t>บ้านพักข้าราชการ 3-4 รพ.เชียงแสน</t>
  </si>
  <si>
    <t>110000343994</t>
  </si>
  <si>
    <t>110000343996</t>
  </si>
  <si>
    <t>110000343999</t>
  </si>
  <si>
    <t>บ้านพักข้าราชการ 1-2 รพ.เชียงแสน</t>
  </si>
  <si>
    <t>110000344003</t>
  </si>
  <si>
    <t>110000344027</t>
  </si>
  <si>
    <t>110000344029</t>
  </si>
  <si>
    <t>บ้านพักข้าราชการ 7-8 รพ.เชียงแสน</t>
  </si>
  <si>
    <t>110000344030</t>
  </si>
  <si>
    <t>บ้านพักข้าราชการ 5-6 รพ.เชียงแสน</t>
  </si>
  <si>
    <t>110000344031</t>
  </si>
  <si>
    <t>110000344032</t>
  </si>
  <si>
    <t>110000344079</t>
  </si>
  <si>
    <t>อาคารพักพยาบาล 24 ห้อง 12 ครอบครัว รพ.เชียงแสน</t>
  </si>
  <si>
    <t>110000344096</t>
  </si>
  <si>
    <t>110000350126</t>
  </si>
  <si>
    <t>บ้านพักข้าราชการ ระดับ 5-6 รพ.เทิง</t>
  </si>
  <si>
    <t>110000350129</t>
  </si>
  <si>
    <t>บ้านพักข้าราชการ ระดับ 1-2 รพ.เทิง</t>
  </si>
  <si>
    <t>110000350135</t>
  </si>
  <si>
    <t>บ้านพักข้าราชการ ระดับ 3-4 รพ.เทิง</t>
  </si>
  <si>
    <t>110000350173</t>
  </si>
  <si>
    <t>บ้านพักข้าราชการระดับ 3-4 รพ.เทิง</t>
  </si>
  <si>
    <t>110000350227</t>
  </si>
  <si>
    <t>บ้านพักข้าราชการระดับ 7-8 รพ.เทิง</t>
  </si>
  <si>
    <t>110000350286</t>
  </si>
  <si>
    <t>บ้านพักข้าราชการระดับ 1-2 รพ.เทิง</t>
  </si>
  <si>
    <t>110000350290</t>
  </si>
  <si>
    <t>110000350294</t>
  </si>
  <si>
    <t>110000350298</t>
  </si>
  <si>
    <t>บ้านพักข้าราชการระดับ 5-6 รพ.เทิง</t>
  </si>
  <si>
    <t>110000350325</t>
  </si>
  <si>
    <t>110000350339</t>
  </si>
  <si>
    <t>อาคารพักพยาบาล แบบเลขที่ 3852/36 รพ.เทิง</t>
  </si>
  <si>
    <t>110000350387</t>
  </si>
  <si>
    <t>อาคารพักพยาบาล 3 ชั้น 24 ยูนิต รพ.เทิง</t>
  </si>
  <si>
    <t>110000350390</t>
  </si>
  <si>
    <t>อาคารพักแพทย์ 3 ชั้น 10 ครอบครัว รพ.เทิง</t>
  </si>
  <si>
    <t>110000350393</t>
  </si>
  <si>
    <t>110000350445</t>
  </si>
  <si>
    <t>อาคารพักพยาบาล รพ.เทิง</t>
  </si>
  <si>
    <t>110000350478</t>
  </si>
  <si>
    <t>บ้านพักผู้เข้ารับการฝึกอาคารคอนกรีตสองชั้น รพ.เทิง</t>
  </si>
  <si>
    <t>110000353359</t>
  </si>
  <si>
    <t>บ้านพักคนงาน รพ.เทิง</t>
  </si>
  <si>
    <t>110000338178</t>
  </si>
  <si>
    <t>01.12.2567</t>
  </si>
  <si>
    <t xml:space="preserve">บ้านพัก ระดับ 7-8 รพ.ป่าแดด </t>
  </si>
  <si>
    <t>110000338420</t>
  </si>
  <si>
    <t>อาคารพักพยาบาล 10 ยูนิต รพ.ป่าแดด</t>
  </si>
  <si>
    <t>110000338436</t>
  </si>
  <si>
    <t>อาคารพักพยาบาล 12 ยูนิต รพ.ป่าแดด</t>
  </si>
  <si>
    <t>110000338443</t>
  </si>
  <si>
    <t>บ้านพักข้าราชการ ระดับ 1-2 รพ.ป่าแดด</t>
  </si>
  <si>
    <t>110000338524</t>
  </si>
  <si>
    <t>บ้านพักข้าราชการ ระดับ5-6 รพ.ป่าแดด</t>
  </si>
  <si>
    <t>110000338528</t>
  </si>
  <si>
    <t>บ้านพักข้าราชการ ระดับ 3-4 รพ.ป่าแดด</t>
  </si>
  <si>
    <t>110000338530</t>
  </si>
  <si>
    <t>110000338531</t>
  </si>
  <si>
    <t>110000338533</t>
  </si>
  <si>
    <t>110000338534</t>
  </si>
  <si>
    <t>110000338537</t>
  </si>
  <si>
    <t>110000338538</t>
  </si>
  <si>
    <t>บ้านพักข้าราชการ ระดับ 7-8 รพ.ป่าแดด</t>
  </si>
  <si>
    <t>110000338540</t>
  </si>
  <si>
    <t>บ้านพักข้าราชการ ระดับ 5-6 รพ.ป่าแดด</t>
  </si>
  <si>
    <t>110000338542</t>
  </si>
  <si>
    <t>110000347909</t>
  </si>
  <si>
    <t>บ้านพักข้าราชการ ระดับ 5-6 รพ.พญาเม็งราย</t>
  </si>
  <si>
    <t>110000347910</t>
  </si>
  <si>
    <t>บ้านพักข้าราชการ ระดับ 3-4 รพ.พญาเม็งราย</t>
  </si>
  <si>
    <t>110000347915</t>
  </si>
  <si>
    <t>110000347917</t>
  </si>
  <si>
    <t>บ้านพักข้าราชการ ระดับ 1-2 รพ.พญาเม็งราย</t>
  </si>
  <si>
    <t>110000347918</t>
  </si>
  <si>
    <t>บ้านพักข้าราชการ ระดับ 7-8 รพ.พญาเม็งราย</t>
  </si>
  <si>
    <t>110000347920</t>
  </si>
  <si>
    <t>110000347923</t>
  </si>
  <si>
    <t>110000347929</t>
  </si>
  <si>
    <t>อาคารพักพยาบาล 3 ชั้น รพ.พญาเม็งราย</t>
  </si>
  <si>
    <t>110000347930</t>
  </si>
  <si>
    <t>บ้านพักผู้อำนวยการ (ระดับ 5-6) รพ.พญาเม็งราย</t>
  </si>
  <si>
    <t>110000347931</t>
  </si>
  <si>
    <t>110000351038</t>
  </si>
  <si>
    <t>บ้านพัก ระดับ 1-2 รพ.พญาเม็งราย</t>
  </si>
  <si>
    <t>110000351040</t>
  </si>
  <si>
    <t>บ้านพัก ระดับ3-4 รพ.พญาเม็งราย</t>
  </si>
  <si>
    <t>110000349773</t>
  </si>
  <si>
    <t>บ้านพัก รพ.พาน</t>
  </si>
  <si>
    <t>110000349798</t>
  </si>
  <si>
    <t>อาคารพักแพทย์ 10 ครอบครัว รพ.พาน</t>
  </si>
  <si>
    <t>110000349832</t>
  </si>
  <si>
    <t>110000349833</t>
  </si>
  <si>
    <t>110000349836</t>
  </si>
  <si>
    <t>110000349837</t>
  </si>
  <si>
    <t>110000350043</t>
  </si>
  <si>
    <t>110000350044</t>
  </si>
  <si>
    <t>110000350045</t>
  </si>
  <si>
    <t>110000350046</t>
  </si>
  <si>
    <t>110000350047</t>
  </si>
  <si>
    <t>110000350048</t>
  </si>
  <si>
    <t>110000350049</t>
  </si>
  <si>
    <t>110000350050</t>
  </si>
  <si>
    <t>อาคารหอพักเวรหญิง</t>
  </si>
  <si>
    <t>110000350051</t>
  </si>
  <si>
    <t>บ้านพักข้าราชการระดับ 9</t>
  </si>
  <si>
    <t>110000350052</t>
  </si>
  <si>
    <t>อาคารบ้านพัก 1-2</t>
  </si>
  <si>
    <t>110000350053</t>
  </si>
  <si>
    <t>บ้านพักเจ้าหน้าที่ รพ.พาน</t>
  </si>
  <si>
    <t>110000350055</t>
  </si>
  <si>
    <t>110000350056</t>
  </si>
  <si>
    <t>110000350057</t>
  </si>
  <si>
    <t>110000350058</t>
  </si>
  <si>
    <t>แฟลตแพทย์ 1 รพ.พาน</t>
  </si>
  <si>
    <t>110000350059</t>
  </si>
  <si>
    <t>อาคารพักพยาบาล 20 ห้อง 10 ครอบครัว รพ.พาน</t>
  </si>
  <si>
    <t>110000350063</t>
  </si>
  <si>
    <t xml:space="preserve">บ้านพักเจ้าหน้าที่ </t>
  </si>
  <si>
    <t>110000332538</t>
  </si>
  <si>
    <t>01.11.2567</t>
  </si>
  <si>
    <t>อาคารพักพยาบาล 32 ห้อง รพ.แม่จัน หลังลำดับที่ 87</t>
  </si>
  <si>
    <t>110000332561</t>
  </si>
  <si>
    <t>บ้านพักข้าราชการ3-4 อาคารคอนกรีต 2 ชั้น รพ.แม่จัน</t>
  </si>
  <si>
    <t>110000332591</t>
  </si>
  <si>
    <t>อาคารครึ่งตึกครึ่งไม้ บ้านพักข้าราชการ 3-4</t>
  </si>
  <si>
    <t>110000332595</t>
  </si>
  <si>
    <t>อาคารครึ่งตึกครึ่งไม้ บ้านพัก 3-4 หลังที่17</t>
  </si>
  <si>
    <t>110000332598</t>
  </si>
  <si>
    <t>อาคารครึ่งตึกครึ่งไม้ 2 ชั้น บ้านพัก 3-4 รพ.แม่จัน</t>
  </si>
  <si>
    <t>110000332615</t>
  </si>
  <si>
    <t>อาคารครึ่งตึกครึ่งไม้2ชั้น บ.3-4ร.พแม่จัน</t>
  </si>
  <si>
    <t>110000332617</t>
  </si>
  <si>
    <t>อาคารครึ่งตกครึ่งไม้ บพ.3-4 หลังที่ 20 รพ.แม่จัน</t>
  </si>
  <si>
    <t>110000332625</t>
  </si>
  <si>
    <t>บ้านพักข้าราชการ 1-2 รพ.แม่จัน หลังที่ 23</t>
  </si>
  <si>
    <t>110000332630</t>
  </si>
  <si>
    <t>บ้านพักข้าราชการ1-2 รพ.แม่จัน หลังที่ 24</t>
  </si>
  <si>
    <t>110000332637</t>
  </si>
  <si>
    <t>อาคารครึ่งตึกครึ่งไม้ บพ.1-2 รพ.แม่จัน หลังที่ 25</t>
  </si>
  <si>
    <t>110000332640</t>
  </si>
  <si>
    <t>อาคารครึ่งตึกครึ่งไม้2ชั้น รพ.แม่จัน หลัง29</t>
  </si>
  <si>
    <t>110000332878</t>
  </si>
  <si>
    <t>อาคารพักพยาบาล 24 ห้อง รพ.แม่จัน ล.57</t>
  </si>
  <si>
    <t>110000332887</t>
  </si>
  <si>
    <t>อาคารพักพยาบาล 20 ห้อง รพ.แม่จัน ล.58</t>
  </si>
  <si>
    <t>110000332908</t>
  </si>
  <si>
    <t>บ.พักข้าราชการ 5-6 รพ.แม่จัน ล.59</t>
  </si>
  <si>
    <t>110000332951</t>
  </si>
  <si>
    <t>บ.ข้าราชการ 7-8 รพ.แม่จัน ล60</t>
  </si>
  <si>
    <t>110000357196</t>
  </si>
  <si>
    <t>อาคารพักพยาบาล รพ.แม่จัน ล.84</t>
  </si>
  <si>
    <t>110000349576</t>
  </si>
  <si>
    <t>บ้านพักข้าราชการ ระดับ 5-6 รพ.แม่ฟ้าหลวง</t>
  </si>
  <si>
    <t>110000349578</t>
  </si>
  <si>
    <t>บ้านพักข้าราชการระดับ 3-4 รพ.แม่ฟ้าหลวง</t>
  </si>
  <si>
    <t>110000349580</t>
  </si>
  <si>
    <t>บ้านพักข้าราชการระดับ 7-8 รพ.แม่ฟ้าหลวง</t>
  </si>
  <si>
    <t>110000349583</t>
  </si>
  <si>
    <t>อาคารพักพยาบาล ขนาด 20 ห้อง รพ.แม่ฟ้าหลวง</t>
  </si>
  <si>
    <t>110000349586</t>
  </si>
  <si>
    <t>บ้านพักข้าราชการ ระดับ 1-2  รพ.แม่ฟ้าหลวง</t>
  </si>
  <si>
    <t>110000349590</t>
  </si>
  <si>
    <t>อาคารพักพยาบาล ขนาด 24 ห้อง รพ.แม่ฟ้าหลวง</t>
  </si>
  <si>
    <t>110000349601</t>
  </si>
  <si>
    <t>บ้านพักข้าราชการ ระดับ 3-4 รพ.แม่ฟ้าหลวง</t>
  </si>
  <si>
    <t>110000336529</t>
  </si>
  <si>
    <t>บ้านพัก ระดับ 5-6 รพ.แม่ลาว</t>
  </si>
  <si>
    <t>110000336535</t>
  </si>
  <si>
    <t>110000336536</t>
  </si>
  <si>
    <t>บ้านพัก ระดับ 3-4 รพ.แม่ลาว</t>
  </si>
  <si>
    <t>110000336546</t>
  </si>
  <si>
    <t>บ้านพัก ระดับ 1-2 รพ.แม่ลาว</t>
  </si>
  <si>
    <t>110000349391</t>
  </si>
  <si>
    <t>บ้านพักข้าราชการระดับ 5-6 รพ.แม่สรวย</t>
  </si>
  <si>
    <t>110000349396</t>
  </si>
  <si>
    <t>อาคารพักพยาบาล 24 ห้อง 3 ชั้น รพ.แม่สรวย</t>
  </si>
  <si>
    <t>110000349397</t>
  </si>
  <si>
    <t>บ้านพักข้าราชการระดับ 7-8  รพ.แม่สรวย</t>
  </si>
  <si>
    <t>110000349406</t>
  </si>
  <si>
    <t>บ้านพักข้าราชการระดับ 3-4 รพ.แม่สรวย</t>
  </si>
  <si>
    <t>110000349409</t>
  </si>
  <si>
    <t>บ้านพักข้าราชการระดับ 1-2 รพ.แม่สรวย</t>
  </si>
  <si>
    <t>110000353607</t>
  </si>
  <si>
    <t>บ้านพักข้าราชการ ระดับ 5-6 รพ.แม่สรวย</t>
  </si>
  <si>
    <t>110000350131</t>
  </si>
  <si>
    <t>อาคารตึก/ไม้ 2 ชั้น</t>
  </si>
  <si>
    <t>110000350137</t>
  </si>
  <si>
    <t>อาคารไม้ 2 ชั้น รพ.แม่สาย</t>
  </si>
  <si>
    <t>110000350139</t>
  </si>
  <si>
    <t>อาคารไม้ 2 ชั้น</t>
  </si>
  <si>
    <t>110000350145</t>
  </si>
  <si>
    <t>110000350150</t>
  </si>
  <si>
    <t>110000350153</t>
  </si>
  <si>
    <t>110000350157</t>
  </si>
  <si>
    <t>110000350162</t>
  </si>
  <si>
    <t>110000350176</t>
  </si>
  <si>
    <t>อาคารสูง 2 ชั้น 2 ห้องนอน รพ.แม่สาย</t>
  </si>
  <si>
    <t>110000350178</t>
  </si>
  <si>
    <t>อาคารสูง 2 ชั้น 2 ห้องนอน</t>
  </si>
  <si>
    <t>110000350181</t>
  </si>
  <si>
    <t>อาคารอาคารสูง 2 ชั้น  2 ห้องนอน รพ.แม่สาย</t>
  </si>
  <si>
    <t>110000350182</t>
  </si>
  <si>
    <t>อาคารครึ่งตึกครึ่งไม้ 2 ชั้น 2 ห้องนอน</t>
  </si>
  <si>
    <t>110000350183</t>
  </si>
  <si>
    <t>110000350184</t>
  </si>
  <si>
    <t>110000350206</t>
  </si>
  <si>
    <t>16.01.2568</t>
  </si>
  <si>
    <t>อ.คอนกรีต 3 ชั้น (แฟลตพยาบาล 20 ห้อง) รพ.แม่สาย</t>
  </si>
  <si>
    <t>110000350226</t>
  </si>
  <si>
    <t>อาคารคอนกรีต 3 ชั้น (แฟลตพยาบาล 24ห้อง)รพ.แม่สาย</t>
  </si>
  <si>
    <t>110000350233</t>
  </si>
  <si>
    <t>อาคาร 2 ชั้น 2 ห้องนอนท(บ้านพักระดับ 5-6)</t>
  </si>
  <si>
    <t>110000350234</t>
  </si>
  <si>
    <t>อาคาร 2 ชั้น 2 ห้องนอน(บ้านพัก5-6)</t>
  </si>
  <si>
    <t>110000350236</t>
  </si>
  <si>
    <t>อาคาร 2ชั้น (บ้านพัก3-4) รพ.แม่สาย</t>
  </si>
  <si>
    <t>110000350237</t>
  </si>
  <si>
    <t>อาคาร 2 ชั้น(บ้านพัก1-2)รพ.แม่สาย</t>
  </si>
  <si>
    <t>110000350690</t>
  </si>
  <si>
    <t>อาคารตึกไม้ 2 ชั้น รพ.แม่สาย</t>
  </si>
  <si>
    <t>110000350773</t>
  </si>
  <si>
    <t>110000350774</t>
  </si>
  <si>
    <t>อาคารไม้1ชั้น ใต้ถุนสูง รพ.แม่สาย</t>
  </si>
  <si>
    <t>110000350775</t>
  </si>
  <si>
    <t>อาคารไม้ 1 ชั้น ใต้ถุนสูง รพ.แม่สาย</t>
  </si>
  <si>
    <t>110000350776</t>
  </si>
  <si>
    <t>อาคารไม้ 1 ชั้น รพ.แม่สาย</t>
  </si>
  <si>
    <t>110000350777</t>
  </si>
  <si>
    <t>110000350832</t>
  </si>
  <si>
    <t>110000350834</t>
  </si>
  <si>
    <t>110000345754</t>
  </si>
  <si>
    <t>บ้านพักข้าราชการ ระดับ 1-2 รพ.เวียงแก่น</t>
  </si>
  <si>
    <t>110000345755</t>
  </si>
  <si>
    <t>บ้านพักข้าราชการ ระดับ 3-4 รพ.เวียงแก่น</t>
  </si>
  <si>
    <t>110000345770</t>
  </si>
  <si>
    <t>110000345771</t>
  </si>
  <si>
    <t>110000345772</t>
  </si>
  <si>
    <t>110000345774</t>
  </si>
  <si>
    <t>110000345775</t>
  </si>
  <si>
    <t>บ้านพักข้าราชการ ระดับ 5-6 รพ.เวียงแก่น</t>
  </si>
  <si>
    <t>110000345776</t>
  </si>
  <si>
    <t>บ้านพักข้าราชการ ระดับ  5-6 รพ.เวียงแก่น</t>
  </si>
  <si>
    <t>110000345777</t>
  </si>
  <si>
    <t>แฟลตพยาบาล 20 ห้อง รพ.เวียงแก่น</t>
  </si>
  <si>
    <t>110000345779</t>
  </si>
  <si>
    <t>แฟลตพยาบาล 24 ห้อง รพ.เวียงแก่น</t>
  </si>
  <si>
    <t>110000345780</t>
  </si>
  <si>
    <t>110000346545</t>
  </si>
  <si>
    <t>110000346546</t>
  </si>
  <si>
    <t>110000346547</t>
  </si>
  <si>
    <t>110000346548</t>
  </si>
  <si>
    <t>110000349774</t>
  </si>
  <si>
    <t>บ้านพัก 7-8 รพ.เวียงเชียงรุ้ง</t>
  </si>
  <si>
    <t>110000349775</t>
  </si>
  <si>
    <t>้บ้านพักข้าราชการ ระดับ 5-6 (หลังที่1)</t>
  </si>
  <si>
    <t>110000349776</t>
  </si>
  <si>
    <t>บ้านพักข้าราชการ ระดับ 5-6 (หลังที่ 2)</t>
  </si>
  <si>
    <t>110000349777</t>
  </si>
  <si>
    <t>บ้านพักข้าราชการ ระดับ 5-6 (หลังที่ 3)</t>
  </si>
  <si>
    <t>110000349778</t>
  </si>
  <si>
    <t>อาคารพักพยาบาล รพ.เวียงเชียงรุ้ง</t>
  </si>
  <si>
    <t>110000349779</t>
  </si>
  <si>
    <t>บ้านพักข้าราชการ 3-4 (หลังที่ 1) รพ.เวียงเชียงรุ้ง</t>
  </si>
  <si>
    <t>110000349780</t>
  </si>
  <si>
    <t>บ้านพักข้าราชการ ระดับ 3-4</t>
  </si>
  <si>
    <t>110000349781</t>
  </si>
  <si>
    <t>บ้านพักข้าราชการ ระดับ 1-2 รพ.เวียงเชียงรุ้ง</t>
  </si>
  <si>
    <t>110000349782</t>
  </si>
  <si>
    <t xml:space="preserve">บ้านพักข้าราชการ ระดับ 1-2 (หลังที่ 2) </t>
  </si>
  <si>
    <t>110000349224</t>
  </si>
  <si>
    <t>บ้านพักข้าราชการระดับ 1-2 รพ.เวียงป่าเป้า</t>
  </si>
  <si>
    <t>110000349231</t>
  </si>
  <si>
    <t>อาคารพัักพยาบาล (แฟลต 2) รพ.เวียงป่าเป้า</t>
  </si>
  <si>
    <t>110000349275</t>
  </si>
  <si>
    <t>บ้านพักข้้าราชการระดับ 5-6</t>
  </si>
  <si>
    <t>110000349278</t>
  </si>
  <si>
    <t>บ้านพักข้้าราชการระดับ 5-6 รพ.เวียงป่าเป้า</t>
  </si>
  <si>
    <t>110000349288</t>
  </si>
  <si>
    <t>บ้านพักข้าราชการระดับ 7-8 รพ.เวียงป่าเป้า</t>
  </si>
  <si>
    <t>110000349289</t>
  </si>
  <si>
    <t>110000349294</t>
  </si>
  <si>
    <t>110000349326</t>
  </si>
  <si>
    <t>อาคารพักแพทย์ รพ.เวียงป่าเป้า</t>
  </si>
  <si>
    <t>110000349329</t>
  </si>
  <si>
    <t>อาคารพักพยาบาล (แฟลต 1) รพ.เวียงป่าเป้า</t>
  </si>
  <si>
    <t>110000349336</t>
  </si>
  <si>
    <t>110000349341</t>
  </si>
  <si>
    <t>บ้านพักข้าราชการระดับ 3-4 รพ.เวียงป่าเป้า</t>
  </si>
  <si>
    <t>110000349346</t>
  </si>
  <si>
    <t>110000349347</t>
  </si>
  <si>
    <t>110000349350</t>
  </si>
  <si>
    <t>110000349351</t>
  </si>
  <si>
    <t>110000349352</t>
  </si>
  <si>
    <t>110000349375</t>
  </si>
  <si>
    <t>110000350886</t>
  </si>
  <si>
    <t>อาคารพักแพทย์ 10 ครอบครัว รพ.เวียงป่าเป้า</t>
  </si>
  <si>
    <t>110000349498</t>
  </si>
  <si>
    <t>อาคารพักพยาบาล ค.ส.ล 4 ชั้น รพ.ดอยหลวง</t>
  </si>
  <si>
    <t>110000349518</t>
  </si>
  <si>
    <t>บ้านพักข้าราชการระดับ 3-4 รพ.ดอยหลวง</t>
  </si>
  <si>
    <t>110000349526</t>
  </si>
  <si>
    <t>บ้านพักข้าราชการระดับ 5-6 รพ.ดอยหลวง</t>
  </si>
  <si>
    <t>110000347818</t>
  </si>
  <si>
    <t xml:space="preserve">อาคารผู้ป่วยนอก  รพ.ขุนตาล </t>
  </si>
  <si>
    <t>110000347821</t>
  </si>
  <si>
    <t>อาคารผู้ป่วยขนาด 30 เตียง รพ.ขุนตาล</t>
  </si>
  <si>
    <t>110000348513</t>
  </si>
  <si>
    <t>อาคารตึกทันกรรม รพ.ขุนตาล</t>
  </si>
  <si>
    <t>110000348537</t>
  </si>
  <si>
    <t>อาคารกายภาพ รพ.ขุนตาล</t>
  </si>
  <si>
    <t>110000348645</t>
  </si>
  <si>
    <t>อาคารอุบัติเหตุ 2 ชั้น รพร.เชียงของ</t>
  </si>
  <si>
    <t>110000348646</t>
  </si>
  <si>
    <t>อาคารผู้ป่วยใน ชาย 30 เตียง รพร.เชียงของ</t>
  </si>
  <si>
    <t>110000348649</t>
  </si>
  <si>
    <t>อาคารส่งเสริมสุขภาพ (แบบ 2 ชั้น)</t>
  </si>
  <si>
    <t>110000349144</t>
  </si>
  <si>
    <t>อาคารผู้ป่วยนอก รพร.เชียงของ</t>
  </si>
  <si>
    <t>110000349402</t>
  </si>
  <si>
    <t>อาคารผู้ป่วยนอก</t>
  </si>
  <si>
    <t>110000349403</t>
  </si>
  <si>
    <t>อาคารผู้ป่วย 30 เตียง</t>
  </si>
  <si>
    <t>110000351433</t>
  </si>
  <si>
    <t>อาคารคลอดและผ่าตัด รพร.เชียงของ</t>
  </si>
  <si>
    <t>110000351869</t>
  </si>
  <si>
    <t>อาคารผู้ป่วย 60 เตียง รพร.เชียงของ</t>
  </si>
  <si>
    <t>0002</t>
  </si>
  <si>
    <t>อาคารผู้ป่วย 60 เตียง รพร.เชียงของ (ลิฟท์)</t>
  </si>
  <si>
    <t>0003</t>
  </si>
  <si>
    <t>110000343987</t>
  </si>
  <si>
    <t>อ.คสล. ชั้นเดียว ขนาด 10 เตียง รพ.เชียงแสน</t>
  </si>
  <si>
    <t>110000345069</t>
  </si>
  <si>
    <t>อาคารผู้ป่วยนอก รพ.เชียงแสน</t>
  </si>
  <si>
    <t>110000345070</t>
  </si>
  <si>
    <t>อาคารอุบัติเหตุและฉุกเฉิน รพ.เชียงแสน</t>
  </si>
  <si>
    <t>110000345071</t>
  </si>
  <si>
    <t>อาคารผู้ป่วยใน 1 รพ.เชียงแสน</t>
  </si>
  <si>
    <t>110000345073</t>
  </si>
  <si>
    <t>อาคารผู้ป่วยใน2 รพ.เชียงแสน</t>
  </si>
  <si>
    <t>110000364253</t>
  </si>
  <si>
    <t>110000338400</t>
  </si>
  <si>
    <t>อาคารเวชกรรมฟื้นฟูและแพทย์แผนไทย</t>
  </si>
  <si>
    <t>110000338406</t>
  </si>
  <si>
    <t>อาคารผู้ป่วยนอก รพ.ป่าแดด</t>
  </si>
  <si>
    <t>110000338408</t>
  </si>
  <si>
    <t>อาคารผู้ป่วยใน รพ.ป่าแดด</t>
  </si>
  <si>
    <t>110000338417</t>
  </si>
  <si>
    <t>อาคารส่งเสริมสุขภาพ รพ.ป่าแดด</t>
  </si>
  <si>
    <t>110000338548</t>
  </si>
  <si>
    <t>อาคารหน่ายควบคุมการติดเชื้อและจ่ายกลาง</t>
  </si>
  <si>
    <t>110000355260</t>
  </si>
  <si>
    <t>อาคารผู้ป่วยใน รพ.พญาเม็งราย</t>
  </si>
  <si>
    <t>110000355262</t>
  </si>
  <si>
    <t>อาคารผู้ป่วยนอก 10 เตียง รพ.พญาเม็งราย</t>
  </si>
  <si>
    <t>110000355264</t>
  </si>
  <si>
    <t>อาคารผู้ป่วยใน 30 เตียง รพ.พญาเม็งราย</t>
  </si>
  <si>
    <t>110000355265</t>
  </si>
  <si>
    <t>อาคารผู้ป่วยนอก 30 เตียง รพ.พญาเม็งราย</t>
  </si>
  <si>
    <t>110000349802</t>
  </si>
  <si>
    <t>อาคารคลินิควัณโรค รพ.พาน</t>
  </si>
  <si>
    <t>110000349818</t>
  </si>
  <si>
    <t>ตึกทันตกรรม ปฐมภูมิ รพ.พาน</t>
  </si>
  <si>
    <t>110000349819</t>
  </si>
  <si>
    <t>ตึกผู้ป่วยชาย รพ.พาน</t>
  </si>
  <si>
    <t>110000349820</t>
  </si>
  <si>
    <t>ตึกคลอด รพ.พาน</t>
  </si>
  <si>
    <t>110000349821</t>
  </si>
  <si>
    <t>อาคารผู้ป่วยนอก รพ.พาน</t>
  </si>
  <si>
    <t>110000349822</t>
  </si>
  <si>
    <t>อาคารผูู้้ป่วย 60 เตียง รพ.พาน</t>
  </si>
  <si>
    <t>110000332547</t>
  </si>
  <si>
    <t>อาคารผู้ป่วยนอก รพ.แม่จัน หลังลำดับที่ 82</t>
  </si>
  <si>
    <t>110000332558</t>
  </si>
  <si>
    <t>อาคารรักษาพยาบาล รพ.แม่จัน หลังลำดับที่ 85</t>
  </si>
  <si>
    <t>110000332562</t>
  </si>
  <si>
    <t>อาคารผู้ป่วยนอก 2 ชั้น อ.คอนกรีต 2 ชั้น รพ.แม่จัน</t>
  </si>
  <si>
    <t>110000332579</t>
  </si>
  <si>
    <t>อาคารผู้ป่วยใน อ.คอนกรีตสูง 2 ชั้น รพ.แม่จัน</t>
  </si>
  <si>
    <t>ทางเดินเชื่อมระหว่างอาคาร รพ.แม่จัน ล.74</t>
  </si>
  <si>
    <t>ทางเดินเชื่อระหว่างอาคาร รพ.แม่จัน ล.74</t>
  </si>
  <si>
    <t>110000332680</t>
  </si>
  <si>
    <t>อาคารคอนกรีตชั้นเดียวคลอดและผ่าตัดรพ.แม่จัน หลัง47</t>
  </si>
  <si>
    <t>110000332840</t>
  </si>
  <si>
    <t>อ.คอนกรีต2ชั้น อ.อุบัติเหตุและฉุกเฉินรพ.แม่จันล.48</t>
  </si>
  <si>
    <t>110000355273</t>
  </si>
  <si>
    <t>อาคารผู้ป่วยใน 120 เตียง รพ.แม่จัน</t>
  </si>
  <si>
    <t>อาคารผู้ป่วยใน 120 เตียง รพ.แม่จัน(ลิฟท์1)</t>
  </si>
  <si>
    <t>0004</t>
  </si>
  <si>
    <t>อาคารผู้ป่วยใน 120 เตียง รพ.แม่จัน(ลิฟท์2)</t>
  </si>
  <si>
    <t>0005</t>
  </si>
  <si>
    <t>110000349574</t>
  </si>
  <si>
    <t>อาคารผู้ป่วยนอก ขนาด 30 เตียง รพ.แม่ฟ้าหลวง</t>
  </si>
  <si>
    <t>110000349605</t>
  </si>
  <si>
    <t>อาคารโรงนึ่งกลาง รพ.แม่ฟ้าหลวง</t>
  </si>
  <si>
    <t>110000349609</t>
  </si>
  <si>
    <t>อาคารส่งเสริมสุขภาพและเอนกประสงค์ รพ.แม่ฟ้าหลวง</t>
  </si>
  <si>
    <t>110000336585</t>
  </si>
  <si>
    <t>อาคารผู้ป่วยนอก รพ.แม่ลาว</t>
  </si>
  <si>
    <t>110000336597</t>
  </si>
  <si>
    <t>อาคารผู้ป่วยใน รพ.แม่ลาว</t>
  </si>
  <si>
    <t>110000356124</t>
  </si>
  <si>
    <t>อาคารผู้ป่วยนอก รพ.แม่ลาว (ลิฟท์)</t>
  </si>
  <si>
    <t>110000349399</t>
  </si>
  <si>
    <t>อาคารผูุ้ป่วยนอก ค.ส.ล 1 ชั้น รพ.แม่สรวย</t>
  </si>
  <si>
    <t>110000349404</t>
  </si>
  <si>
    <t>อาคารผู้ป่วยใน (ชาย) ขนาด 30 เตียง รพ.แม่สรวย</t>
  </si>
  <si>
    <t>110000349414</t>
  </si>
  <si>
    <t>อาคารผูุ้ป่วยในขนาด 30 เตียง รพ.แม่สรวย</t>
  </si>
  <si>
    <t>110000350023</t>
  </si>
  <si>
    <t>อาคารผู้ป่วยนอก รพ.แม่สาย</t>
  </si>
  <si>
    <t>110000350027</t>
  </si>
  <si>
    <t>อาคารตึก 2 ชั้น ผู้ป่วยนอก อาคาร C รพ.แม่สาย</t>
  </si>
  <si>
    <t>110000350029</t>
  </si>
  <si>
    <t>อาคารตึก 2 ชั้น (ตึกผู้ป่วยใน 30 เตียง) รพ.แม่สาย</t>
  </si>
  <si>
    <t>110000350221</t>
  </si>
  <si>
    <t>อาคารคอนกรีต 2 ชั้น(ตึกผู้ป่วยนอก)</t>
  </si>
  <si>
    <t>110000350228</t>
  </si>
  <si>
    <t>อ.คอนกรีตชั้นเดียวพื้นลอย(ตึกผู้ป่วยในเด็ก30เตียง)</t>
  </si>
  <si>
    <t>110000355423</t>
  </si>
  <si>
    <t>อาคารผู้ป่วยใน 7 ชั้น รพ.แม่สาย</t>
  </si>
  <si>
    <t xml:space="preserve">อาคารผู้ป่วยใน 7 ชั้น รพ.แม่สาย </t>
  </si>
  <si>
    <t>อาคารผู้ป่วยใน 7 ชั้น รพ.แม่สาย(ลิฟท์)</t>
  </si>
  <si>
    <t>0006</t>
  </si>
  <si>
    <t>0007</t>
  </si>
  <si>
    <t>110000345757</t>
  </si>
  <si>
    <t>อาคารผู้ป่วยนอก 10 เตียง รพ.เวียงแก่น</t>
  </si>
  <si>
    <t>110000345758</t>
  </si>
  <si>
    <t>อาคารผู้ป่วยนอก 30 เตียง รพ.เวียงแก่น</t>
  </si>
  <si>
    <t>110000345759</t>
  </si>
  <si>
    <t>อาคารผู้ป่วยใน 30 เตียง รพ.เวียงแก่น</t>
  </si>
  <si>
    <t>110000349783</t>
  </si>
  <si>
    <t>ตึกผู้ป่วยใน รพ.เวียงเชียงรุ้ง</t>
  </si>
  <si>
    <t>110000349784</t>
  </si>
  <si>
    <t>ตึกผู้ป่วยนอก (หลังที่ 1) รพ.เวียงเชียงรุ้ง</t>
  </si>
  <si>
    <t>110000349785</t>
  </si>
  <si>
    <t>ตึกผู้ป่วยนอก (หลังที่ 2)</t>
  </si>
  <si>
    <t>110000349225</t>
  </si>
  <si>
    <t>อาคารกายภาพบำบัด รพ.เวียงป่าเป้า</t>
  </si>
  <si>
    <t>110000349226</t>
  </si>
  <si>
    <t>อาคารคลินิกพิเศษสุขภาพจิตและจิตเวช รพ.เวียงป่าเป้า</t>
  </si>
  <si>
    <t>110000349227</t>
  </si>
  <si>
    <t>อาคารผู้ป่วยในชาย 30 เตียง รพ.เวียงป่าเป้า</t>
  </si>
  <si>
    <t>110000349324</t>
  </si>
  <si>
    <t>อาคารทันตกรรม รพ.เวียงป่าเป้า</t>
  </si>
  <si>
    <t>110000349325</t>
  </si>
  <si>
    <t>อาคารอุบัติเหตุและฉุกเฉิน รพ.เวียงป่าเป้า</t>
  </si>
  <si>
    <t>110000349330</t>
  </si>
  <si>
    <t>อาคารผู้ป่วยนอก รพ.เวียงป่าเป้า</t>
  </si>
  <si>
    <t>110000349333</t>
  </si>
  <si>
    <t>อาคารผูู้้ป่วยในหญิง 30 เตียง รพ.เวียงป่าเป้า</t>
  </si>
  <si>
    <t>110000474165</t>
  </si>
  <si>
    <t>01.07.2568</t>
  </si>
  <si>
    <t>อาคารผู้ป่วย 60 เตียง รพ.สมเด็จพระญาณสังวร</t>
  </si>
  <si>
    <t>110000474194</t>
  </si>
  <si>
    <t>อาคารผู้ป่วยนอก ผู้ป่วยใน รพ.สมเด็จพระญาณสังวร</t>
  </si>
  <si>
    <t>110000349415</t>
  </si>
  <si>
    <t>อาคารผู้ป่วยนอก ค.ส.ล. 2 ชั้น รพ.ดอยหลวง</t>
  </si>
  <si>
    <t>110000347823</t>
  </si>
  <si>
    <t>อาคารอาหารโรงครัว-ซักฟอก รพ. ขุนตาล</t>
  </si>
  <si>
    <t>110000347824</t>
  </si>
  <si>
    <t>อาคารโรงนิ่งกลาง รพ.ขุนตาล</t>
  </si>
  <si>
    <t>110000353014</t>
  </si>
  <si>
    <t>อาคารโรงรถ โรงพัสดุ</t>
  </si>
  <si>
    <t>110000348608</t>
  </si>
  <si>
    <t>อาคารบำรุงรักษา รพร.เชียงของ</t>
  </si>
  <si>
    <t>110000348642</t>
  </si>
  <si>
    <t>อาคารซักฟอกลและจ่ายกลาง 2 ชั้น</t>
  </si>
  <si>
    <t>110000348652</t>
  </si>
  <si>
    <t>โรงอาหาร รพร.เชียงของ</t>
  </si>
  <si>
    <t>110000349146</t>
  </si>
  <si>
    <t>อาคารส่งเสริมสุขภาพและเอกประสงค์ รพร.เชียงของ</t>
  </si>
  <si>
    <t>110000351511</t>
  </si>
  <si>
    <t>ศาลาพักญาติ รพร.เชียงของ</t>
  </si>
  <si>
    <t>110000344025</t>
  </si>
  <si>
    <t>อาคารโรงครัว ซักฟอก รพ.เชียงแสน</t>
  </si>
  <si>
    <t>110000344026</t>
  </si>
  <si>
    <t>โรงไฟฟ้า รพ.เชียงแสน</t>
  </si>
  <si>
    <t>110000344028</t>
  </si>
  <si>
    <t>โรงซักฟอก รพ.เชียงแสน</t>
  </si>
  <si>
    <t>110000344036</t>
  </si>
  <si>
    <t>อาคารโรงครัว ซักฟอก พัสดุ รพ.เชียงแสน</t>
  </si>
  <si>
    <t>110000344039</t>
  </si>
  <si>
    <t>อาคารโรงนึ่งหน่วยจ่ายกลาง รพ.เชียงแสน</t>
  </si>
  <si>
    <t>110000344040</t>
  </si>
  <si>
    <t>อาคารเก็บศพ รพ.เชียงแสน</t>
  </si>
  <si>
    <t>110000350374</t>
  </si>
  <si>
    <t>อาคารซ่อมบำรุง รพ.เทิง</t>
  </si>
  <si>
    <t>110000350392</t>
  </si>
  <si>
    <t>อาคารคลังยาและเก็บพัสดุ แบบเลขที่ 5322 รพ.เทิง</t>
  </si>
  <si>
    <t>110000350447</t>
  </si>
  <si>
    <t>อาคารซักฟอก จ่ายกลาง รพ.เทิง</t>
  </si>
  <si>
    <t>110000338403</t>
  </si>
  <si>
    <t>อาคารพัสดุและซ่อมบำรุง</t>
  </si>
  <si>
    <t>110000338412</t>
  </si>
  <si>
    <t>อาคารโภชนาการและซักฟอก รพ.ป่าแดด</t>
  </si>
  <si>
    <t>110000349683</t>
  </si>
  <si>
    <t>อาคารแปรรูป งบกลางปี59 รพ.พญาเม็งราย</t>
  </si>
  <si>
    <t>110000349693</t>
  </si>
  <si>
    <t>อาคารโครงการพัฒนาเมืองสมุนไพร รพ.พญาเม็งราย</t>
  </si>
  <si>
    <t>110000349697</t>
  </si>
  <si>
    <t>โรงเก็บวัตถุดิบสมุนไพร รพ.พญาเม็งราย</t>
  </si>
  <si>
    <t>110000349955</t>
  </si>
  <si>
    <t>โรงรถพัสดุ ซักฟอก รพ.พญาเม็งราย</t>
  </si>
  <si>
    <t>110000355266</t>
  </si>
  <si>
    <t>โรงอาคาร พัสดุ ซักฟอก รพ.พญาเม็งราย</t>
  </si>
  <si>
    <t>สินทรัพย์</t>
  </si>
  <si>
    <t>เลขที่ย่อย</t>
  </si>
  <si>
    <t>วันที่โอนเป็นทุน</t>
  </si>
  <si>
    <t>คำอธิบายของสินทรัพย์</t>
  </si>
  <si>
    <t>มูลค่าการได้มา</t>
  </si>
  <si>
    <t>ค่าเสื่อมราคาสะสม</t>
  </si>
  <si>
    <t>มูลค่าตามบัญชี</t>
  </si>
  <si>
    <t>ขุนตาล</t>
  </si>
  <si>
    <t>110000347825</t>
  </si>
  <si>
    <t>อาคารเตาเผาขยะติดเชื้อ รพ.ขุนตาล</t>
  </si>
  <si>
    <t>110000347826</t>
  </si>
  <si>
    <t>อาคารระบบประปา รพ. ขุนตาล</t>
  </si>
  <si>
    <t>110000347833</t>
  </si>
  <si>
    <t>โรงรถ รพ.ขุนตาล</t>
  </si>
  <si>
    <t>110000468187</t>
  </si>
  <si>
    <t>รถพยาบาล</t>
  </si>
  <si>
    <r>
      <t>ครุภั</t>
    </r>
    <r>
      <rPr>
        <sz val="11"/>
        <color rgb="FF000000"/>
        <rFont val="Aptos Narrow"/>
        <family val="2"/>
        <scheme val="minor"/>
      </rPr>
      <t>ณฑ์ยานพาหนะ</t>
    </r>
  </si>
  <si>
    <t>110000468258</t>
  </si>
  <si>
    <t xml:space="preserve">รถกระบะ 4 ประตู รีโว </t>
  </si>
  <si>
    <t>110000430178</t>
  </si>
  <si>
    <t>08.05.2568</t>
  </si>
  <si>
    <t>ชุดตรวจสุขภาพระบบแพทย์ทางไกลแบบสถานี</t>
  </si>
  <si>
    <t>ครุภัณฑ์วิทยาศาสตร์</t>
  </si>
  <si>
    <t>110000431804</t>
  </si>
  <si>
    <t>ชุดตรวจสุขภาพระบบแพทย์ทางไกลแบบพกพา</t>
  </si>
  <si>
    <t>110000431805</t>
  </si>
  <si>
    <t>110000432546</t>
  </si>
  <si>
    <t>13.03.2568</t>
  </si>
  <si>
    <t>เครื่องตรวจอวัยวะภายในด้วยคลื่นเสียงความถี่สูงฯ</t>
  </si>
  <si>
    <t>110000468740</t>
  </si>
  <si>
    <t xml:space="preserve">เครื่องตรวจอวัยวะภายในด้วยคลื่นความถี่สูง </t>
  </si>
  <si>
    <t>110000468757</t>
  </si>
  <si>
    <t>ยูนิตทำฟัน</t>
  </si>
  <si>
    <t>110000468909</t>
  </si>
  <si>
    <t>เครื่องดึงคอและหลังอัตโนมัติพร้อมเตียงปรับระดับได้</t>
  </si>
  <si>
    <t>110000468970</t>
  </si>
  <si>
    <t>เครื่องให้ความอบอุ่นและช่วยชีวิตทารกแรกเกิด</t>
  </si>
  <si>
    <t>110000468997</t>
  </si>
  <si>
    <t>เครื่องติดตามการทำงานของหัวใจและสัญญาณชีพอัตโนมัติ</t>
  </si>
  <si>
    <t>110000469026</t>
  </si>
  <si>
    <t>110000469032</t>
  </si>
  <si>
    <t>110000469042</t>
  </si>
  <si>
    <t>เครื่องควมคุมการให้สารน้ำทางหลอดเลือดดำชนิด1สาย</t>
  </si>
  <si>
    <t>110000469062</t>
  </si>
  <si>
    <t>110000469137</t>
  </si>
  <si>
    <t>110000469142</t>
  </si>
  <si>
    <t>110000469147</t>
  </si>
  <si>
    <t>110000469153</t>
  </si>
  <si>
    <t>เครื่องส่องตรวจทางเดินหายใจระบบวีดีทัศน์</t>
  </si>
  <si>
    <t>110000469157</t>
  </si>
  <si>
    <t>110000469163</t>
  </si>
  <si>
    <t>เครื่องเอกซเรย์เคลื่อนที่ขนาดไม่น้อยกว่า300mA</t>
  </si>
  <si>
    <t>110000469168</t>
  </si>
  <si>
    <t>เครื่องวัดความดันอัตโนมัติแบบสอดแขน</t>
  </si>
  <si>
    <t>110000469174</t>
  </si>
  <si>
    <t>110000469186</t>
  </si>
  <si>
    <t>110000469189</t>
  </si>
  <si>
    <t>แผ่นรับภาพดิจิตอล</t>
  </si>
  <si>
    <t>110000469224</t>
  </si>
  <si>
    <t>เครื่องบริหารข้อไหล่แบบต่อเนื่อง</t>
  </si>
  <si>
    <t>110000469231</t>
  </si>
  <si>
    <t>เครื่องช่วงพยุงตัวแบบมีรางเลื่อน</t>
  </si>
  <si>
    <t>110000469234</t>
  </si>
  <si>
    <t>ลู่วิ่งไฟฟ้า</t>
  </si>
  <si>
    <t>110000469252</t>
  </si>
  <si>
    <t>เครื่องช่วยตรวจอวัยวะภายในด้วยคลื่นเสียงความถี่สูง</t>
  </si>
  <si>
    <t>110000469268</t>
  </si>
  <si>
    <t>เครื่องติดตามสัญญาณชีพพร้อมเครื่องกระตุกหัวใจในรถฯ</t>
  </si>
  <si>
    <t>110000468369</t>
  </si>
  <si>
    <t>เครื่องซักผ้าขนาด 120 ปอนด์</t>
  </si>
  <si>
    <t>110000468701</t>
  </si>
  <si>
    <t>เครื่องอบผ้า ขนาดไม่น้อยกว่า 200 ปอนด์</t>
  </si>
  <si>
    <t>เชียงของ</t>
  </si>
  <si>
    <t>110000348563</t>
  </si>
  <si>
    <t>เสาธงชาติ</t>
  </si>
  <si>
    <t>110000348579</t>
  </si>
  <si>
    <t>โรงไฟฟ้า</t>
  </si>
  <si>
    <t>110000348580</t>
  </si>
  <si>
    <t>โรงสูบน้ำ</t>
  </si>
  <si>
    <t>110000348581</t>
  </si>
  <si>
    <t>ถังน้ำเส้นผ่าศูนย์กลาง 4 เมตร</t>
  </si>
  <si>
    <t>110000348582</t>
  </si>
  <si>
    <t>แท้งน้ำประปาเหล็ก 10,000 ลิตร</t>
  </si>
  <si>
    <t>110000348584</t>
  </si>
  <si>
    <t>อาคารพร้อมระบบประปา รพร.เชียงของ</t>
  </si>
  <si>
    <t>110000348586</t>
  </si>
  <si>
    <t>โรงรถ รพร.เชียงของ</t>
  </si>
  <si>
    <t>110000348603</t>
  </si>
  <si>
    <t>โรงเก็บวัสดุครุภัณฑ์ รพร.เชียงของ</t>
  </si>
  <si>
    <t>110000348615</t>
  </si>
  <si>
    <t>อาคารโดมอเนกประสงค์ รพร.เชียงของ</t>
  </si>
  <si>
    <t>110000348616</t>
  </si>
  <si>
    <t>โรงเผาขยะติดเชื้อ รพร.เชียงของ</t>
  </si>
  <si>
    <t>110000348617</t>
  </si>
  <si>
    <t>110000348643</t>
  </si>
  <si>
    <t>อาคารยานพาหนะ (สนง.และโรงจอดรถ) รพร.เชียงของ</t>
  </si>
  <si>
    <t>110000348653</t>
  </si>
  <si>
    <t>อาคารพร้อมระบบบำบัดน้ำเสีย รพร.เชียงของ</t>
  </si>
  <si>
    <t>110000349143</t>
  </si>
  <si>
    <t>อาคารจอดรถ รพร.เชียงของ</t>
  </si>
  <si>
    <t>110000470227</t>
  </si>
  <si>
    <t>รถพยาบาลพร้อมอุปกรณ์</t>
  </si>
  <si>
    <t>110000470359</t>
  </si>
  <si>
    <t>รถพยาบาล(รถตู้)</t>
  </si>
  <si>
    <t>110000470365</t>
  </si>
  <si>
    <t>110000471019</t>
  </si>
  <si>
    <t>รถพยาบาลโครงสร้างปลอดภัยเคลือบสารต้านจุลชีพขนาดกลา</t>
  </si>
  <si>
    <t>110000471826</t>
  </si>
  <si>
    <t>เครื่องกำเนิดไฟฟ้าขนาด300กิโลวัตต์</t>
  </si>
  <si>
    <t>ครุภัณฑ์ไฟฟ้า</t>
  </si>
  <si>
    <t>110000404493</t>
  </si>
  <si>
    <t>10.04.2568</t>
  </si>
  <si>
    <t>กล้องส่องตรวจลำไส้ใหญ่ชนิดวีดิทัีศน์แบบคมชัดสูง</t>
  </si>
  <si>
    <t>110000404494</t>
  </si>
  <si>
    <t>110000404524</t>
  </si>
  <si>
    <t>01.05.2568</t>
  </si>
  <si>
    <t>ระบบจัดเก็บข้อมูลการทำงานของหัวใจและสัญญาณชีพ</t>
  </si>
  <si>
    <t>110000422644</t>
  </si>
  <si>
    <t>19.05.2568</t>
  </si>
  <si>
    <t>เครื่องทดสอบการได้ยิน</t>
  </si>
  <si>
    <t>110000430213</t>
  </si>
  <si>
    <t>110000431842</t>
  </si>
  <si>
    <t>110000431843</t>
  </si>
  <si>
    <t>110000431844</t>
  </si>
  <si>
    <t>110000431845</t>
  </si>
  <si>
    <t>110000432606</t>
  </si>
  <si>
    <t>110000470917</t>
  </si>
  <si>
    <t>กล้องส่องตรวจกระเพาะอาหาร</t>
  </si>
  <si>
    <t>110000470925</t>
  </si>
  <si>
    <t>เตียงผ่าตัดทั่วไประบบไฟฟ้าพร้อมรีโมทคอนโทรล</t>
  </si>
  <si>
    <t>110000470929</t>
  </si>
  <si>
    <t>โคมไฟผ่าตัดใหญ่โคมคู่ขนาดไม่น้อยกว่า13000ลักซ์</t>
  </si>
  <si>
    <t>110000470934</t>
  </si>
  <si>
    <t>110000470960</t>
  </si>
  <si>
    <t>ชุดเครื่องมือผ่าตัดกระดูกพื้นฐาน</t>
  </si>
  <si>
    <t>110000470962</t>
  </si>
  <si>
    <t>110000470966</t>
  </si>
  <si>
    <t>ชุดสว่านเจาะและเลื่อยตัดกระดูกมาตรฐาน</t>
  </si>
  <si>
    <t>110000471067</t>
  </si>
  <si>
    <t>เครื่องวัดความดันโลหิตอัตโนมัติแบบสอดแขน</t>
  </si>
  <si>
    <t>110000471072</t>
  </si>
  <si>
    <t>110000471073</t>
  </si>
  <si>
    <t>110000471081</t>
  </si>
  <si>
    <t>110000471086</t>
  </si>
  <si>
    <t>110000471100</t>
  </si>
  <si>
    <t>110000471104</t>
  </si>
  <si>
    <t>110000471113</t>
  </si>
  <si>
    <t>110000471121</t>
  </si>
  <si>
    <t>110000471142</t>
  </si>
  <si>
    <t>เครื่องช่วยกระบวนการปั้มและฟื้นคืนชีพผู้ป่วย</t>
  </si>
  <si>
    <t>110000471152</t>
  </si>
  <si>
    <t>110000471168</t>
  </si>
  <si>
    <t>เครื่องติดตามการทำงานของหัวใจขนาดเล็ก</t>
  </si>
  <si>
    <t>110000471173</t>
  </si>
  <si>
    <t>110000471180</t>
  </si>
  <si>
    <t>110000471188</t>
  </si>
  <si>
    <t>110000471223</t>
  </si>
  <si>
    <t>เครื่องช่วยหายใจชนิดควบคุมด้วยปริมาตรและความดัน</t>
  </si>
  <si>
    <t>110000471237</t>
  </si>
  <si>
    <t>110000471261</t>
  </si>
  <si>
    <t>เครื่องติดตามการทำงานของหัวใจและสัญญาณชีพ6พารามิฯ</t>
  </si>
  <si>
    <t>110000471348</t>
  </si>
  <si>
    <t>เครื่องเอกซเรย์ทั่วไปขนาดไม่น้อยกว่า500mA</t>
  </si>
  <si>
    <t>110000471405</t>
  </si>
  <si>
    <t>กล้องถ่ายภาพจอประสาทตาแบบดิจิตอลพร้อมอุปกรณ์ฯ</t>
  </si>
  <si>
    <t>110000471496</t>
  </si>
  <si>
    <t>กล้องส่องตรวจลำไส้ใหญ่ชนิดวีดีทัศน์แบบคมชัดพร้อมฯ</t>
  </si>
  <si>
    <t>110000471512</t>
  </si>
  <si>
    <t>เครื่องกระตุกไฟฟ้าหัวใจชนิดไบเฟสิคฯ</t>
  </si>
  <si>
    <t>110000471515</t>
  </si>
  <si>
    <t>เครื่องล้างกล้องส่องตรวจชนิด2หัว</t>
  </si>
  <si>
    <t>110000471530</t>
  </si>
  <si>
    <t>เตียงผู้ป่วยสำหรับไอซียูปรับด้วยไฟฟ้าชนิด4Motor</t>
  </si>
  <si>
    <t>110000471537</t>
  </si>
  <si>
    <t>110000471541</t>
  </si>
  <si>
    <t>110000471555</t>
  </si>
  <si>
    <t>110000471557</t>
  </si>
  <si>
    <t>110000471561</t>
  </si>
  <si>
    <t>110000471563</t>
  </si>
  <si>
    <t>110000471567</t>
  </si>
  <si>
    <t>110000471575</t>
  </si>
  <si>
    <t>เครื่องติดตามการทำงานของหัวใจและสัญญาณชีพ4พารามิฯ</t>
  </si>
  <si>
    <t>110000471637</t>
  </si>
  <si>
    <t>110000471662</t>
  </si>
  <si>
    <t>เครื่องติดตามสัญญาณชีพพร้อมเครื่องกระตุกหัวใจในรถพ</t>
  </si>
  <si>
    <t>110000471667</t>
  </si>
  <si>
    <t>เครื่องล้างเครื่องมืออัตโนมัติขนาดไม่น้อยกว่า320ลิ</t>
  </si>
  <si>
    <t>110000472169</t>
  </si>
  <si>
    <t>เครื่องดมยาสลบชนิด 3 แก๊ส</t>
  </si>
  <si>
    <t>110000472180</t>
  </si>
  <si>
    <t>เครื่องช่วยหายใจสำหรับทารกแรกเกิด</t>
  </si>
  <si>
    <t>110000647380</t>
  </si>
  <si>
    <t>01.03.2569</t>
  </si>
  <si>
    <t>เครื่องส่องตรวจทางเดินหายใจ</t>
  </si>
  <si>
    <t>110000647399</t>
  </si>
  <si>
    <t>110000647407</t>
  </si>
  <si>
    <t>เครื่องช่วยกระบวนการปั๊มและฟื้นคืนชีพผู้ป่วย</t>
  </si>
  <si>
    <t>110000470798</t>
  </si>
  <si>
    <t>เชียงแสน</t>
  </si>
  <si>
    <t>110000344054</t>
  </si>
  <si>
    <t>เตาเผาขยะติดเชื้อ รพ.เชียงแสน</t>
  </si>
  <si>
    <t>110000344056</t>
  </si>
  <si>
    <t>ระบบประปาภูมิภาค รพ.เชียงแสน</t>
  </si>
  <si>
    <t>110000344058</t>
  </si>
  <si>
    <t>ระบบประปาบาดาล รพ.เชียงแสน</t>
  </si>
  <si>
    <t>110000344061</t>
  </si>
  <si>
    <t>ระบบบำบัดน้ำเสีย รพ.เชียงแสน</t>
  </si>
  <si>
    <t>110000483853</t>
  </si>
  <si>
    <t>เครื่องกำเนิดไฟฟ้า</t>
  </si>
  <si>
    <t>110000430219</t>
  </si>
  <si>
    <t>110000431862</t>
  </si>
  <si>
    <t>110000431863</t>
  </si>
  <si>
    <t>110000431864</t>
  </si>
  <si>
    <t>110000432548</t>
  </si>
  <si>
    <t>110000483867</t>
  </si>
  <si>
    <t>110000484247</t>
  </si>
  <si>
    <t>เครื่องอบความร้อนคลื่นสั้น</t>
  </si>
  <si>
    <t>110000484259</t>
  </si>
  <si>
    <t>เครื่องปั่นเลือดขนาดไม่น้อยกว่า 24 หัวปั่น</t>
  </si>
  <si>
    <t>110000484262</t>
  </si>
  <si>
    <t>เครื่องวัดระดับบิลินรูบินในทารก</t>
  </si>
  <si>
    <t>110000484270</t>
  </si>
  <si>
    <t>เครื่องนึ่งฆ่าเชื้อโรคสำหรับด้ามกรอฟัน</t>
  </si>
  <si>
    <t>110000484284</t>
  </si>
  <si>
    <t>เครื่องล้างเครื่องมืออัลตร้าโซนิคขนาดไม่น้อยฯ20ลิต</t>
  </si>
  <si>
    <t>110000484315</t>
  </si>
  <si>
    <t>110000484325</t>
  </si>
  <si>
    <t>เครื่องล้างเครื่องมืออัตโนมัติขนาดไม่น้อยกว่า250</t>
  </si>
  <si>
    <t>110000484331</t>
  </si>
  <si>
    <t>110000484341</t>
  </si>
  <si>
    <t>110000484347</t>
  </si>
  <si>
    <t>110000484369</t>
  </si>
  <si>
    <t>110000484382</t>
  </si>
  <si>
    <t>ดอยหลวง</t>
  </si>
  <si>
    <t>110000349491</t>
  </si>
  <si>
    <t>อาคารพัสดุ 1 ชั้น รพ.ดอยหลวง</t>
  </si>
  <si>
    <t>110000349524</t>
  </si>
  <si>
    <t>โรงรถ พัสดุ ซักฟอก รพ.ดอยหลวง</t>
  </si>
  <si>
    <t>110000349487</t>
  </si>
  <si>
    <t>ถนน ค.ส.ล. รพ.ดอยหลวง</t>
  </si>
  <si>
    <t>110000349489</t>
  </si>
  <si>
    <t>ระบบประปารพ.ดอยหลวง</t>
  </si>
  <si>
    <t>110000349490</t>
  </si>
  <si>
    <t>ระบบบำบัดน้ำเสีย รพ.ดอยหลวง</t>
  </si>
  <si>
    <t>110000349545</t>
  </si>
  <si>
    <t>เสาธง สูง 20 เมตร รพ.ดอยหลวง</t>
  </si>
  <si>
    <t>110000349546</t>
  </si>
  <si>
    <t>โรงเครื่องกำเนิดไฟฟ้า รพ.ดอยหลวง</t>
  </si>
  <si>
    <t>110000349547</t>
  </si>
  <si>
    <t>รั้วด้านหน้า พร้อมป้ายชื่อและประตู รพ.ดอยหลวง</t>
  </si>
  <si>
    <t>110000350283</t>
  </si>
  <si>
    <t>รั้วคอนกรีต รพ.ดอยหลวง</t>
  </si>
  <si>
    <t>110000357572</t>
  </si>
  <si>
    <t>110000430183</t>
  </si>
  <si>
    <t>110000430184</t>
  </si>
  <si>
    <t>110000431806</t>
  </si>
  <si>
    <t>110000431807</t>
  </si>
  <si>
    <t>110000432553</t>
  </si>
  <si>
    <t>110000470060</t>
  </si>
  <si>
    <t>เครื่องกระตุ้นกล้ามเนื้อด้วยไฟฟ้าพร้อมอัลตร้าซาวด์</t>
  </si>
  <si>
    <t>110000470067</t>
  </si>
  <si>
    <t>110000470071</t>
  </si>
  <si>
    <t>110000470076</t>
  </si>
  <si>
    <t>110000470081</t>
  </si>
  <si>
    <t>เครื่องช่วยกระบวนการปั๋มและฟื้นคืนชีพผู้ป่วย</t>
  </si>
  <si>
    <t>110000470095</t>
  </si>
  <si>
    <t>110000470161</t>
  </si>
  <si>
    <t>110000559324</t>
  </si>
  <si>
    <t>01.09.2568</t>
  </si>
  <si>
    <t>เครื่องเอกซเรย์เคลื่อนที่ขนาดไม่น้อยกว่า300mAฯ</t>
  </si>
  <si>
    <t>เทิง</t>
  </si>
  <si>
    <t>110000350332</t>
  </si>
  <si>
    <t>โรงนึ่งฆ่าเชื้อโรค อาคารคอนกรีตชั้นเดียว รพ.เทิง</t>
  </si>
  <si>
    <t>110000350346</t>
  </si>
  <si>
    <t>อาคารเก็บศพ คอนกรีตชั้นเดียว รพ.เทิง</t>
  </si>
  <si>
    <t>110000353351</t>
  </si>
  <si>
    <t>อาคารส่งเสริมสุขภาพ รพ.เทิง</t>
  </si>
  <si>
    <t>110000353352</t>
  </si>
  <si>
    <t>อาคารตึกรักษาผู้ป่วยในหญิง รพ.เทิง</t>
  </si>
  <si>
    <t>110000350138</t>
  </si>
  <si>
    <t>อาคารโรงติดตั้งเครื่องกำเนิดไฟฟ้า คอนกรีตชั้นเดียว</t>
  </si>
  <si>
    <t>110000350142</t>
  </si>
  <si>
    <t>รั้วลวดหนาม รพ.เทิง</t>
  </si>
  <si>
    <t>110000350149</t>
  </si>
  <si>
    <t>ถนน แบบเลขที่ 3369 รพ.เทิง</t>
  </si>
  <si>
    <t>110000350154</t>
  </si>
  <si>
    <t>ถนนลาดยาง รพ.เทิง</t>
  </si>
  <si>
    <t>110000350161</t>
  </si>
  <si>
    <t>สนามบาสเก็ตบอล รพ.เทิง</t>
  </si>
  <si>
    <t>110000350167</t>
  </si>
  <si>
    <t>สนามวอลเลย์บอล เทนนิส พร้อมรั้วตาข่าย รพ.เทิง</t>
  </si>
  <si>
    <t>110000350180</t>
  </si>
  <si>
    <t>110000350196</t>
  </si>
  <si>
    <t>ป้อมยามหน้าประตูทางเข้า แบบเลขที่ 5269 รพ.เทิง</t>
  </si>
  <si>
    <t>110000350288</t>
  </si>
  <si>
    <t>ถนนลาดยาง แบบเลขที่ 3071/3369 รพ.เทิง</t>
  </si>
  <si>
    <t>110000350351</t>
  </si>
  <si>
    <t>เตาเผาขยะติดเชื้อ รพ.เทิง</t>
  </si>
  <si>
    <t>110000350353</t>
  </si>
  <si>
    <t>รั้วลวดหนาม แบบเลขที่ 4625/30 รพ.เทิง</t>
  </si>
  <si>
    <t>110000350395</t>
  </si>
  <si>
    <t>อาคารโรงพักขยะคอนกรีตชั้นเดียว รพ.เทิง</t>
  </si>
  <si>
    <t>110000350396</t>
  </si>
  <si>
    <t>อาคารอเนกประสงค์คอนกรีตชั้นเดียว รพ.เทิง</t>
  </si>
  <si>
    <t>110000350398</t>
  </si>
  <si>
    <t>อาคารโรงจอดรถยนต์คอนกรีตชั้นเดียว รพ.เทิง</t>
  </si>
  <si>
    <t>110000478777</t>
  </si>
  <si>
    <t>รถพยาบาลรถตู้ทะเบียน ขค4326</t>
  </si>
  <si>
    <t>110000478795</t>
  </si>
  <si>
    <t>รถพยาบาลรถตู้ ทะเบียน ขค4327</t>
  </si>
  <si>
    <t>110000430137</t>
  </si>
  <si>
    <t>110000431408</t>
  </si>
  <si>
    <t>110000431409</t>
  </si>
  <si>
    <t>110000431410</t>
  </si>
  <si>
    <t>110000431411</t>
  </si>
  <si>
    <t>110000432555</t>
  </si>
  <si>
    <t>110000478817</t>
  </si>
  <si>
    <t>110000478874</t>
  </si>
  <si>
    <t>เครื่องกระตุ้นกล้ามเนื้อด้วยไฟฟ้าพร้อมอัลตราซาวด์</t>
  </si>
  <si>
    <t>110000478878</t>
  </si>
  <si>
    <t>110000478882</t>
  </si>
  <si>
    <t>110000478889</t>
  </si>
  <si>
    <t>110000478901</t>
  </si>
  <si>
    <t>เครื่องควบคุมการให้สารน้ำทางหลอดเลือดดำชนิด1สาย</t>
  </si>
  <si>
    <t>110000478904</t>
  </si>
  <si>
    <t>110000478910</t>
  </si>
  <si>
    <t>110000478917</t>
  </si>
  <si>
    <t>110000478919</t>
  </si>
  <si>
    <t>เครื่องเอกซเรย์เคลื่อนที่ดิจิตอลไม่น้อยกว่า100mA</t>
  </si>
  <si>
    <t>110000478950</t>
  </si>
  <si>
    <t>110000478980</t>
  </si>
  <si>
    <t>110000479088</t>
  </si>
  <si>
    <t>110000479234</t>
  </si>
  <si>
    <t>110000479238</t>
  </si>
  <si>
    <t>ป่าแดด</t>
  </si>
  <si>
    <t>110000338334</t>
  </si>
  <si>
    <t>ระบบบำบัดน้ำเสีย รพ.ป่าแดด</t>
  </si>
  <si>
    <t>110000338415</t>
  </si>
  <si>
    <t xml:space="preserve">ระบบประปา รพ.ป่าแดด </t>
  </si>
  <si>
    <t>110000479849</t>
  </si>
  <si>
    <t>รถยนต์พยาบาลทะเบียน กษ8755</t>
  </si>
  <si>
    <t>110000625429</t>
  </si>
  <si>
    <t>01.02.2569</t>
  </si>
  <si>
    <t xml:space="preserve">รถพยาบาลพร้อมอุปกรณ์ช่วยชีวิต กธ 4735 </t>
  </si>
  <si>
    <t>110000430135</t>
  </si>
  <si>
    <t>110000431402</t>
  </si>
  <si>
    <t>110000431403</t>
  </si>
  <si>
    <t>110000432557</t>
  </si>
  <si>
    <t>110000479866</t>
  </si>
  <si>
    <t>เครื่องบันทึกการบีบตัวของมดลูกและการเต้นของหัวใจฯ</t>
  </si>
  <si>
    <t>110000480407</t>
  </si>
  <si>
    <t>110000480412</t>
  </si>
  <si>
    <t>110000480463</t>
  </si>
  <si>
    <t>110000480519</t>
  </si>
  <si>
    <t>เครื่องชั่งน้ำหนักและวัดส่วนสูงอัตโนมัติพร้อมระบบฯ</t>
  </si>
  <si>
    <t>110000480657</t>
  </si>
  <si>
    <t>110000480675</t>
  </si>
  <si>
    <t>110000480711</t>
  </si>
  <si>
    <t>110000480730</t>
  </si>
  <si>
    <t>เครื่องให้สารละลายทางหลอดเลือดดำชนิด1สาย</t>
  </si>
  <si>
    <t>110000480763</t>
  </si>
  <si>
    <t>110000480778</t>
  </si>
  <si>
    <t>110000481065</t>
  </si>
  <si>
    <t>110000481067</t>
  </si>
  <si>
    <t>110000481072</t>
  </si>
  <si>
    <t>110000481076</t>
  </si>
  <si>
    <t>110000481083</t>
  </si>
  <si>
    <t>110000481088</t>
  </si>
  <si>
    <t>110000481091</t>
  </si>
  <si>
    <t>110000481093</t>
  </si>
  <si>
    <t>110000481095</t>
  </si>
  <si>
    <t>110000481097</t>
  </si>
  <si>
    <t>110000481102</t>
  </si>
  <si>
    <t>110000481104</t>
  </si>
  <si>
    <t>110000481106</t>
  </si>
  <si>
    <t>110000481108</t>
  </si>
  <si>
    <t>แผ่นรับภาพดิจิตัลรุ่น Focus 35C</t>
  </si>
  <si>
    <t>110000481110</t>
  </si>
  <si>
    <t>110000481221</t>
  </si>
  <si>
    <t>เครื่องตรวจสมรรถภาพปอดด้วยเครื่องคอมพิวเตอร์</t>
  </si>
  <si>
    <t>110000481227</t>
  </si>
  <si>
    <t>เครื่องให้การรักษาด้วยแสงเลเซอร์กำลังสูง</t>
  </si>
  <si>
    <t>110000481230</t>
  </si>
  <si>
    <t>เครื่องอบฆ่าเชื้ออัตโนมัติด้วยแก๊สเอทิลีนออกไซด์ฯ</t>
  </si>
  <si>
    <t>110000481234</t>
  </si>
  <si>
    <t>110000625434</t>
  </si>
  <si>
    <t>รถเข็นพร้อมอุปกรณ์ช่วยชีวิตฉุกเฉิน</t>
  </si>
  <si>
    <t>110000627412</t>
  </si>
  <si>
    <t>เครื่องควบคุมการให้สารละลายทางหลอดเลือดดำ</t>
  </si>
  <si>
    <t>110000627431</t>
  </si>
  <si>
    <t>110000627545</t>
  </si>
  <si>
    <t>110000627570</t>
  </si>
  <si>
    <t>เตียงเคลื่อนย้ายผู้ป่วย stretcher</t>
  </si>
  <si>
    <t>110000627608</t>
  </si>
  <si>
    <t xml:space="preserve">เตียงเคลื่อนย้ายผู้ป่วย Stretcher </t>
  </si>
  <si>
    <t>110000627629</t>
  </si>
  <si>
    <t>พญาเม็งราย</t>
  </si>
  <si>
    <t>110000347945</t>
  </si>
  <si>
    <t>โรงสูบน้ำ หอถังสูง ตัวกรองน้ำ รพ.พญาเม็งราย</t>
  </si>
  <si>
    <t>110000726091</t>
  </si>
  <si>
    <t>01.06.2569</t>
  </si>
  <si>
    <t>เครื่องปรับอากาศ ยี่ห้อ SAIJO DENKIขนาด25649btu</t>
  </si>
  <si>
    <t>110000726092</t>
  </si>
  <si>
    <t>110000726093</t>
  </si>
  <si>
    <t>110000726094</t>
  </si>
  <si>
    <t>110000726095</t>
  </si>
  <si>
    <t>110000726096</t>
  </si>
  <si>
    <t>110000726097</t>
  </si>
  <si>
    <t>110000726098</t>
  </si>
  <si>
    <t>110000726099</t>
  </si>
  <si>
    <t>110000727088</t>
  </si>
  <si>
    <t>เครื่องดูดฝุ่น-ดูดน้ำ รุ่น B130</t>
  </si>
  <si>
    <t>110000727105</t>
  </si>
  <si>
    <t>เครื่องดูดฝุ่น-ดูดน้ำ รุ่นB130</t>
  </si>
  <si>
    <t>110000727135</t>
  </si>
  <si>
    <t>110000727140</t>
  </si>
  <si>
    <t>เครื่องดูดฝุ่น-ดูดน้ำ รุ่น B130</t>
  </si>
  <si>
    <t>110000727141</t>
  </si>
  <si>
    <t>110000727144</t>
  </si>
  <si>
    <t>110000727145</t>
  </si>
  <si>
    <t>110000571094</t>
  </si>
  <si>
    <t>110000422567</t>
  </si>
  <si>
    <t>20.05.2568</t>
  </si>
  <si>
    <t>เครื่องกระตุกไฟฟ้าหัวใจชนิดไบเฟสิค ฯ</t>
  </si>
  <si>
    <t>110000422568</t>
  </si>
  <si>
    <t>110000430176</t>
  </si>
  <si>
    <t>110000431797</t>
  </si>
  <si>
    <t>110000431798</t>
  </si>
  <si>
    <t>110000432569</t>
  </si>
  <si>
    <t>110000463088</t>
  </si>
  <si>
    <t>เครื่องตรวจสมรรถภาพปอด</t>
  </si>
  <si>
    <t>110000463099</t>
  </si>
  <si>
    <t>เครื่องตรวจสมรรถภาพทารกในครรภ์สำหรับเด็กแฝด</t>
  </si>
  <si>
    <t>110000463100</t>
  </si>
  <si>
    <t>เครื่องกระตุกไฟฟ้าหัวใจชนิดไบเฟสิค</t>
  </si>
  <si>
    <t>110000463101</t>
  </si>
  <si>
    <t>เครื่องติดตามสัญญาณชีพพร้อมเครื่องกระตุกหัวใจในรถ</t>
  </si>
  <si>
    <t>110000463102</t>
  </si>
  <si>
    <t>110000463103</t>
  </si>
  <si>
    <t>110000463104</t>
  </si>
  <si>
    <t>เครื่องติดตามการทำงานของหัวใจและสัญญาณชีพ 6 พาราฯ</t>
  </si>
  <si>
    <t>110000463105</t>
  </si>
  <si>
    <t>เครื่องช่วยหายใจชนิดควบคุมด้วยปริมาตร/ความดัน</t>
  </si>
  <si>
    <t>110000463124</t>
  </si>
  <si>
    <t>110000463125</t>
  </si>
  <si>
    <t>110000463126</t>
  </si>
  <si>
    <t>เครื่องตรวจอวัยวะภายในด้วยคลื่นเสียงความถี่สูง</t>
  </si>
  <si>
    <t>110000463127</t>
  </si>
  <si>
    <t>เครื่องให้ออกซิเจนด้วยอัตราไหลสูง</t>
  </si>
  <si>
    <t>110000463128</t>
  </si>
  <si>
    <t>110000463129</t>
  </si>
  <si>
    <t>110000463130</t>
  </si>
  <si>
    <t>110000463131</t>
  </si>
  <si>
    <t>110000570817</t>
  </si>
  <si>
    <t>110000570826</t>
  </si>
  <si>
    <t>เครื่องควบคุมการให้สารละลายโดยใช้กระบอกฉีด</t>
  </si>
  <si>
    <t>110000570833</t>
  </si>
  <si>
    <t>110000570849</t>
  </si>
  <si>
    <t>เครื่องส่องตรวจทางเดินหายใจระบบวีดีทัศน์ รุ่นเล็ก</t>
  </si>
  <si>
    <t>110000571027</t>
  </si>
  <si>
    <t>เครื่องกระตุกไฟฟ้าหัวใจชนิดอัตโนมัติ(AED)พร้อมตู้ฯ</t>
  </si>
  <si>
    <t>110000571042</t>
  </si>
  <si>
    <t>110000571049</t>
  </si>
  <si>
    <t>เครื่องล้างเครื่องมืออัตโนมัติขนาดไม่น้อยกว่า150</t>
  </si>
  <si>
    <t>110000571409</t>
  </si>
  <si>
    <t>เครื่องนึ่งฆ่าเชื้อจุลินทรีย์ด้วยไอน้ำระบบอัตโนมัต</t>
  </si>
  <si>
    <t>110000724850</t>
  </si>
  <si>
    <t>เครื่องหั่นสมุนไพรสแตนเลส(ปรับจาก ค.โรงงาน)</t>
  </si>
  <si>
    <t>110000726066</t>
  </si>
  <si>
    <t>110000727288</t>
  </si>
  <si>
    <t>หม้อต้มแรงดันสูง รุ่น KASTOR120</t>
  </si>
  <si>
    <t>110000727311</t>
  </si>
  <si>
    <t>หม้อต้มแรงดันสูง รุ่น KASTOR120</t>
  </si>
  <si>
    <t>110000727454</t>
  </si>
  <si>
    <t>เครื่องบดยาแบบลูกกลิ้ง</t>
  </si>
  <si>
    <t>110000727467</t>
  </si>
  <si>
    <t>เครื่องขัดแคปซูล</t>
  </si>
  <si>
    <t>110000571454</t>
  </si>
  <si>
    <t>เครื่องซักผ้า-เครื่องอบผ้าอัตโนมัติ</t>
  </si>
  <si>
    <t>110000727330</t>
  </si>
  <si>
    <t>หม้อต้มน้ำร้อน DUX รุ่น 160S1</t>
  </si>
  <si>
    <t>110000727337</t>
  </si>
  <si>
    <t>พาน</t>
  </si>
  <si>
    <t>110000349763</t>
  </si>
  <si>
    <t>อาคารพัสดุกลาง รพ.พาน</t>
  </si>
  <si>
    <t>110000349823</t>
  </si>
  <si>
    <t>งานซ่อมบำรุง รพ.พาน</t>
  </si>
  <si>
    <t>110000349824</t>
  </si>
  <si>
    <t>อาคารโรงเก็บศพ รพ.พาน</t>
  </si>
  <si>
    <t>110000349827</t>
  </si>
  <si>
    <t>อาคารคลังยา รพ.พาน</t>
  </si>
  <si>
    <t>110000349828</t>
  </si>
  <si>
    <t>อาคาร OPD เก่า(ห้องประชุม+ร้านค้า) รพ.พาน</t>
  </si>
  <si>
    <t>110000353891</t>
  </si>
  <si>
    <t>โรงนึ่งจ่ายกลาง รพ.พาน</t>
  </si>
  <si>
    <t>110000353896</t>
  </si>
  <si>
    <t>อาคารโรงครัว ซักฟอก รพ.พาน</t>
  </si>
  <si>
    <t>110000349747</t>
  </si>
  <si>
    <t>อาคารเผาขยะ รพ.พาน</t>
  </si>
  <si>
    <t>110000349767</t>
  </si>
  <si>
    <t>บ่อบำบัดน้ำเสีย รพ.พาน</t>
  </si>
  <si>
    <t>110000349826</t>
  </si>
  <si>
    <t>โรงสูบน้ำ รพ.พาน</t>
  </si>
  <si>
    <t>110000349830</t>
  </si>
  <si>
    <t>ถังเก็บน้ำซีเมนต์ รพ.พาน</t>
  </si>
  <si>
    <t>110000349831</t>
  </si>
  <si>
    <t>หอถังสูง(เก็บน้ำบาดาล) รพ.พาน</t>
  </si>
  <si>
    <t>110000350060</t>
  </si>
  <si>
    <t>โรงไฟฟ้า รพ.พาน</t>
  </si>
  <si>
    <t>110000350062</t>
  </si>
  <si>
    <t>โรงสูบน้ำดิบ รพ.พาน</t>
  </si>
  <si>
    <t>110000373437</t>
  </si>
  <si>
    <t>01.03.2568</t>
  </si>
  <si>
    <t>รถพยาบาล (รถตู้)</t>
  </si>
  <si>
    <t>110000373457</t>
  </si>
  <si>
    <t>รถพยาบาล (รถกระบะ)</t>
  </si>
  <si>
    <t>110000368101</t>
  </si>
  <si>
    <t>01.06.2568</t>
  </si>
  <si>
    <t>ชุดกล้องส่องตรวจวินิจฉัยโรคมะเร็งลำไส้และทวารหนัก</t>
  </si>
  <si>
    <t>110000368113</t>
  </si>
  <si>
    <t>กล้องส่องตรวจกระเพาะอาหารและลำไส้เล็กส่วนต้น</t>
  </si>
  <si>
    <t>110000373230</t>
  </si>
  <si>
    <t xml:space="preserve">เครื่องติดตามการทำงานของหัวใจและสัญญาณชีพ 6 พาราฯ </t>
  </si>
  <si>
    <t>110000373243</t>
  </si>
  <si>
    <t>เครื่องอุ่นน้ำเกลือ</t>
  </si>
  <si>
    <t>110000373245</t>
  </si>
  <si>
    <t>เครื่องส่องตรวจทางเดินหายใจระบบวีดีทัศน์ขนาดกลาง</t>
  </si>
  <si>
    <t>110000373252</t>
  </si>
  <si>
    <t xml:space="preserve">เครื่องนวดหัวใจและฟื้นคืนชีพอัตโนมัติ </t>
  </si>
  <si>
    <t>110000373265</t>
  </si>
  <si>
    <t xml:space="preserve">เครื่องติดตามการทำงานของหัวใจและสัญญาณชีพ 4 พาราฯ </t>
  </si>
  <si>
    <t>110000373268</t>
  </si>
  <si>
    <t>กล้องส่องเนื้อเยื่อปากมดลูก</t>
  </si>
  <si>
    <t>110000373272</t>
  </si>
  <si>
    <t>เครื่องติดตามสัญญาณพร้อมเครื่องกระตุกหัวใจ</t>
  </si>
  <si>
    <t>110000373273</t>
  </si>
  <si>
    <t>110000373276</t>
  </si>
  <si>
    <t>110000373277</t>
  </si>
  <si>
    <t>110000373278</t>
  </si>
  <si>
    <t>110000373285</t>
  </si>
  <si>
    <t>เครื่องติดตามการทำงานของหัวใจและสัญญาณชีพขนาดเล็ก</t>
  </si>
  <si>
    <t>110000373286</t>
  </si>
  <si>
    <t>110000373287</t>
  </si>
  <si>
    <t>110000373288</t>
  </si>
  <si>
    <t>110000373289</t>
  </si>
  <si>
    <t>110000373295</t>
  </si>
  <si>
    <t>กล้องส่องตรวจกระเพาะอาหารและลำไส้เล็ก</t>
  </si>
  <si>
    <t>110000373296</t>
  </si>
  <si>
    <t>110000373298</t>
  </si>
  <si>
    <t>โคมไฟผ่าตัดชนิดแขวนเพดาน</t>
  </si>
  <si>
    <t>110000373304</t>
  </si>
  <si>
    <t>เตียงผ่าตัดทั่วไประบบไฟฟ้าพร้อมรีโมท</t>
  </si>
  <si>
    <t>110000373312</t>
  </si>
  <si>
    <t>110000373313</t>
  </si>
  <si>
    <t>110000373314</t>
  </si>
  <si>
    <t>110000373315</t>
  </si>
  <si>
    <t>110000373316</t>
  </si>
  <si>
    <t>110000373382</t>
  </si>
  <si>
    <t>เครื่องควบคุมปริมาณให้ออกซิเจน</t>
  </si>
  <si>
    <t>110000373386</t>
  </si>
  <si>
    <t>110000373414</t>
  </si>
  <si>
    <t>เครื่องควบคุมปริมาณให้ออกซิเจนด้วยอัตราการไหลสูง</t>
  </si>
  <si>
    <t>110000373446</t>
  </si>
  <si>
    <t>เครื่องเอ็กซเรย์เคลื่อนที่</t>
  </si>
  <si>
    <t>110000373462</t>
  </si>
  <si>
    <t>110000373478</t>
  </si>
  <si>
    <t>เครื่องรับสัญญาณภาพเอ็กซเรย์</t>
  </si>
  <si>
    <t>110000404458</t>
  </si>
  <si>
    <t>กล้องส่องตรวจลำไส้ใหญ่ชนิดวีดิทัศน์แบบคมชัดสูง</t>
  </si>
  <si>
    <t>110000404528</t>
  </si>
  <si>
    <t>110000429421</t>
  </si>
  <si>
    <t>21.04.2568</t>
  </si>
  <si>
    <t>เครื่องช่วยนวดหัวใจและฟื้นคืนชีพอัตโนมัติ</t>
  </si>
  <si>
    <t>110000430121</t>
  </si>
  <si>
    <t>110000430122</t>
  </si>
  <si>
    <t>110000431389</t>
  </si>
  <si>
    <t>110000431390</t>
  </si>
  <si>
    <t>110000431391</t>
  </si>
  <si>
    <t>110000431392</t>
  </si>
  <si>
    <t>110000432574</t>
  </si>
  <si>
    <t>110000443049</t>
  </si>
  <si>
    <t>26.05.2568</t>
  </si>
  <si>
    <t>ชุดเครื่องมือผ่าตัดใหญ่</t>
  </si>
  <si>
    <t>110000443050</t>
  </si>
  <si>
    <t>110000465238</t>
  </si>
  <si>
    <t>ชุดเครื่องมือถ่างขยายช่องท้องพร้อมอุปกรณ์ถ่างดึง</t>
  </si>
  <si>
    <t>110000465245</t>
  </si>
  <si>
    <t>กล้องส่องตรวจเนื้อเยื่อปากมดลูกชนิดวีดิทัศน์ฯ</t>
  </si>
  <si>
    <t>แม่จัน</t>
  </si>
  <si>
    <t>110000332582</t>
  </si>
  <si>
    <t>อาคารคอนกรีตชั้นเดียว โรงไฟฟ้าชั้นเดียว รพ.แม่จัน</t>
  </si>
  <si>
    <t>110000332651</t>
  </si>
  <si>
    <t>อาคารคอนกรีตชั้นเดียว(ป้อมยาม)รพ.แม่จัน หลังที่ 35</t>
  </si>
  <si>
    <t>110000332657</t>
  </si>
  <si>
    <t>อาคารคอนกรีตชั้นเดียวที่ล้างรถยนต์รพ.แม่จัน หลัง38</t>
  </si>
  <si>
    <t>110000332664</t>
  </si>
  <si>
    <t>อาคารคอนกรีตชั้นเดียว อ.สุคติ รพ.แม่จัน หลังที่39</t>
  </si>
  <si>
    <t>110000332868</t>
  </si>
  <si>
    <t>ระบบบ่อบำบัดน้ำเสียแบบคลองวงเวียน รพ.แม่จัน ล.52</t>
  </si>
  <si>
    <t>110000332971</t>
  </si>
  <si>
    <t>ระบบประปา รพ.แม่จัน ล.63</t>
  </si>
  <si>
    <t>110000473283</t>
  </si>
  <si>
    <t>รถพยาลพร้อมอุปกรณ์ช่วยชีวิตชั้นสูง</t>
  </si>
  <si>
    <t>110000617507</t>
  </si>
  <si>
    <t>01.01.2569</t>
  </si>
  <si>
    <t>รถพยาบาลฉุกเฉินพร้อมเครื่องช่วยหายใจฯ</t>
  </si>
  <si>
    <t>110000473311</t>
  </si>
  <si>
    <t>เครื่องกำเนิดไฟฟ้าขนาดไม่น้อยกว่า500กิโลวัตต์</t>
  </si>
  <si>
    <t>110000473548</t>
  </si>
  <si>
    <t>เครื่องกำเนิดไฟฟ้าขนาดไม่น้อยกว่า 500 กิโลวัตต์</t>
  </si>
  <si>
    <t>110000404527</t>
  </si>
  <si>
    <t>110000430194</t>
  </si>
  <si>
    <t>110000431808</t>
  </si>
  <si>
    <t>110000431809</t>
  </si>
  <si>
    <t>110000431810</t>
  </si>
  <si>
    <t>110000431811</t>
  </si>
  <si>
    <t>110000432575</t>
  </si>
  <si>
    <t>110000432576</t>
  </si>
  <si>
    <t>110000465242</t>
  </si>
  <si>
    <t>โคมไฟผ่าตัดใหญ่โคมคู่ขนาดไม่น้อยกว่า 130,000 ลักซ์</t>
  </si>
  <si>
    <t>110000473577</t>
  </si>
  <si>
    <t>เครื่องส่องตรวจทางเดินหายใจระบบวีดีทัศน์รุ่นมาตรฐา</t>
  </si>
  <si>
    <t>110000473586</t>
  </si>
  <si>
    <t>เครื่องส่องตรวจทางเดินหายใจระบบวีดีทัศน์รุ่นเล็ก</t>
  </si>
  <si>
    <t>110000473667</t>
  </si>
  <si>
    <t>110000473674</t>
  </si>
  <si>
    <t>110000473678</t>
  </si>
  <si>
    <t>110000473684</t>
  </si>
  <si>
    <t>110000473692</t>
  </si>
  <si>
    <t>110000473697</t>
  </si>
  <si>
    <t>110000473700</t>
  </si>
  <si>
    <t>110000473706</t>
  </si>
  <si>
    <t>110000473718</t>
  </si>
  <si>
    <t>110000473722</t>
  </si>
  <si>
    <t>110000473945</t>
  </si>
  <si>
    <t>เครื่องจี้ห้ามเลือดและตัดเนื้อเยื่อด้วยไฟฟ้า200วัต</t>
  </si>
  <si>
    <t>110000473957</t>
  </si>
  <si>
    <t>เครื่องตัดปากมดลูกและเครื่องจี้เย็น</t>
  </si>
  <si>
    <t>110000473962</t>
  </si>
  <si>
    <t>กล้องส่องตรวจและผ่าตัดในช่องท้องชนิดวีดีทัศน์ฯ</t>
  </si>
  <si>
    <t>110000473976</t>
  </si>
  <si>
    <t>กล้องส่องตรวจเนื้อเยื่อปากมดลูก</t>
  </si>
  <si>
    <t>110000474027</t>
  </si>
  <si>
    <t>เครื่องดมยาสลบพร้อมเครื่องช่วยหายใจฯ</t>
  </si>
  <si>
    <t>110000474034</t>
  </si>
  <si>
    <t>เครื่องดมยาสลบพร้อมเครื่องช่วยหายใจ</t>
  </si>
  <si>
    <t>110000474105</t>
  </si>
  <si>
    <t>110000474134</t>
  </si>
  <si>
    <t>110000474179</t>
  </si>
  <si>
    <t>110000474188</t>
  </si>
  <si>
    <t>110000474196</t>
  </si>
  <si>
    <t>110000474207</t>
  </si>
  <si>
    <t>110000474304</t>
  </si>
  <si>
    <t>เครื่องให้ออกซิเจนด้วยอัตราการไหลสูง</t>
  </si>
  <si>
    <t>110000474868</t>
  </si>
  <si>
    <t>110000474896</t>
  </si>
  <si>
    <t>110000474900</t>
  </si>
  <si>
    <t>ชุดสว่านสำหรับผ่าตัดกระดูกขนาดเล็ก</t>
  </si>
  <si>
    <t>110000475153</t>
  </si>
  <si>
    <t>110000475226</t>
  </si>
  <si>
    <t>เครื่องกระตุกไฟฟ้าหัวใจ</t>
  </si>
  <si>
    <t>110000475247</t>
  </si>
  <si>
    <t>โคมไฟผ่าตัดใหญ่</t>
  </si>
  <si>
    <t>110000475290</t>
  </si>
  <si>
    <t>ตู้เย็นเก็บเลือด</t>
  </si>
  <si>
    <t>110000477615</t>
  </si>
  <si>
    <t>110000477624</t>
  </si>
  <si>
    <t>เครื่องล้างเครื่องมือส่องตรวจระบบทางเดินอาหาร</t>
  </si>
  <si>
    <t>110000477632</t>
  </si>
  <si>
    <t>110000477634</t>
  </si>
  <si>
    <t>เครื่องล้างเครื่องมืออัตโนมัติ AUTOCLAVE</t>
  </si>
  <si>
    <t>110000477764</t>
  </si>
  <si>
    <t>110000477772</t>
  </si>
  <si>
    <t>ชุดเครื่องมือผ่าตัดกระดูกขั้นพื้นฐาน</t>
  </si>
  <si>
    <t>110000477793</t>
  </si>
  <si>
    <t>110000477804</t>
  </si>
  <si>
    <t>เครื่องฟังเสียงหัวใจทารกในครรภ์</t>
  </si>
  <si>
    <t>110000477816</t>
  </si>
  <si>
    <t>เครื่องกระตุ้นกล้ามเนื้อด้วยไฟฟ้า</t>
  </si>
  <si>
    <t>110000477818</t>
  </si>
  <si>
    <t>หม้อพาราฟิน(หม้อนึ่ง)</t>
  </si>
  <si>
    <t>110000477822</t>
  </si>
  <si>
    <t>เตียงฝึกยืนใช้ไฟฟ้า</t>
  </si>
  <si>
    <t>110000477825</t>
  </si>
  <si>
    <t>110000477828</t>
  </si>
  <si>
    <t>110000477833</t>
  </si>
  <si>
    <t>110000477837</t>
  </si>
  <si>
    <t>เครื่องเลเซอร์สำหรับงานเวชศาสตร์ฟื้นฟู</t>
  </si>
  <si>
    <t>110000477845</t>
  </si>
  <si>
    <t>เครื่องเอกซเรย์ฟันทั้งปากพร้อมกะโหลกศรีษะแบบ3มิติ</t>
  </si>
  <si>
    <t>110000477855</t>
  </si>
  <si>
    <t>เครื่องให้ออกซิเจนด้วยอัตราการไหลสูงสำหรับเด็ก</t>
  </si>
  <si>
    <t>110000477891</t>
  </si>
  <si>
    <t>110000477900</t>
  </si>
  <si>
    <t>110000477903</t>
  </si>
  <si>
    <t>110000477930</t>
  </si>
  <si>
    <t>110000477950</t>
  </si>
  <si>
    <t>ชุดเครื่องมือผ่าตัดตา</t>
  </si>
  <si>
    <t>110000477958</t>
  </si>
  <si>
    <t>110000477960</t>
  </si>
  <si>
    <t>110000477962</t>
  </si>
  <si>
    <t>เครื่องเอกซเรย์ฟลูโอโรสโคปเคลื่อนที่แบบซีอาร์มฯ</t>
  </si>
  <si>
    <t>110000477964</t>
  </si>
  <si>
    <t>110000477966</t>
  </si>
  <si>
    <t>110000484403</t>
  </si>
  <si>
    <t>กล้องถ่ายภาพจอประสาทตาดิจิตอล</t>
  </si>
  <si>
    <t>110000619440</t>
  </si>
  <si>
    <t xml:space="preserve">เครื่องควบคุมการให้สารน้ำทางหลอดเลือดดำชนิด1สาย </t>
  </si>
  <si>
    <t>110000619639</t>
  </si>
  <si>
    <t>เครื่องดมยาสลบพร้อมเครื่องช่วยหายใจชนิด3แก๊ส</t>
  </si>
  <si>
    <t>110000619646</t>
  </si>
  <si>
    <t>เครื่องดมยาสลบพร้อมเครื่องช่วยหายใจชนิด 3 แก๊ส</t>
  </si>
  <si>
    <t>110000619670</t>
  </si>
  <si>
    <t>110000619822</t>
  </si>
  <si>
    <t>110000619833</t>
  </si>
  <si>
    <t>110000619990</t>
  </si>
  <si>
    <t>เครื่องเอกซเรย์เคลื่อนที่</t>
  </si>
  <si>
    <t>110000620023</t>
  </si>
  <si>
    <t>เครื่องตรวจคลื่นไฟฟ้าหัวใจ</t>
  </si>
  <si>
    <t>110000620028</t>
  </si>
  <si>
    <t>110000620029</t>
  </si>
  <si>
    <t>หม้อต้มแผ่นประคบร้อน</t>
  </si>
  <si>
    <t>แม่ฟ้าหลวง</t>
  </si>
  <si>
    <t>110000349603</t>
  </si>
  <si>
    <t>อาคารโรงอาหาร รพ.แม่ฟ้าหลวง</t>
  </si>
  <si>
    <t>110000349595</t>
  </si>
  <si>
    <t>ห้องน้ำผู้ป่วยนอก รพ.แม่ฟ้าหลวง</t>
  </si>
  <si>
    <t>110000349598</t>
  </si>
  <si>
    <t>ระบบบำบัดน้ำเสีย รพ.แม่ฟ้าหลวง</t>
  </si>
  <si>
    <t>110000460528</t>
  </si>
  <si>
    <t>รถพยาบาลฉุกเฉิน(รถกระบะ)</t>
  </si>
  <si>
    <t>110000429407</t>
  </si>
  <si>
    <t>110000430202</t>
  </si>
  <si>
    <t>110000431816</t>
  </si>
  <si>
    <t>110000431817</t>
  </si>
  <si>
    <t>110000431818</t>
  </si>
  <si>
    <t>110000431819</t>
  </si>
  <si>
    <t>110000431820</t>
  </si>
  <si>
    <t>110000431821</t>
  </si>
  <si>
    <t>110000431822</t>
  </si>
  <si>
    <t>110000432579</t>
  </si>
  <si>
    <t>110000460326</t>
  </si>
  <si>
    <t>เครื่องช่วยหายใจชนิดควบคุมด้วยปริมาตร</t>
  </si>
  <si>
    <t>110000460343</t>
  </si>
  <si>
    <t>110000460387</t>
  </si>
  <si>
    <t>เครื่องวัดความดันโลหิตแบบสอดแขนอัตโนมัติ</t>
  </si>
  <si>
    <t>110000460407</t>
  </si>
  <si>
    <t>เครื่องวัดความดันโลิตแบบสอดแขนชนิดอัตโนมัติ</t>
  </si>
  <si>
    <t>110000460432</t>
  </si>
  <si>
    <t>110000460452</t>
  </si>
  <si>
    <t>110000460476</t>
  </si>
  <si>
    <t>110000460484</t>
  </si>
  <si>
    <t>เครื่องเอกซเรย์เคลื่อนที่ขนาด 300mA</t>
  </si>
  <si>
    <t>110000460501</t>
  </si>
  <si>
    <t>110000460532</t>
  </si>
  <si>
    <t>เครื่องติดตามพร้อมเครื่องกระตุกหัวใจ</t>
  </si>
  <si>
    <t>110000460563</t>
  </si>
  <si>
    <t>ชุดอุปกรณ์ช่วยชีวิตทารกแรกคลอด</t>
  </si>
  <si>
    <t>110000602053</t>
  </si>
  <si>
    <t>03.12.2568</t>
  </si>
  <si>
    <t>เครื่องให้ออกซิเจนด้วยอันตราการไหลสูง</t>
  </si>
  <si>
    <t>แม่ลาว</t>
  </si>
  <si>
    <t>110000336620</t>
  </si>
  <si>
    <t>อาคารโรงรถ พัสดุ ซักฟอก รพ.แม่ลาว</t>
  </si>
  <si>
    <t>110000336642</t>
  </si>
  <si>
    <t>อาคารโรงไฟฟ้า รพ.แม่ลาว</t>
  </si>
  <si>
    <t>110000336072</t>
  </si>
  <si>
    <t>ระบบบำบัดน้ำเสีย รพ.แม่ลาว</t>
  </si>
  <si>
    <t>110000336873</t>
  </si>
  <si>
    <t>เตาเผาขยะ รพ.แม่ลาว</t>
  </si>
  <si>
    <t>110000491854</t>
  </si>
  <si>
    <t>07.08.2568</t>
  </si>
  <si>
    <t xml:space="preserve">ระบบท่อรวบรวมน้ำเสีย รพ.แม่ลาว </t>
  </si>
  <si>
    <t>110000486648</t>
  </si>
  <si>
    <t>รถตู้พยาบาลพร้อมอุปกรณ์ช่วยชีวิตขั้นสูงฯ</t>
  </si>
  <si>
    <t>110000617509</t>
  </si>
  <si>
    <t>110000485382</t>
  </si>
  <si>
    <t>เครื่องกำเนิดไฟฟ้าขนาดไม่น้อยกว่า300กิโลวัตต์</t>
  </si>
  <si>
    <t>110000430146</t>
  </si>
  <si>
    <t>110000431787</t>
  </si>
  <si>
    <t>110000431788</t>
  </si>
  <si>
    <t>110000432580</t>
  </si>
  <si>
    <t>110000432581</t>
  </si>
  <si>
    <t>110000485083</t>
  </si>
  <si>
    <t>06.08.2568</t>
  </si>
  <si>
    <t>110000485084</t>
  </si>
  <si>
    <t>110000485085</t>
  </si>
  <si>
    <t>110000485422</t>
  </si>
  <si>
    <t>110000485443</t>
  </si>
  <si>
    <t>เตียงคลอดไฟฟ้า</t>
  </si>
  <si>
    <t>110000486497</t>
  </si>
  <si>
    <t>เครื่องจี้ห้ามเลือดและตัดเนื้อเยื่อด้วยไฟฟ้าฯ</t>
  </si>
  <si>
    <t>110000486503</t>
  </si>
  <si>
    <t>โคมไฟผ่าตัดใหญ่คู่ขนาดไม่น้อยกว่า 130,000 ลักซ์</t>
  </si>
  <si>
    <t>110000486568</t>
  </si>
  <si>
    <t>110000486602</t>
  </si>
  <si>
    <t>110000486609</t>
  </si>
  <si>
    <t>110000486614</t>
  </si>
  <si>
    <t>110000486617</t>
  </si>
  <si>
    <t>110000486623</t>
  </si>
  <si>
    <t>110000486631</t>
  </si>
  <si>
    <t>110000486639</t>
  </si>
  <si>
    <t>110000486659</t>
  </si>
  <si>
    <t>แม่สรวย</t>
  </si>
  <si>
    <t>110000349405</t>
  </si>
  <si>
    <t>โรงอาหาร โครงครัวและซักฟอก รพ.แม่สรวย</t>
  </si>
  <si>
    <t>110000349413</t>
  </si>
  <si>
    <t>อาคารหน่วยจ่ายกลาง รพ.แม่สรวย</t>
  </si>
  <si>
    <t>110000429364</t>
  </si>
  <si>
    <t>110000429365</t>
  </si>
  <si>
    <t>110000430174</t>
  </si>
  <si>
    <t>110000431791</t>
  </si>
  <si>
    <t>110000431792</t>
  </si>
  <si>
    <t>110000431793</t>
  </si>
  <si>
    <t>110000431794</t>
  </si>
  <si>
    <t>110000431795</t>
  </si>
  <si>
    <t>110000432584</t>
  </si>
  <si>
    <t>110000469349</t>
  </si>
  <si>
    <t>เครื่องติดตามการทำงานของหัวใจและสัญญาณชีพฯ</t>
  </si>
  <si>
    <t>110000469350</t>
  </si>
  <si>
    <t>110000469351</t>
  </si>
  <si>
    <t>110000469352</t>
  </si>
  <si>
    <t>เครื่องส่องตรวจทางเดินหายใจระบบวีดีทัศน์รุ่นเล็ก</t>
  </si>
  <si>
    <t>110000469805</t>
  </si>
  <si>
    <t>110000469824</t>
  </si>
  <si>
    <t>110000469832</t>
  </si>
  <si>
    <t>110000469845</t>
  </si>
  <si>
    <t>110000469852</t>
  </si>
  <si>
    <t>110000469858</t>
  </si>
  <si>
    <t>110000469864</t>
  </si>
  <si>
    <t>110000469868</t>
  </si>
  <si>
    <t>110000469876</t>
  </si>
  <si>
    <t>110000469891</t>
  </si>
  <si>
    <t>เครื่องเอกซเรย์เคลื่อนที่ดิจิตอลไม่น้อยกว่า300mA</t>
  </si>
  <si>
    <t>110000469898</t>
  </si>
  <si>
    <t>แม่สาย</t>
  </si>
  <si>
    <t>110000350172</t>
  </si>
  <si>
    <t>อาคารคอนกรีตชั้นเดียวติดดิน รพ.แม่สาย</t>
  </si>
  <si>
    <t>110000350174</t>
  </si>
  <si>
    <t>110000350177</t>
  </si>
  <si>
    <t>อาคารคอนกรีตชั้นเดียวติดดิน 2 ห้อง</t>
  </si>
  <si>
    <t>110000350190</t>
  </si>
  <si>
    <t>อ.คอนกรีตชั้นเดียว แบบติดพื้นดิน (โรงอาหาร ซักฟอก)</t>
  </si>
  <si>
    <t>110000350193</t>
  </si>
  <si>
    <t>อ.คอนกรีตชั้นเดียว แบบติดพื้นดิน(โรงรถ พัสดุ)</t>
  </si>
  <si>
    <t>110000350197</t>
  </si>
  <si>
    <t>อ.คอนกรีตชั้นเดียว(ตึกตรวจและเก็บศพ) รพ.แม่สาย</t>
  </si>
  <si>
    <t>110000350201</t>
  </si>
  <si>
    <t>อ.คอนกรีตชั้นเดียว (โรงนึ่งกลาง) รพ.แม่สาย</t>
  </si>
  <si>
    <t>110000350165</t>
  </si>
  <si>
    <t>โรงสูบน้ำ รพ.แม่สาย</t>
  </si>
  <si>
    <t>110000350231</t>
  </si>
  <si>
    <t>บ่อบำบัดน้ำเสีย รพ.แม่สาย</t>
  </si>
  <si>
    <t>110000350232</t>
  </si>
  <si>
    <t>ระบบประปา</t>
  </si>
  <si>
    <t>110000355338</t>
  </si>
  <si>
    <t>เครื่องปรับอากาศ 24,000btu (รพ.แม่สาย)</t>
  </si>
  <si>
    <t>110000355339</t>
  </si>
  <si>
    <t>เครื่องปรับอากาศ24,000btu อ.ผู้ป่วยใน รพ.แม่สาย</t>
  </si>
  <si>
    <t>110000355340</t>
  </si>
  <si>
    <t>เครื่องปรับอากาศ24,000btuอ.ผู้ป่วยใน7ชั้น</t>
  </si>
  <si>
    <t>110000355341</t>
  </si>
  <si>
    <t>110000355342</t>
  </si>
  <si>
    <t>เครื่องปรับอากาศ 24,000btuรพ.แม่สาย</t>
  </si>
  <si>
    <t>110000355343</t>
  </si>
  <si>
    <t>110000355344</t>
  </si>
  <si>
    <t>110000355345</t>
  </si>
  <si>
    <t>110000355346</t>
  </si>
  <si>
    <t>110000355347</t>
  </si>
  <si>
    <t>110000355348</t>
  </si>
  <si>
    <t>เครื่องปรับอากาศ (อ.ผู้ป่วยใน 7 ชั้น รพ.แม่สาย)</t>
  </si>
  <si>
    <t>110000355349</t>
  </si>
  <si>
    <t>110000355350</t>
  </si>
  <si>
    <t>110000355351</t>
  </si>
  <si>
    <t>110000355352</t>
  </si>
  <si>
    <t>110000355353</t>
  </si>
  <si>
    <t>110000355354</t>
  </si>
  <si>
    <t>110000355355</t>
  </si>
  <si>
    <t>110000355356</t>
  </si>
  <si>
    <t>110000355357</t>
  </si>
  <si>
    <t>110000355358</t>
  </si>
  <si>
    <t>110000355359</t>
  </si>
  <si>
    <t>110000355360</t>
  </si>
  <si>
    <t>110000355361</t>
  </si>
  <si>
    <t>110000355362</t>
  </si>
  <si>
    <t>110000355363</t>
  </si>
  <si>
    <t>110000355364</t>
  </si>
  <si>
    <t>110000355365</t>
  </si>
  <si>
    <t>110000355366</t>
  </si>
  <si>
    <t>110000355367</t>
  </si>
  <si>
    <t>110000355368</t>
  </si>
  <si>
    <t>110000355369</t>
  </si>
  <si>
    <t>110000355370</t>
  </si>
  <si>
    <t>110000355371</t>
  </si>
  <si>
    <t>110000355372</t>
  </si>
  <si>
    <t>110000355373</t>
  </si>
  <si>
    <t>110000355374</t>
  </si>
  <si>
    <t>110000355375</t>
  </si>
  <si>
    <t>110000355376</t>
  </si>
  <si>
    <t>110000355377</t>
  </si>
  <si>
    <t>110000355378</t>
  </si>
  <si>
    <t>เครื่องปรับอากาศ18,000btuรพ.แม่สาย</t>
  </si>
  <si>
    <t>110000355379</t>
  </si>
  <si>
    <t>110000355380</t>
  </si>
  <si>
    <t>110000355381</t>
  </si>
  <si>
    <t>เครื่องปรับอากาศ18,000btu</t>
  </si>
  <si>
    <t>110000355382</t>
  </si>
  <si>
    <t>110000355383</t>
  </si>
  <si>
    <t>110000355384</t>
  </si>
  <si>
    <t>110000355385</t>
  </si>
  <si>
    <t>110000355386</t>
  </si>
  <si>
    <t>110000355387</t>
  </si>
  <si>
    <t>110000355388</t>
  </si>
  <si>
    <t>110000355389</t>
  </si>
  <si>
    <t>110000355390</t>
  </si>
  <si>
    <t>110000355391</t>
  </si>
  <si>
    <t>110000355392</t>
  </si>
  <si>
    <t>110000355393</t>
  </si>
  <si>
    <t>เครื่องปรับอากาศ12,000btu</t>
  </si>
  <si>
    <t>110000355394</t>
  </si>
  <si>
    <t>110000355395</t>
  </si>
  <si>
    <t>110000355396</t>
  </si>
  <si>
    <t>110000355397</t>
  </si>
  <si>
    <t>110000355398</t>
  </si>
  <si>
    <t>110000355399</t>
  </si>
  <si>
    <t>110000355400</t>
  </si>
  <si>
    <t>110000355401</t>
  </si>
  <si>
    <t>110000355402</t>
  </si>
  <si>
    <t>110000355403</t>
  </si>
  <si>
    <t>110000355404</t>
  </si>
  <si>
    <t>110000355405</t>
  </si>
  <si>
    <t>110000355406</t>
  </si>
  <si>
    <t>110000355407</t>
  </si>
  <si>
    <t>เครื่องปรับอากาศ7,000btu</t>
  </si>
  <si>
    <t>110000355408</t>
  </si>
  <si>
    <t>110000355409</t>
  </si>
  <si>
    <t>110000355410</t>
  </si>
  <si>
    <t>110000355411</t>
  </si>
  <si>
    <t>110000355412</t>
  </si>
  <si>
    <t>110000355413</t>
  </si>
  <si>
    <t>110000355414</t>
  </si>
  <si>
    <t>110000355416</t>
  </si>
  <si>
    <t>เครื่องปรับอากาศ36,000btuผู้ป่วยใน 7ชั้น รพ.แม่สาย</t>
  </si>
  <si>
    <t>110000355417</t>
  </si>
  <si>
    <t>110000355418</t>
  </si>
  <si>
    <t>110000355419</t>
  </si>
  <si>
    <t>เครื่องปรับอากาศ32,000btuอ.ผุ้ป่วยใน7ชั้นรพ.แม่สาย</t>
  </si>
  <si>
    <t>110000355420</t>
  </si>
  <si>
    <t>เครื่องปรับอากาศ32,000btuอผู้ป่วยใน7ชั้น รพ.แม่สาย</t>
  </si>
  <si>
    <t>110000355421</t>
  </si>
  <si>
    <t>เครื่องปรับอากาศ32,000btuผู้ป่วยใน7ชั้นรพ.แม่สาย</t>
  </si>
  <si>
    <t>110000514263</t>
  </si>
  <si>
    <t>01.08.2568</t>
  </si>
  <si>
    <t>รถพยาบาล กร 5330 เชียงราย</t>
  </si>
  <si>
    <t>110000567577</t>
  </si>
  <si>
    <t>รถพยาบาล ขค7293 เชียงราย</t>
  </si>
  <si>
    <t>110000404460</t>
  </si>
  <si>
    <t>110000404526</t>
  </si>
  <si>
    <t>110000430206</t>
  </si>
  <si>
    <t>110000431825</t>
  </si>
  <si>
    <t>110000431826</t>
  </si>
  <si>
    <t>110000431827</t>
  </si>
  <si>
    <t>110000431828</t>
  </si>
  <si>
    <t>110000432450</t>
  </si>
  <si>
    <t>22.05.2568</t>
  </si>
  <si>
    <t>เตียงผ่าตัดด้านศัลยกรรมออร์โธปิดิกส์</t>
  </si>
  <si>
    <t>110000432590</t>
  </si>
  <si>
    <t>110000443045</t>
  </si>
  <si>
    <t>27.05.2568</t>
  </si>
  <si>
    <t>เครื่องเอกซเรฟันทั้่งปากพร้อมกะโหลกศีรษะแบบ3 มิติ</t>
  </si>
  <si>
    <t>110000514970</t>
  </si>
  <si>
    <t>เครื่องช่วยหายใจแบบเคลื่อนย้ายได้</t>
  </si>
  <si>
    <t>110000515001</t>
  </si>
  <si>
    <t>เตียงผ่าตัดศัลยกรรม</t>
  </si>
  <si>
    <t>110000515008</t>
  </si>
  <si>
    <t>110000515030</t>
  </si>
  <si>
    <t>110000515057</t>
  </si>
  <si>
    <t>110000515091</t>
  </si>
  <si>
    <t>110000515099</t>
  </si>
  <si>
    <t>110000515105</t>
  </si>
  <si>
    <t>110000515110</t>
  </si>
  <si>
    <t>110000515115</t>
  </si>
  <si>
    <t>เครื่องส่องทารก Double LED Phototherapy</t>
  </si>
  <si>
    <t>110000515128</t>
  </si>
  <si>
    <t>เครื่องตรวจสมรรถภาพทารกในครรภ์ภาวะวิกฤติฯ</t>
  </si>
  <si>
    <t>110000515131</t>
  </si>
  <si>
    <t>110000515135</t>
  </si>
  <si>
    <t>110000515141</t>
  </si>
  <si>
    <t>110000515202</t>
  </si>
  <si>
    <t>110000515208</t>
  </si>
  <si>
    <t>110000515211</t>
  </si>
  <si>
    <t>110000515216</t>
  </si>
  <si>
    <t>110000515224</t>
  </si>
  <si>
    <t>110000515228</t>
  </si>
  <si>
    <t>110000515237</t>
  </si>
  <si>
    <t>110000515241</t>
  </si>
  <si>
    <t>110000515252</t>
  </si>
  <si>
    <t>110000515261</t>
  </si>
  <si>
    <t>110000515315</t>
  </si>
  <si>
    <t>110000515319</t>
  </si>
  <si>
    <t>110000515320</t>
  </si>
  <si>
    <t>110000515327</t>
  </si>
  <si>
    <t>110000515331</t>
  </si>
  <si>
    <t>110000515339</t>
  </si>
  <si>
    <t>110000515345</t>
  </si>
  <si>
    <t>110000515351</t>
  </si>
  <si>
    <t>โคมไฟผ่าตัดคู่ขนาดไม่น้อยกว่า130000ลักซ์</t>
  </si>
  <si>
    <t>110000515363</t>
  </si>
  <si>
    <t>110000515436</t>
  </si>
  <si>
    <t>110000515445</t>
  </si>
  <si>
    <t>เครื่องล้างเครื่องมืออัตโนมัติขนาด 500 ลิตร</t>
  </si>
  <si>
    <t>110000515524</t>
  </si>
  <si>
    <t>110000515603</t>
  </si>
  <si>
    <t>เครื่องช่วยนวดหัวใจและฟื้นคืนชีพผู้ป่วยอัตโนมัติ</t>
  </si>
  <si>
    <t>110000515627</t>
  </si>
  <si>
    <t>110000515643</t>
  </si>
  <si>
    <t>โคมไฟผ่าตัดคู่ขนาดไม่น้อยกว่า 13000 ลักซ์</t>
  </si>
  <si>
    <t>110000515676</t>
  </si>
  <si>
    <t>เครื่องกระตุกไฟฟ้าหัวใจในรถพยาบาล</t>
  </si>
  <si>
    <t>110000517155</t>
  </si>
  <si>
    <t>110000517746</t>
  </si>
  <si>
    <t>110000562282</t>
  </si>
  <si>
    <t>110000567589</t>
  </si>
  <si>
    <t>110000567609</t>
  </si>
  <si>
    <t>110000567730</t>
  </si>
  <si>
    <t>110000567802</t>
  </si>
  <si>
    <t>110000567810</t>
  </si>
  <si>
    <t>110000576075</t>
  </si>
  <si>
    <t>01.10.2568</t>
  </si>
  <si>
    <t>เวียงแก่น</t>
  </si>
  <si>
    <t>110000345760</t>
  </si>
  <si>
    <t>อาคารโรงอาคาร ครัว ซักฟอก รพ.เวียงแก่น</t>
  </si>
  <si>
    <t>110000345761</t>
  </si>
  <si>
    <t>อาคารโรงรถ พัสดุ ซักฟอก รพ.เวียงแก่น</t>
  </si>
  <si>
    <t>110000345762</t>
  </si>
  <si>
    <t>อาคารโรงรถ พัสด รพ.เวียงแก่น</t>
  </si>
  <si>
    <t>110000345764</t>
  </si>
  <si>
    <t>08.01.2568</t>
  </si>
  <si>
    <t>โรงเก็บศพ รพ.เวียงแก่น</t>
  </si>
  <si>
    <t>110000345765</t>
  </si>
  <si>
    <t>โรงไฟฟ้า รพ.เวียงแก่น</t>
  </si>
  <si>
    <t>110000346552</t>
  </si>
  <si>
    <t>อาคารจ่ายกลาง รพ.เวียงแก่น</t>
  </si>
  <si>
    <t>110000345767</t>
  </si>
  <si>
    <t>โรงประปา รพ.เวียงแก่น</t>
  </si>
  <si>
    <t>110000345769</t>
  </si>
  <si>
    <t>เตาเผาขยะ รพ.เวียงแก่น</t>
  </si>
  <si>
    <t>110000383835</t>
  </si>
  <si>
    <t>110000383836</t>
  </si>
  <si>
    <t>รถพยาบาลฉุกเฉิน</t>
  </si>
  <si>
    <t>110000383728</t>
  </si>
  <si>
    <t>110000383729</t>
  </si>
  <si>
    <t>110000383732</t>
  </si>
  <si>
    <t>เครื่องวัดความอิ่มตัวของออกซิเจนในเลือด</t>
  </si>
  <si>
    <t>110000383733</t>
  </si>
  <si>
    <t>110000383734</t>
  </si>
  <si>
    <t>110000383735</t>
  </si>
  <si>
    <t>110000383747</t>
  </si>
  <si>
    <t>110000383748</t>
  </si>
  <si>
    <t>110000383749</t>
  </si>
  <si>
    <t>110000383750</t>
  </si>
  <si>
    <t>110000383751</t>
  </si>
  <si>
    <t>110000383754</t>
  </si>
  <si>
    <t>เครื่องเอกซเรย์เคลื่อนที่ขนาดไม่น้อยกว่า 100 MA</t>
  </si>
  <si>
    <t>110000383802</t>
  </si>
  <si>
    <t>เครื่องส่องตรวจทางเดินหายใจระบบวิดิทัศน์</t>
  </si>
  <si>
    <t>110000383803</t>
  </si>
  <si>
    <t>110000383805</t>
  </si>
  <si>
    <t>เครื่องวัดความดันโลหิต</t>
  </si>
  <si>
    <t>110000383806</t>
  </si>
  <si>
    <t>110000383811</t>
  </si>
  <si>
    <t>เครื่องควบคุมการให้สารละลายโดยกระบอกฉีด</t>
  </si>
  <si>
    <t>110000383822</t>
  </si>
  <si>
    <t>110000383823</t>
  </si>
  <si>
    <t>110000383824</t>
  </si>
  <si>
    <t>110000383825</t>
  </si>
  <si>
    <t>110000383826</t>
  </si>
  <si>
    <t>110000383830</t>
  </si>
  <si>
    <t>110000383833</t>
  </si>
  <si>
    <t>เครื่องยูนิตทำฟัน</t>
  </si>
  <si>
    <t>110000383834</t>
  </si>
  <si>
    <t>เครื่องติดตามสัญญาณชีพร้อมเครื่องกระตุกหัวใจ</t>
  </si>
  <si>
    <t>110000430216</t>
  </si>
  <si>
    <t>110000431848</t>
  </si>
  <si>
    <t>110000431849</t>
  </si>
  <si>
    <t>110000431850</t>
  </si>
  <si>
    <t>110000431851</t>
  </si>
  <si>
    <t>110000431852</t>
  </si>
  <si>
    <t>110000431853</t>
  </si>
  <si>
    <t>110000431854</t>
  </si>
  <si>
    <t>110000432593</t>
  </si>
  <si>
    <t>เวียงเชียงรุ้ง</t>
  </si>
  <si>
    <t>110000349786</t>
  </si>
  <si>
    <t>อาคารซ่อมบำรุง,พัสดุ รพ.เวียงเชียงรุ้ง</t>
  </si>
  <si>
    <t>110000349787</t>
  </si>
  <si>
    <t>โรงนึ่งกลาง รพ.เวียงเชียงรุ้ง</t>
  </si>
  <si>
    <t>110000349788</t>
  </si>
  <si>
    <t>โรงอาหาร-โรงครัวและโรงซักฟอก รพ.เวียงเชียงรุ้ง</t>
  </si>
  <si>
    <t>110000349789</t>
  </si>
  <si>
    <t>โรงรถ โรงพัสดุและโรงซักฟอก (ห้องประชุม)</t>
  </si>
  <si>
    <t>110000349790</t>
  </si>
  <si>
    <t>โรงรถ พัสดุ (คลัง) รพ.เวียงเชียงรุ้ง</t>
  </si>
  <si>
    <t>110000349791</t>
  </si>
  <si>
    <t>อาคารโรงไฟฟ้า</t>
  </si>
  <si>
    <t>110000349792</t>
  </si>
  <si>
    <t>อาคารประปา รพ.เวียงเชียงรุ้ง</t>
  </si>
  <si>
    <t>110000349793</t>
  </si>
  <si>
    <t>โรงรถที่ล้างรถติดเชื้อ รพ.เวียงเชียงรุ้ง</t>
  </si>
  <si>
    <t>110000481406</t>
  </si>
  <si>
    <t>110000430142</t>
  </si>
  <si>
    <t>110000431774</t>
  </si>
  <si>
    <t>110000431775</t>
  </si>
  <si>
    <t>110000431776</t>
  </si>
  <si>
    <t>110000431777</t>
  </si>
  <si>
    <t>110000432596</t>
  </si>
  <si>
    <t>110000481529</t>
  </si>
  <si>
    <t>เครื่องช่วยหายใจ สำหรับรถพยาบาล</t>
  </si>
  <si>
    <t>110000481541</t>
  </si>
  <si>
    <t>เครื่องเป่าแห้งสายยางขนาด 900 ลิตร</t>
  </si>
  <si>
    <t>110000481567</t>
  </si>
  <si>
    <t>110000481596</t>
  </si>
  <si>
    <t>110000481625</t>
  </si>
  <si>
    <t>110000481629</t>
  </si>
  <si>
    <t>110000481640</t>
  </si>
  <si>
    <t>110000481647</t>
  </si>
  <si>
    <t>110000482981</t>
  </si>
  <si>
    <t>110000482991</t>
  </si>
  <si>
    <t>110000482996</t>
  </si>
  <si>
    <t>110000483003</t>
  </si>
  <si>
    <t>110000483007</t>
  </si>
  <si>
    <t>110000483009</t>
  </si>
  <si>
    <t>110000483016</t>
  </si>
  <si>
    <t>110000483041</t>
  </si>
  <si>
    <t>110000562080</t>
  </si>
  <si>
    <t>110000635137</t>
  </si>
  <si>
    <t>25.02.2569</t>
  </si>
  <si>
    <t>เวียงป่าเป้า</t>
  </si>
  <si>
    <t>110000349230</t>
  </si>
  <si>
    <t>อาคารเก็บศพ รพ.เวียงป่าเป้า</t>
  </si>
  <si>
    <t>110000349304</t>
  </si>
  <si>
    <t>อาคารคลัังพัสดุและเวชภัณฑ์ รพ.เวียงป่าเป้า</t>
  </si>
  <si>
    <t>110000349306</t>
  </si>
  <si>
    <t>อาคารโรงนึ่งกลาง รพ.เวียงป่าเป้า</t>
  </si>
  <si>
    <t>110000349312</t>
  </si>
  <si>
    <t>อาคารอเนกประสงค์ สรรพยาเรือนไทย รพ.เวียงป่าเป้า</t>
  </si>
  <si>
    <t>110000349321</t>
  </si>
  <si>
    <t>อาคารคลังพัสดุและเวชภัณฑ์ รพ.เวียงป่าเป้า</t>
  </si>
  <si>
    <t>110000349377</t>
  </si>
  <si>
    <t>โรงครัว โรงอาหารและซักฟอก</t>
  </si>
  <si>
    <t>110000354295</t>
  </si>
  <si>
    <t>อาคารสำนักงานช่าง เก็บอุปกรณ์เครืื่องมือช่าง</t>
  </si>
  <si>
    <t>110000349221</t>
  </si>
  <si>
    <t>โรงรถชั่วคราว รพ.เวียงป่าเป้า</t>
  </si>
  <si>
    <t>110000349563</t>
  </si>
  <si>
    <t>รั้วโปร่ง รพ.เวียงป่าเป้า</t>
  </si>
  <si>
    <t>110000351152</t>
  </si>
  <si>
    <t>ป้อมยามรักษาความปลอดภัย รพ.เวียงป่าเป้า</t>
  </si>
  <si>
    <t>110000351228</t>
  </si>
  <si>
    <t>โรงไฟฟ้า รพ.เวียงป่าเป้า</t>
  </si>
  <si>
    <t>110000617514</t>
  </si>
  <si>
    <t>110000430133</t>
  </si>
  <si>
    <t>110000431396</t>
  </si>
  <si>
    <t>110000431397</t>
  </si>
  <si>
    <t>110000431398</t>
  </si>
  <si>
    <t>110000431399</t>
  </si>
  <si>
    <t>110000432601</t>
  </si>
  <si>
    <t>110000465540</t>
  </si>
  <si>
    <t>เครื่องนึ่งฆ่าเชื้อจุลินทรีด้วยไอน้ำระบบอัตโนมัติ</t>
  </si>
  <si>
    <t>110000467400</t>
  </si>
  <si>
    <t>เครื่องติดตามฯ 4 พารา รวมศูนย์ 4 เตียง</t>
  </si>
  <si>
    <t>110000467441</t>
  </si>
  <si>
    <t>ตู้อบเด็กสำหรับลำเลียงทารกแรกคลอด</t>
  </si>
  <si>
    <t>110000467737</t>
  </si>
  <si>
    <t>เครื่องวัดความดันอัตโนมัติพร้อมภาควัดความเข้มข้น</t>
  </si>
  <si>
    <t>110000467755</t>
  </si>
  <si>
    <t>110000467760</t>
  </si>
  <si>
    <t>เครื่องช่วยหายใจชนิดควบคุมด้วยปริมาตรและความดันฯ</t>
  </si>
  <si>
    <t>110000467762</t>
  </si>
  <si>
    <t>110000467826</t>
  </si>
  <si>
    <t>เครื่องให้ออกซิเจนด้วยอัตราการไหลเวียนสูง</t>
  </si>
  <si>
    <t>110000467840</t>
  </si>
  <si>
    <t>เครื่องให้ออกซิเจนด้วยอัตราการไฟลสูง</t>
  </si>
  <si>
    <t>110000467845</t>
  </si>
  <si>
    <t>เครื่องควบคุมการให้สารน้ำทางหลอดเลือดดำชนิด 1 สาย</t>
  </si>
  <si>
    <t>110000468091</t>
  </si>
  <si>
    <t>เครื่องควบคุมการให้สารทางหลอดเลือดดำชนิด 1 สาย</t>
  </si>
  <si>
    <t>110000468092</t>
  </si>
  <si>
    <t xml:space="preserve">เครื่องควบคุมการให้สารน้ำทางหลอดเลือดดำชนิด 1 สาย </t>
  </si>
  <si>
    <t>110000468093</t>
  </si>
  <si>
    <t>110000468094</t>
  </si>
  <si>
    <t>110000468098</t>
  </si>
  <si>
    <t>110000468099</t>
  </si>
  <si>
    <t>110000468100</t>
  </si>
  <si>
    <t>110000468108</t>
  </si>
  <si>
    <t>110000468113</t>
  </si>
  <si>
    <t>110000468119</t>
  </si>
  <si>
    <t>110000468123</t>
  </si>
  <si>
    <t>110000468139</t>
  </si>
  <si>
    <t>110000468141</t>
  </si>
  <si>
    <t>110000468143</t>
  </si>
  <si>
    <t>110000468144</t>
  </si>
  <si>
    <t>110000468147</t>
  </si>
  <si>
    <t>110000468149</t>
  </si>
  <si>
    <t>เครื่องตรวจทางเดินหายใจระบบวีดิทัศน์</t>
  </si>
  <si>
    <t>110000468151</t>
  </si>
  <si>
    <t>เครื่องวัดความดันโลหิตชนิดอัตโนมัติแบบสอดแขน</t>
  </si>
  <si>
    <t>110000468159</t>
  </si>
  <si>
    <t>110000468165</t>
  </si>
  <si>
    <t>110000468170</t>
  </si>
  <si>
    <t>เครื่องวัดความดันชนิดอัตโนมัติแบบสอดแขน</t>
  </si>
  <si>
    <t>110000468181</t>
  </si>
  <si>
    <t>110000468184</t>
  </si>
  <si>
    <t>110000468193</t>
  </si>
  <si>
    <t>110000468202</t>
  </si>
  <si>
    <t>110000468204</t>
  </si>
  <si>
    <t>110000468205</t>
  </si>
  <si>
    <t>110000471103</t>
  </si>
  <si>
    <t>เครื่องควบคุมการให้สารน้ำทางหลอดเลือดตำชนิด 1 สาย</t>
  </si>
  <si>
    <t>110000471109</t>
  </si>
  <si>
    <t>110000471115</t>
  </si>
  <si>
    <t>110000471117</t>
  </si>
  <si>
    <t>110000471120</t>
  </si>
  <si>
    <t>110000546367</t>
  </si>
  <si>
    <t>110000561939</t>
  </si>
  <si>
    <t>110000618959</t>
  </si>
  <si>
    <t>110000618967</t>
  </si>
  <si>
    <t>110000619007</t>
  </si>
  <si>
    <t>27.01.2569</t>
  </si>
  <si>
    <t>เครื่องอัตราซาวด์แบบพกพายี่ห้อ Mindray รุ่น Z5</t>
  </si>
  <si>
    <t>110000467734</t>
  </si>
  <si>
    <t>เครื่องอบผ้าขนาดไม่น้อยกว่า 120 ปอนด์ ยี่ห้อ  IMAG</t>
  </si>
  <si>
    <t>110000279112</t>
  </si>
  <si>
    <t>01.08.2567</t>
  </si>
  <si>
    <t>อาคารบ้านพักข้าราชการระดับ 5-6 รพ.สมเด็จพระญาณฯ</t>
  </si>
  <si>
    <t>สมเด็จพระญาณสังวร</t>
  </si>
  <si>
    <t>110000279144</t>
  </si>
  <si>
    <t>อาคาบ้านพักข้าราชการระดับ 7-8 รพ.สมเด็จพระญาณฯ</t>
  </si>
  <si>
    <t>110000281442</t>
  </si>
  <si>
    <t>บ้านพักข้าราชการ ระดับ 7-8 รพ.สมเด็จพระญาณสังวร</t>
  </si>
  <si>
    <t>110000281528</t>
  </si>
  <si>
    <t>บ้านพักข้าราช ระดับ 9-10 รพ.สมเด็จพระญาณสังวร</t>
  </si>
  <si>
    <t>110000281845</t>
  </si>
  <si>
    <t>อาคารพักพยาบาล 20 ห้อง รพ.สมเด็จพระญาณสังวร</t>
  </si>
  <si>
    <t>110000573820</t>
  </si>
  <si>
    <t>23.07.2568</t>
  </si>
  <si>
    <t>ห้องชุดครอบครัว 24 ครอบครัว</t>
  </si>
  <si>
    <t>110000278997</t>
  </si>
  <si>
    <t>ระบบบำบัดน้ำเสีย โรงพยาบาลสมเด็จพระญาณสังวร</t>
  </si>
  <si>
    <t>110000281938</t>
  </si>
  <si>
    <t>โรงรถ,พัสดุ รพ.สมเด็จพระญาณสังวร</t>
  </si>
  <si>
    <t>110000570005</t>
  </si>
  <si>
    <t>110000430139</t>
  </si>
  <si>
    <t>110000430140</t>
  </si>
  <si>
    <t>110000464382</t>
  </si>
  <si>
    <t>เครื่องตรวจอวัยวะภายในด้วยคลื่นเสียง</t>
  </si>
  <si>
    <t>110000464384</t>
  </si>
  <si>
    <t>เครื่องกระตุ้นกล้ามเนื้อและเส้นประสาท</t>
  </si>
  <si>
    <t>110000464385</t>
  </si>
  <si>
    <t>เครื่องกระตุ้นกล้ามเนื้อด้วยไฟฟ้า</t>
  </si>
  <si>
    <t>110000464388</t>
  </si>
  <si>
    <t>ชุดทันตกรรมเคลื่อนที่พร้อมเครื่องกรอฟัน</t>
  </si>
  <si>
    <t>110000464410</t>
  </si>
  <si>
    <t>เครื่องเอกซเรย์เคลื่อนที่ขนาดไม่น้อยกว่า 300 mA</t>
  </si>
  <si>
    <t>110000464412</t>
  </si>
  <si>
    <t xml:space="preserve">เครื่องช่่วยกระบวนการปั้มและฟื้นคืนชีพผู้ป่วย </t>
  </si>
  <si>
    <t>110000464414</t>
  </si>
  <si>
    <t>110000464415</t>
  </si>
  <si>
    <t>เครื่องวัดความดันสอดแขนพร้อมระบบเชื่อมต่อฐานข้อมูล</t>
  </si>
  <si>
    <t>110000464416</t>
  </si>
  <si>
    <t>เครื่องส่องตรวจทางเดินหายใจรุ่นมาตรฐาน</t>
  </si>
  <si>
    <t>110000464417</t>
  </si>
  <si>
    <t>เครื่องส่องตรวจทางเดินหายใจ รุ่นมาตรฐาน</t>
  </si>
  <si>
    <t>110000464421</t>
  </si>
  <si>
    <t>110000566579</t>
  </si>
  <si>
    <t>110000569959</t>
  </si>
  <si>
    <t>07.10.2568</t>
  </si>
  <si>
    <t>110000569961</t>
  </si>
  <si>
    <t>110000570325</t>
  </si>
  <si>
    <t>110000635202</t>
  </si>
  <si>
    <t>27.02.2569</t>
  </si>
  <si>
    <t>เครื่องติดตามการทำงานของหัวใจและสัญญาณชีพ 4 พารา</t>
  </si>
  <si>
    <t>110000566583</t>
  </si>
  <si>
    <t xml:space="preserve">เครื่องซักผ้าขนาด 120 ปอนด์ </t>
  </si>
  <si>
    <t>รายละเอียดสินทรัพย์รายตัว</t>
  </si>
  <si>
    <t>โรงพยาบาลเทิง</t>
  </si>
  <si>
    <t>โรงพยาบาลพาน</t>
  </si>
  <si>
    <t>โรงพยาบาลป่าแดด</t>
  </si>
  <si>
    <t>โรงพยาบาลแม่จัน</t>
  </si>
  <si>
    <t>โรงพยาบาลเชียงแสน</t>
  </si>
  <si>
    <t>โรงพยาบาลแม่สาย</t>
  </si>
  <si>
    <t>โรงพยาบาลแม่สรวย</t>
  </si>
  <si>
    <t>โรงพยาบาลเวียงป่าเป้า</t>
  </si>
  <si>
    <t>โรงพยาบาลพญาเม็งราย</t>
  </si>
  <si>
    <t>โรงพยาบาลเวียงแก่น</t>
  </si>
  <si>
    <t>โรงพยาบาลขุนตาล</t>
  </si>
  <si>
    <t>โรงพยาบาลแม่ฟ้าหลวง</t>
  </si>
  <si>
    <t>โรงพยาบาลแม่ลาว</t>
  </si>
  <si>
    <t>โรงพยาบาลเวียงเชียงรุ้ง</t>
  </si>
  <si>
    <t>โรงพยาบาลสมเด็จพระยุพราชเชียงของ</t>
  </si>
  <si>
    <t>โรงพยาบาลสมเด็จพระญาณสังวร</t>
  </si>
  <si>
    <t>โรงพยาบาลดอยหลวง</t>
  </si>
  <si>
    <t>อาคารและสิ่งปลูกสร้าง</t>
  </si>
  <si>
    <t>ค่าเสื่อมราคาสะสมอาคารและสิ่งปลูกสร้าง</t>
  </si>
  <si>
    <t>ครุภัณฑ์</t>
  </si>
  <si>
    <t>ค่าเสื่อมราคาสะสมคุมครุภัณฑ์</t>
  </si>
  <si>
    <t>CSH-A01</t>
  </si>
  <si>
    <t>CSH-A02</t>
  </si>
  <si>
    <t>CSH-A03</t>
  </si>
  <si>
    <t>CSH-A04</t>
  </si>
  <si>
    <t>CSH-A05</t>
  </si>
  <si>
    <t>CSH-B01</t>
  </si>
  <si>
    <t>CSH-B02</t>
  </si>
  <si>
    <t>CSH-B03</t>
  </si>
  <si>
    <t>CSH-B04</t>
  </si>
  <si>
    <t>CSH-C01</t>
  </si>
  <si>
    <t>CSH-C02</t>
  </si>
  <si>
    <t>CSH-C03</t>
  </si>
  <si>
    <t>CSH-C04</t>
  </si>
  <si>
    <t>CSH-C05</t>
  </si>
  <si>
    <t>CSH-C06</t>
  </si>
  <si>
    <t>CSH-C07</t>
  </si>
  <si>
    <t>CSH-C08</t>
  </si>
  <si>
    <t>CSH-C09</t>
  </si>
  <si>
    <t>CSH-C10</t>
  </si>
  <si>
    <t>CSH-C11</t>
  </si>
  <si>
    <t>CSH-C12</t>
  </si>
  <si>
    <t>CSH-C13</t>
  </si>
  <si>
    <t>CSH-C14</t>
  </si>
  <si>
    <t>CSH-D01</t>
  </si>
  <si>
    <t>CSH-D02</t>
  </si>
  <si>
    <t>CSH-D03</t>
  </si>
  <si>
    <t>CSH-D04</t>
  </si>
  <si>
    <t>CSH-D05</t>
  </si>
  <si>
    <t>CSH-D06</t>
  </si>
  <si>
    <t>CSH-D07</t>
  </si>
  <si>
    <t>CSH-D08</t>
  </si>
  <si>
    <t>CSH-D09</t>
  </si>
  <si>
    <t>CSH-D10</t>
  </si>
  <si>
    <t>CSH-D11</t>
  </si>
  <si>
    <t>CSH-D12</t>
  </si>
  <si>
    <t>CSH-D13</t>
  </si>
  <si>
    <t>CSH-D14</t>
  </si>
  <si>
    <t>CSH-GFA01</t>
  </si>
  <si>
    <t>CSH-GFA02</t>
  </si>
  <si>
    <t>CSH-GFA03</t>
  </si>
  <si>
    <t>CSH-GFA04</t>
  </si>
  <si>
    <t>CSH-GFA05</t>
  </si>
  <si>
    <t>CSH-GFB01</t>
  </si>
  <si>
    <t>CSH-GFB02</t>
  </si>
  <si>
    <t>CSH-GFB03</t>
  </si>
  <si>
    <t>CSH-GFB04</t>
  </si>
  <si>
    <t>CSH-GFC01</t>
  </si>
  <si>
    <t>CSH-GFC02</t>
  </si>
  <si>
    <t>CSH-GFC03</t>
  </si>
  <si>
    <t>CSH-GFC04</t>
  </si>
  <si>
    <t>CSH-GFC05</t>
  </si>
  <si>
    <t>CSH-GFC06</t>
  </si>
  <si>
    <t>CSH-GFC07</t>
  </si>
  <si>
    <t>CSH-GFC08</t>
  </si>
  <si>
    <t>CSH-GFC09</t>
  </si>
  <si>
    <t>CSH-GFC10</t>
  </si>
  <si>
    <t>CSH-GFC11</t>
  </si>
  <si>
    <t>CSH-GFC12</t>
  </si>
  <si>
    <t>CSH-GFC13</t>
  </si>
  <si>
    <t>CSH-GFC14</t>
  </si>
  <si>
    <t>CSH-GFD01</t>
  </si>
  <si>
    <t>CSH-GFD02</t>
  </si>
  <si>
    <t>CSH-GFD03</t>
  </si>
  <si>
    <t>CSH-GFD04</t>
  </si>
  <si>
    <t>CSH-GFD05</t>
  </si>
  <si>
    <t>CSH-GFD06</t>
  </si>
  <si>
    <t>CSH-GFD07</t>
  </si>
  <si>
    <t>CSH-GFD08</t>
  </si>
  <si>
    <t>CSH-GFD09</t>
  </si>
  <si>
    <t>CSH-GFD10</t>
  </si>
  <si>
    <t>CSH-GFD11</t>
  </si>
  <si>
    <t>CSH-GFD12</t>
  </si>
  <si>
    <t>CSH-GFD13</t>
  </si>
  <si>
    <t>CSH-GFD14</t>
  </si>
  <si>
    <t>AssetID</t>
  </si>
  <si>
    <t>Asset_type</t>
  </si>
  <si>
    <t>Asset_name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</si>
</sst>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>
    <font>
      <sz val="12"/>
      <color theme="1"/>
      <name val="TH Sarabun New"/>
      <family val="2"/>
      <charset val="222"/>
    </font>
    <font>
      <sz val="12"/>
      <color theme="1"/>
      <name val="TH Sarabun New"/>
      <family val="2"/>
      <charset val="222"/>
    </font>
    <font>
      <b/>
      <sz val="12"/>
      <color theme="1"/>
      <name val="TH SarabunPSK"/>
      <family val="2"/>
    </font>
    <font>
      <b/>
      <sz val="12"/>
      <color theme="1"/>
      <name val="TH Sarabun New"/>
      <family val="2"/>
    </font>
    <font>
      <b/>
      <sz val="14"/>
      <color theme="1"/>
      <name val="TH SarabunPSK"/>
      <family val="2"/>
    </font>
    <font>
      <sz val="8"/>
      <name val="TH Sarabun New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 New"/>
      <family val="2"/>
      <charset val="222"/>
    </font>
    <font>
      <b/>
      <sz val="16"/>
      <color theme="1"/>
      <name val="TH Sarabun New"/>
      <family val="2"/>
      <charset val="222"/>
    </font>
    <font>
      <sz val="14"/>
      <name val="CordiaUPC"/>
      <family val="2"/>
    </font>
    <font>
      <sz val="11"/>
      <color rgb="FF000000"/>
      <name val="Aptos Narrow"/>
      <family val="2"/>
      <scheme val="minor"/>
    </font>
    <font>
      <b/>
      <sz val="16"/>
      <color theme="1"/>
      <name val="TH Sarabun New"/>
      <family val="2"/>
    </font>
    <font>
      <sz val="16"/>
      <color rgb="FFFF0000"/>
      <name val="TH Sarabun New"/>
      <family val="2"/>
      <charset val="222"/>
    </font>
    <font>
      <sz val="16"/>
      <name val="TH Sarabun New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2" xfId="0" applyFont="1" applyBorder="1" applyAlignment="1">
      <alignment horizontal="center"/>
    </xf>
    <xf numFmtId="0" fontId="0" fillId="0" borderId="2" xfId="0" applyBorder="1"/>
    <xf numFmtId="43" fontId="0" fillId="0" borderId="2" xfId="1" applyFont="1" applyBorder="1"/>
    <xf numFmtId="0" fontId="3" fillId="0" borderId="2" xfId="0" applyFont="1" applyBorder="1"/>
    <xf numFmtId="43" fontId="3" fillId="0" borderId="4" xfId="1" applyFont="1" applyBorder="1"/>
    <xf numFmtId="43" fontId="3" fillId="0" borderId="2" xfId="1" applyFont="1" applyBorder="1"/>
    <xf numFmtId="43" fontId="0" fillId="0" borderId="2" xfId="0" applyNumberForma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49" fontId="0" fillId="0" borderId="0" xfId="0" applyNumberFormat="1"/>
    <xf numFmtId="0" fontId="6" fillId="0" borderId="0" xfId="0" applyFont="1"/>
    <xf numFmtId="0" fontId="7" fillId="0" borderId="0" xfId="0" applyFont="1"/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17" fontId="8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43" fontId="7" fillId="0" borderId="2" xfId="1" applyFont="1" applyBorder="1"/>
    <xf numFmtId="0" fontId="8" fillId="0" borderId="2" xfId="0" applyFont="1" applyBorder="1" applyAlignment="1">
      <alignment horizontal="center"/>
    </xf>
    <xf numFmtId="43" fontId="8" fillId="0" borderId="4" xfId="1" applyFont="1" applyBorder="1"/>
    <xf numFmtId="0" fontId="8" fillId="0" borderId="0" xfId="0" applyFont="1"/>
    <xf numFmtId="43" fontId="7" fillId="0" borderId="4" xfId="1" applyFont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43" fontId="7" fillId="0" borderId="0" xfId="1" applyFont="1"/>
    <xf numFmtId="43" fontId="7" fillId="0" borderId="4" xfId="0" applyNumberFormat="1" applyFont="1" applyBorder="1"/>
    <xf numFmtId="0" fontId="9" fillId="0" borderId="7" xfId="0" applyFont="1" applyBorder="1" applyAlignment="1">
      <alignment horizontal="left"/>
    </xf>
    <xf numFmtId="4" fontId="9" fillId="0" borderId="7" xfId="0" applyNumberFormat="1" applyFont="1" applyBorder="1"/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17" fontId="8" fillId="0" borderId="5" xfId="0" applyNumberFormat="1" applyFont="1" applyBorder="1" applyAlignment="1">
      <alignment horizontal="center" vertical="center"/>
    </xf>
    <xf numFmtId="17" fontId="8" fillId="0" borderId="7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2" fontId="7" fillId="0" borderId="2" xfId="1" applyNumberFormat="1" applyFont="1" applyBorder="1"/>
    <xf numFmtId="43" fontId="12" fillId="0" borderId="2" xfId="1" applyFont="1" applyBorder="1"/>
    <xf numFmtId="43" fontId="13" fillId="0" borderId="2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E884-17FA-446A-8E02-E7943F267551}">
  <dimension ref="A1:H75"/>
  <sheetViews>
    <sheetView topLeftCell="A24" workbookViewId="0">
      <selection activeCell="D29" sqref="D29"/>
    </sheetView>
  </sheetViews>
  <sheetFormatPr defaultColWidth="18.75" defaultRowHeight="24.6"/>
  <cols>
    <col min="1" max="1" width="23.625" style="24" customWidth="1"/>
    <col min="2" max="2" width="43.875" style="24" customWidth="1"/>
    <col min="3" max="3" width="49.25" style="13" customWidth="1"/>
    <col min="4" max="6" width="18.75" style="13"/>
    <col min="7" max="7" width="23.625" style="24" customWidth="1"/>
    <col min="8" max="8" width="45.25" style="24" customWidth="1"/>
    <col min="9" max="9" width="53" style="13" bestFit="1" customWidth="1"/>
    <col min="10" max="16384" width="18.75" style="13"/>
  </cols>
  <sheetData>
    <row r="1" spans="1:6" s="15" customFormat="1">
      <c r="A1" s="43" t="s">
        <v>2038</v>
      </c>
      <c r="B1" s="43" t="s">
        <v>2039</v>
      </c>
      <c r="C1" s="31" t="s">
        <v>2040</v>
      </c>
      <c r="D1" s="16">
        <v>25112</v>
      </c>
      <c r="E1" s="16">
        <v>25143</v>
      </c>
      <c r="F1" s="16">
        <v>25173</v>
      </c>
    </row>
    <row r="2" spans="1:6">
      <c r="A2" s="44" t="s">
        <v>2001</v>
      </c>
      <c r="B2" s="44" t="s">
        <v>1960</v>
      </c>
      <c r="C2" s="18" t="s">
        <v>8</v>
      </c>
      <c r="D2" s="19"/>
      <c r="E2" s="19"/>
      <c r="F2" s="19"/>
    </row>
    <row r="3" spans="1:6">
      <c r="A3" s="44" t="s">
        <v>2002</v>
      </c>
      <c r="B3" s="44" t="s">
        <v>1960</v>
      </c>
      <c r="C3" s="18" t="s">
        <v>9</v>
      </c>
      <c r="D3" s="19">
        <v>54364963.600000001</v>
      </c>
      <c r="E3" s="45">
        <v>0</v>
      </c>
      <c r="F3" s="45">
        <v>0</v>
      </c>
    </row>
    <row r="4" spans="1:6">
      <c r="A4" s="44" t="s">
        <v>2003</v>
      </c>
      <c r="B4" s="44" t="s">
        <v>1960</v>
      </c>
      <c r="C4" s="18" t="s">
        <v>11</v>
      </c>
      <c r="D4" s="19">
        <v>19424500</v>
      </c>
      <c r="E4" s="45">
        <v>0</v>
      </c>
      <c r="F4" s="45">
        <v>0</v>
      </c>
    </row>
    <row r="5" spans="1:6">
      <c r="A5" s="44" t="s">
        <v>2004</v>
      </c>
      <c r="B5" s="44" t="s">
        <v>1960</v>
      </c>
      <c r="C5" s="18" t="s">
        <v>13</v>
      </c>
      <c r="D5" s="19">
        <v>3008000</v>
      </c>
      <c r="E5" s="45">
        <v>0</v>
      </c>
      <c r="F5" s="45">
        <v>0</v>
      </c>
    </row>
    <row r="6" spans="1:6">
      <c r="A6" s="44" t="s">
        <v>2005</v>
      </c>
      <c r="B6" s="44" t="s">
        <v>1960</v>
      </c>
      <c r="C6" s="18" t="s">
        <v>15</v>
      </c>
      <c r="D6" s="19">
        <v>7392348</v>
      </c>
      <c r="E6" s="45">
        <v>0</v>
      </c>
      <c r="F6" s="45">
        <v>0</v>
      </c>
    </row>
    <row r="7" spans="1:6">
      <c r="A7" s="44" t="s">
        <v>2006</v>
      </c>
      <c r="B7" s="44" t="s">
        <v>1961</v>
      </c>
      <c r="C7" s="18" t="s">
        <v>10</v>
      </c>
      <c r="D7" s="19">
        <v>31792989.030000001</v>
      </c>
      <c r="E7" s="46">
        <v>106521.8</v>
      </c>
      <c r="F7" s="46">
        <v>110072.52</v>
      </c>
    </row>
    <row r="8" spans="1:6">
      <c r="A8" s="44" t="s">
        <v>2007</v>
      </c>
      <c r="B8" s="44" t="s">
        <v>1961</v>
      </c>
      <c r="C8" s="18" t="s">
        <v>12</v>
      </c>
      <c r="D8" s="19">
        <v>5616004.6799999997</v>
      </c>
      <c r="E8" s="47">
        <v>5712667.4199999999</v>
      </c>
      <c r="F8" s="47">
        <v>5812552.25</v>
      </c>
    </row>
    <row r="9" spans="1:6">
      <c r="A9" s="44" t="s">
        <v>2008</v>
      </c>
      <c r="B9" s="44" t="s">
        <v>1961</v>
      </c>
      <c r="C9" s="18" t="s">
        <v>14</v>
      </c>
      <c r="D9" s="19">
        <v>3007994</v>
      </c>
      <c r="E9" s="19">
        <v>3007994</v>
      </c>
      <c r="F9" s="19">
        <v>3007994</v>
      </c>
    </row>
    <row r="10" spans="1:6">
      <c r="A10" s="44" t="s">
        <v>2009</v>
      </c>
      <c r="B10" s="44" t="s">
        <v>1961</v>
      </c>
      <c r="C10" s="18" t="s">
        <v>16</v>
      </c>
      <c r="D10" s="19">
        <v>7392344</v>
      </c>
      <c r="E10" s="19">
        <v>7392344</v>
      </c>
      <c r="F10" s="19">
        <v>7392344</v>
      </c>
    </row>
    <row r="11" spans="1:6">
      <c r="A11" s="44" t="s">
        <v>2010</v>
      </c>
      <c r="B11" s="44" t="s">
        <v>1962</v>
      </c>
      <c r="C11" s="18" t="s">
        <v>18</v>
      </c>
      <c r="D11" s="19"/>
      <c r="E11" s="19"/>
      <c r="F11" s="19"/>
    </row>
    <row r="12" spans="1:6">
      <c r="A12" s="44" t="s">
        <v>2011</v>
      </c>
      <c r="B12" s="44" t="s">
        <v>1962</v>
      </c>
      <c r="C12" s="18" t="s">
        <v>20</v>
      </c>
      <c r="D12" s="19"/>
      <c r="E12" s="19"/>
      <c r="F12" s="19"/>
    </row>
    <row r="13" spans="1:6">
      <c r="A13" s="44" t="s">
        <v>2012</v>
      </c>
      <c r="B13" s="44" t="s">
        <v>1962</v>
      </c>
      <c r="C13" s="18" t="s">
        <v>22</v>
      </c>
      <c r="D13" s="19">
        <v>1420000</v>
      </c>
      <c r="E13" s="19">
        <v>1420000</v>
      </c>
      <c r="F13" s="19">
        <v>1420000</v>
      </c>
    </row>
    <row r="14" spans="1:6">
      <c r="A14" s="44" t="s">
        <v>2013</v>
      </c>
      <c r="B14" s="44" t="s">
        <v>1962</v>
      </c>
      <c r="C14" s="18" t="s">
        <v>24</v>
      </c>
      <c r="D14" s="19"/>
      <c r="E14" s="19"/>
      <c r="F14" s="19"/>
    </row>
    <row r="15" spans="1:6">
      <c r="A15" s="44" t="s">
        <v>2014</v>
      </c>
      <c r="B15" s="44" t="s">
        <v>1962</v>
      </c>
      <c r="C15" s="18" t="s">
        <v>26</v>
      </c>
      <c r="D15" s="19"/>
      <c r="E15" s="19"/>
      <c r="F15" s="19"/>
    </row>
    <row r="16" spans="1:6">
      <c r="A16" s="44" t="s">
        <v>2015</v>
      </c>
      <c r="B16" s="44" t="s">
        <v>1962</v>
      </c>
      <c r="C16" s="18" t="s">
        <v>28</v>
      </c>
      <c r="D16" s="19">
        <v>7114323</v>
      </c>
      <c r="E16" s="19">
        <v>7114323</v>
      </c>
      <c r="F16" s="19">
        <v>7114323</v>
      </c>
    </row>
    <row r="17" spans="1:6">
      <c r="A17" s="44" t="s">
        <v>2016</v>
      </c>
      <c r="B17" s="44" t="s">
        <v>1962</v>
      </c>
      <c r="C17" s="18" t="s">
        <v>30</v>
      </c>
      <c r="D17" s="19"/>
      <c r="E17" s="19"/>
      <c r="F17" s="19"/>
    </row>
    <row r="18" spans="1:6">
      <c r="A18" s="44" t="s">
        <v>2017</v>
      </c>
      <c r="B18" s="44" t="s">
        <v>1962</v>
      </c>
      <c r="C18" s="18" t="s">
        <v>32</v>
      </c>
      <c r="D18" s="19"/>
      <c r="E18" s="19"/>
      <c r="F18" s="19"/>
    </row>
    <row r="19" spans="1:6">
      <c r="A19" s="44" t="s">
        <v>2018</v>
      </c>
      <c r="B19" s="44" t="s">
        <v>1962</v>
      </c>
      <c r="C19" s="18" t="s">
        <v>34</v>
      </c>
      <c r="D19" s="19"/>
      <c r="E19" s="19"/>
      <c r="F19" s="19"/>
    </row>
    <row r="20" spans="1:6">
      <c r="A20" s="44" t="s">
        <v>2019</v>
      </c>
      <c r="B20" s="44" t="s">
        <v>1962</v>
      </c>
      <c r="C20" s="18" t="s">
        <v>36</v>
      </c>
      <c r="D20" s="19"/>
      <c r="E20" s="19"/>
      <c r="F20" s="19"/>
    </row>
    <row r="21" spans="1:6">
      <c r="A21" s="44" t="s">
        <v>2020</v>
      </c>
      <c r="B21" s="44" t="s">
        <v>1962</v>
      </c>
      <c r="C21" s="18" t="s">
        <v>38</v>
      </c>
      <c r="D21" s="19"/>
      <c r="E21" s="19"/>
      <c r="F21" s="19"/>
    </row>
    <row r="22" spans="1:6">
      <c r="A22" s="44" t="s">
        <v>2021</v>
      </c>
      <c r="B22" s="44" t="s">
        <v>1962</v>
      </c>
      <c r="C22" s="18" t="s">
        <v>40</v>
      </c>
      <c r="D22" s="19"/>
      <c r="E22" s="19"/>
      <c r="F22" s="19"/>
    </row>
    <row r="23" spans="1:6">
      <c r="A23" s="44" t="s">
        <v>2022</v>
      </c>
      <c r="B23" s="44" t="s">
        <v>1962</v>
      </c>
      <c r="C23" s="18" t="s">
        <v>42</v>
      </c>
      <c r="D23" s="19"/>
      <c r="E23" s="19"/>
      <c r="F23" s="19"/>
    </row>
    <row r="24" spans="1:6">
      <c r="A24" s="44" t="s">
        <v>2023</v>
      </c>
      <c r="B24" s="44" t="s">
        <v>1962</v>
      </c>
      <c r="C24" s="18" t="s">
        <v>44</v>
      </c>
      <c r="D24" s="19"/>
      <c r="E24" s="19"/>
      <c r="F24" s="19"/>
    </row>
    <row r="25" spans="1:6">
      <c r="A25" s="44" t="s">
        <v>2024</v>
      </c>
      <c r="B25" s="44" t="s">
        <v>1963</v>
      </c>
      <c r="C25" s="18" t="s">
        <v>19</v>
      </c>
      <c r="D25" s="19"/>
      <c r="E25" s="19"/>
      <c r="F25" s="19"/>
    </row>
    <row r="26" spans="1:6">
      <c r="A26" s="44" t="s">
        <v>2025</v>
      </c>
      <c r="B26" s="44" t="s">
        <v>1963</v>
      </c>
      <c r="C26" s="18" t="s">
        <v>21</v>
      </c>
      <c r="D26" s="19"/>
      <c r="E26" s="19"/>
      <c r="F26" s="19"/>
    </row>
    <row r="27" spans="1:6">
      <c r="A27" s="44" t="s">
        <v>2026</v>
      </c>
      <c r="B27" s="44" t="s">
        <v>1963</v>
      </c>
      <c r="C27" s="18" t="s">
        <v>23</v>
      </c>
      <c r="D27" s="19">
        <v>1419999</v>
      </c>
      <c r="E27" s="19">
        <v>1419999</v>
      </c>
      <c r="F27" s="19">
        <v>1419999</v>
      </c>
    </row>
    <row r="28" spans="1:6">
      <c r="A28" s="44" t="s">
        <v>2027</v>
      </c>
      <c r="B28" s="44" t="s">
        <v>1963</v>
      </c>
      <c r="C28" s="18" t="s">
        <v>25</v>
      </c>
      <c r="D28" s="19"/>
      <c r="E28" s="19"/>
      <c r="F28" s="19"/>
    </row>
    <row r="29" spans="1:6">
      <c r="A29" s="44" t="s">
        <v>2028</v>
      </c>
      <c r="B29" s="44" t="s">
        <v>1963</v>
      </c>
      <c r="C29" s="18" t="s">
        <v>27</v>
      </c>
      <c r="D29" s="19"/>
      <c r="E29" s="19"/>
      <c r="F29" s="19"/>
    </row>
    <row r="30" spans="1:6">
      <c r="A30" s="44" t="s">
        <v>2029</v>
      </c>
      <c r="B30" s="44" t="s">
        <v>1963</v>
      </c>
      <c r="C30" s="18" t="s">
        <v>29</v>
      </c>
      <c r="D30" s="19">
        <v>4698920.17</v>
      </c>
      <c r="E30" s="19">
        <v>4783190.6900000004</v>
      </c>
      <c r="F30" s="19">
        <v>4870270.2300000004</v>
      </c>
    </row>
    <row r="31" spans="1:6">
      <c r="A31" s="44" t="s">
        <v>2030</v>
      </c>
      <c r="B31" s="44" t="s">
        <v>1963</v>
      </c>
      <c r="C31" s="18" t="s">
        <v>31</v>
      </c>
      <c r="D31" s="19"/>
      <c r="E31" s="19"/>
      <c r="F31" s="19"/>
    </row>
    <row r="32" spans="1:6">
      <c r="A32" s="44" t="s">
        <v>2031</v>
      </c>
      <c r="B32" s="44" t="s">
        <v>1963</v>
      </c>
      <c r="C32" s="18" t="s">
        <v>33</v>
      </c>
      <c r="D32" s="19"/>
      <c r="E32" s="19"/>
      <c r="F32" s="19"/>
    </row>
    <row r="33" spans="1:6">
      <c r="A33" s="44" t="s">
        <v>2032</v>
      </c>
      <c r="B33" s="44" t="s">
        <v>1963</v>
      </c>
      <c r="C33" s="18" t="s">
        <v>35</v>
      </c>
      <c r="D33" s="19"/>
      <c r="E33" s="19"/>
      <c r="F33" s="19"/>
    </row>
    <row r="34" spans="1:6">
      <c r="A34" s="44" t="s">
        <v>2033</v>
      </c>
      <c r="B34" s="44" t="s">
        <v>1963</v>
      </c>
      <c r="C34" s="18" t="s">
        <v>37</v>
      </c>
      <c r="D34" s="19"/>
      <c r="E34" s="19"/>
      <c r="F34" s="19"/>
    </row>
    <row r="35" spans="1:6">
      <c r="A35" s="44" t="s">
        <v>2034</v>
      </c>
      <c r="B35" s="44" t="s">
        <v>1963</v>
      </c>
      <c r="C35" s="18" t="s">
        <v>39</v>
      </c>
      <c r="D35" s="19"/>
      <c r="E35" s="19"/>
      <c r="F35" s="19"/>
    </row>
    <row r="36" spans="1:6">
      <c r="A36" s="44" t="s">
        <v>2035</v>
      </c>
      <c r="B36" s="44" t="s">
        <v>1963</v>
      </c>
      <c r="C36" s="18" t="s">
        <v>41</v>
      </c>
      <c r="D36" s="19"/>
      <c r="E36" s="19"/>
      <c r="F36" s="19"/>
    </row>
    <row r="37" spans="1:6">
      <c r="A37" s="44" t="s">
        <v>2036</v>
      </c>
      <c r="B37" s="44" t="s">
        <v>1963</v>
      </c>
      <c r="C37" s="18" t="s">
        <v>43</v>
      </c>
      <c r="D37" s="19"/>
      <c r="E37" s="19"/>
      <c r="F37" s="19"/>
    </row>
    <row r="38" spans="1:6">
      <c r="A38" s="44" t="s">
        <v>2037</v>
      </c>
      <c r="B38" s="44" t="s">
        <v>1963</v>
      </c>
      <c r="C38" s="18" t="s">
        <v>44</v>
      </c>
      <c r="D38" s="19"/>
      <c r="E38" s="19"/>
      <c r="F38" s="19"/>
    </row>
    <row r="39" spans="1:6">
      <c r="A39" s="44" t="s">
        <v>1964</v>
      </c>
      <c r="B39" s="44" t="s">
        <v>1960</v>
      </c>
      <c r="C39" s="18" t="s">
        <v>8</v>
      </c>
      <c r="D39" s="19"/>
      <c r="E39" s="19"/>
      <c r="F39" s="19"/>
    </row>
    <row r="40" spans="1:6">
      <c r="A40" s="44" t="s">
        <v>1965</v>
      </c>
      <c r="B40" s="44" t="s">
        <v>1960</v>
      </c>
      <c r="C40" s="18" t="s">
        <v>9</v>
      </c>
      <c r="D40" s="19">
        <v>70208460</v>
      </c>
      <c r="E40" s="19">
        <v>70208460</v>
      </c>
      <c r="F40" s="19">
        <v>70208460</v>
      </c>
    </row>
    <row r="41" spans="1:6">
      <c r="A41" s="44" t="s">
        <v>1966</v>
      </c>
      <c r="B41" s="44" t="s">
        <v>1960</v>
      </c>
      <c r="C41" s="18" t="s">
        <v>11</v>
      </c>
      <c r="D41" s="19">
        <v>18152377</v>
      </c>
      <c r="E41" s="19">
        <v>18152377</v>
      </c>
      <c r="F41" s="19">
        <v>18152377</v>
      </c>
    </row>
    <row r="42" spans="1:6">
      <c r="A42" s="44" t="s">
        <v>1967</v>
      </c>
      <c r="B42" s="44" t="s">
        <v>1960</v>
      </c>
      <c r="C42" s="18" t="s">
        <v>13</v>
      </c>
      <c r="D42" s="19">
        <v>2757365</v>
      </c>
      <c r="E42" s="19">
        <v>2757365</v>
      </c>
      <c r="F42" s="19">
        <v>2757365</v>
      </c>
    </row>
    <row r="43" spans="1:6">
      <c r="A43" s="44" t="s">
        <v>1968</v>
      </c>
      <c r="B43" s="44" t="s">
        <v>1960</v>
      </c>
      <c r="C43" s="18" t="s">
        <v>15</v>
      </c>
      <c r="D43" s="19">
        <v>8613194</v>
      </c>
      <c r="E43" s="19">
        <v>8613194</v>
      </c>
      <c r="F43" s="19">
        <v>8613194</v>
      </c>
    </row>
    <row r="44" spans="1:6">
      <c r="A44" s="44" t="s">
        <v>1969</v>
      </c>
      <c r="B44" s="44" t="s">
        <v>1961</v>
      </c>
      <c r="C44" s="18" t="s">
        <v>10</v>
      </c>
      <c r="D44" s="19">
        <v>42002793.659999996</v>
      </c>
      <c r="E44" s="19">
        <v>42151519.530000001</v>
      </c>
      <c r="F44" s="19">
        <v>42300245.399999999</v>
      </c>
    </row>
    <row r="45" spans="1:6">
      <c r="A45" s="44" t="s">
        <v>1970</v>
      </c>
      <c r="B45" s="44" t="s">
        <v>1961</v>
      </c>
      <c r="C45" s="18" t="s">
        <v>12</v>
      </c>
      <c r="D45" s="19">
        <v>13433053.34</v>
      </c>
      <c r="E45" s="19">
        <v>13477919.6</v>
      </c>
      <c r="F45" s="19">
        <v>13522785.859999999</v>
      </c>
    </row>
    <row r="46" spans="1:6">
      <c r="A46" s="44" t="s">
        <v>1971</v>
      </c>
      <c r="B46" s="44" t="s">
        <v>1961</v>
      </c>
      <c r="C46" s="18" t="s">
        <v>14</v>
      </c>
      <c r="D46" s="19">
        <v>2729076.82</v>
      </c>
      <c r="E46" s="19">
        <v>2729600.49</v>
      </c>
      <c r="F46" s="19">
        <v>2730124.16</v>
      </c>
    </row>
    <row r="47" spans="1:6">
      <c r="A47" s="44" t="s">
        <v>1972</v>
      </c>
      <c r="B47" s="44" t="s">
        <v>1961</v>
      </c>
      <c r="C47" s="18" t="s">
        <v>16</v>
      </c>
      <c r="D47" s="19">
        <v>8483184</v>
      </c>
      <c r="E47" s="19">
        <v>8484017.3300000001</v>
      </c>
      <c r="F47" s="19">
        <v>8484850.6699999999</v>
      </c>
    </row>
    <row r="48" spans="1:6">
      <c r="A48" s="44" t="s">
        <v>1973</v>
      </c>
      <c r="B48" s="44" t="s">
        <v>1962</v>
      </c>
      <c r="C48" s="18" t="s">
        <v>18</v>
      </c>
      <c r="D48" s="19">
        <v>104270</v>
      </c>
      <c r="E48" s="19">
        <v>104270</v>
      </c>
      <c r="F48" s="19">
        <v>104270</v>
      </c>
    </row>
    <row r="49" spans="1:6">
      <c r="A49" s="44" t="s">
        <v>1974</v>
      </c>
      <c r="B49" s="44" t="s">
        <v>1962</v>
      </c>
      <c r="C49" s="18" t="s">
        <v>20</v>
      </c>
      <c r="D49" s="19">
        <v>1645000</v>
      </c>
      <c r="E49" s="19">
        <v>1645000</v>
      </c>
      <c r="F49" s="19">
        <v>1645000</v>
      </c>
    </row>
    <row r="50" spans="1:6">
      <c r="A50" s="44" t="s">
        <v>1975</v>
      </c>
      <c r="B50" s="44" t="s">
        <v>1962</v>
      </c>
      <c r="C50" s="18" t="s">
        <v>22</v>
      </c>
      <c r="D50" s="19">
        <v>745000</v>
      </c>
      <c r="E50" s="19">
        <v>745000</v>
      </c>
      <c r="F50" s="19">
        <v>745000</v>
      </c>
    </row>
    <row r="51" spans="1:6">
      <c r="A51" s="44" t="s">
        <v>1976</v>
      </c>
      <c r="B51" s="44" t="s">
        <v>1962</v>
      </c>
      <c r="C51" s="18" t="s">
        <v>24</v>
      </c>
      <c r="D51" s="19"/>
      <c r="E51" s="19"/>
      <c r="F51" s="19"/>
    </row>
    <row r="52" spans="1:6">
      <c r="A52" s="44" t="s">
        <v>1977</v>
      </c>
      <c r="B52" s="44" t="s">
        <v>1962</v>
      </c>
      <c r="C52" s="18" t="s">
        <v>26</v>
      </c>
      <c r="D52" s="19"/>
      <c r="E52" s="19"/>
      <c r="F52" s="19"/>
    </row>
    <row r="53" spans="1:6">
      <c r="A53" s="44" t="s">
        <v>1978</v>
      </c>
      <c r="B53" s="44" t="s">
        <v>1962</v>
      </c>
      <c r="C53" s="18" t="s">
        <v>28</v>
      </c>
      <c r="D53" s="19">
        <v>7908423</v>
      </c>
      <c r="E53" s="19">
        <v>7908423</v>
      </c>
      <c r="F53" s="19">
        <v>7908423</v>
      </c>
    </row>
    <row r="54" spans="1:6">
      <c r="A54" s="44" t="s">
        <v>1979</v>
      </c>
      <c r="B54" s="44" t="s">
        <v>1962</v>
      </c>
      <c r="C54" s="18" t="s">
        <v>30</v>
      </c>
      <c r="D54" s="19"/>
      <c r="E54" s="19"/>
      <c r="F54" s="19"/>
    </row>
    <row r="55" spans="1:6">
      <c r="A55" s="44" t="s">
        <v>1980</v>
      </c>
      <c r="B55" s="44" t="s">
        <v>1962</v>
      </c>
      <c r="C55" s="18" t="s">
        <v>32</v>
      </c>
      <c r="D55" s="19">
        <v>18280</v>
      </c>
      <c r="E55" s="19">
        <v>18280</v>
      </c>
      <c r="F55" s="19">
        <v>18280</v>
      </c>
    </row>
    <row r="56" spans="1:6">
      <c r="A56" s="44" t="s">
        <v>1981</v>
      </c>
      <c r="B56" s="44" t="s">
        <v>1962</v>
      </c>
      <c r="C56" s="18" t="s">
        <v>34</v>
      </c>
      <c r="D56" s="19"/>
      <c r="E56" s="19"/>
      <c r="F56" s="19"/>
    </row>
    <row r="57" spans="1:6">
      <c r="A57" s="44" t="s">
        <v>1982</v>
      </c>
      <c r="B57" s="44" t="s">
        <v>1962</v>
      </c>
      <c r="C57" s="18" t="s">
        <v>36</v>
      </c>
      <c r="D57" s="19"/>
      <c r="E57" s="19"/>
      <c r="F57" s="19"/>
    </row>
    <row r="58" spans="1:6">
      <c r="A58" s="44" t="s">
        <v>1983</v>
      </c>
      <c r="B58" s="44" t="s">
        <v>1962</v>
      </c>
      <c r="C58" s="18" t="s">
        <v>38</v>
      </c>
      <c r="D58" s="19"/>
      <c r="E58" s="19"/>
      <c r="F58" s="19"/>
    </row>
    <row r="59" spans="1:6">
      <c r="A59" s="44" t="s">
        <v>1984</v>
      </c>
      <c r="B59" s="44" t="s">
        <v>1962</v>
      </c>
      <c r="C59" s="18" t="s">
        <v>40</v>
      </c>
      <c r="D59" s="19"/>
      <c r="E59" s="19"/>
      <c r="F59" s="19"/>
    </row>
    <row r="60" spans="1:6">
      <c r="A60" s="44" t="s">
        <v>1985</v>
      </c>
      <c r="B60" s="44" t="s">
        <v>1962</v>
      </c>
      <c r="C60" s="18" t="s">
        <v>42</v>
      </c>
      <c r="D60" s="19">
        <v>172860</v>
      </c>
      <c r="E60" s="19">
        <v>172860</v>
      </c>
      <c r="F60" s="19">
        <v>172860</v>
      </c>
    </row>
    <row r="61" spans="1:6">
      <c r="A61" s="44" t="s">
        <v>1986</v>
      </c>
      <c r="B61" s="44" t="s">
        <v>1962</v>
      </c>
      <c r="C61" s="18" t="s">
        <v>44</v>
      </c>
      <c r="D61" s="19">
        <v>21400</v>
      </c>
      <c r="E61" s="19">
        <v>21400</v>
      </c>
      <c r="F61" s="19">
        <v>21400</v>
      </c>
    </row>
    <row r="62" spans="1:6">
      <c r="A62" s="44" t="s">
        <v>1987</v>
      </c>
      <c r="B62" s="44" t="s">
        <v>1963</v>
      </c>
      <c r="C62" s="18" t="s">
        <v>19</v>
      </c>
      <c r="D62" s="19">
        <v>104266</v>
      </c>
      <c r="E62" s="19">
        <v>104266</v>
      </c>
      <c r="F62" s="19">
        <v>104266</v>
      </c>
    </row>
    <row r="63" spans="1:6">
      <c r="A63" s="44" t="s">
        <v>1988</v>
      </c>
      <c r="B63" s="44" t="s">
        <v>1963</v>
      </c>
      <c r="C63" s="18" t="s">
        <v>21</v>
      </c>
      <c r="D63" s="19">
        <v>1644998</v>
      </c>
      <c r="E63" s="19">
        <v>1644998</v>
      </c>
      <c r="F63" s="19">
        <v>1644998</v>
      </c>
    </row>
    <row r="64" spans="1:6">
      <c r="A64" s="44" t="s">
        <v>1989</v>
      </c>
      <c r="B64" s="44" t="s">
        <v>1963</v>
      </c>
      <c r="C64" s="18" t="s">
        <v>23</v>
      </c>
      <c r="D64" s="19">
        <v>744999</v>
      </c>
      <c r="E64" s="19">
        <v>744999</v>
      </c>
      <c r="F64" s="19">
        <v>744999</v>
      </c>
    </row>
    <row r="65" spans="1:6">
      <c r="A65" s="44" t="s">
        <v>1990</v>
      </c>
      <c r="B65" s="44" t="s">
        <v>1963</v>
      </c>
      <c r="C65" s="18" t="s">
        <v>25</v>
      </c>
      <c r="D65" s="19"/>
      <c r="E65" s="19"/>
      <c r="F65" s="19"/>
    </row>
    <row r="66" spans="1:6">
      <c r="A66" s="44" t="s">
        <v>1991</v>
      </c>
      <c r="B66" s="44" t="s">
        <v>1963</v>
      </c>
      <c r="C66" s="18" t="s">
        <v>27</v>
      </c>
      <c r="D66" s="19"/>
      <c r="E66" s="19"/>
      <c r="F66" s="19"/>
    </row>
    <row r="67" spans="1:6">
      <c r="A67" s="44" t="s">
        <v>1992</v>
      </c>
      <c r="B67" s="44" t="s">
        <v>1963</v>
      </c>
      <c r="C67" s="18" t="s">
        <v>29</v>
      </c>
      <c r="D67" s="19">
        <v>4761301.3499999996</v>
      </c>
      <c r="E67" s="19">
        <v>4839363.6399999997</v>
      </c>
      <c r="F67" s="19">
        <v>4917425.92</v>
      </c>
    </row>
    <row r="68" spans="1:6">
      <c r="A68" s="44" t="s">
        <v>1993</v>
      </c>
      <c r="B68" s="44" t="s">
        <v>1963</v>
      </c>
      <c r="C68" s="18" t="s">
        <v>31</v>
      </c>
      <c r="D68" s="19"/>
      <c r="E68" s="19"/>
      <c r="F68" s="19"/>
    </row>
    <row r="69" spans="1:6">
      <c r="A69" s="44" t="s">
        <v>1994</v>
      </c>
      <c r="B69" s="44" t="s">
        <v>1963</v>
      </c>
      <c r="C69" s="18" t="s">
        <v>33</v>
      </c>
      <c r="D69" s="19">
        <v>18277</v>
      </c>
      <c r="E69" s="19">
        <v>18277</v>
      </c>
      <c r="F69" s="19">
        <v>18277</v>
      </c>
    </row>
    <row r="70" spans="1:6">
      <c r="A70" s="44" t="s">
        <v>1995</v>
      </c>
      <c r="B70" s="44" t="s">
        <v>1963</v>
      </c>
      <c r="C70" s="18" t="s">
        <v>35</v>
      </c>
      <c r="D70" s="19"/>
      <c r="E70" s="19"/>
      <c r="F70" s="19"/>
    </row>
    <row r="71" spans="1:6">
      <c r="A71" s="44" t="s">
        <v>1996</v>
      </c>
      <c r="B71" s="44" t="s">
        <v>1963</v>
      </c>
      <c r="C71" s="18" t="s">
        <v>37</v>
      </c>
      <c r="D71" s="19"/>
      <c r="E71" s="19"/>
      <c r="F71" s="19"/>
    </row>
    <row r="72" spans="1:6">
      <c r="A72" s="44" t="s">
        <v>1997</v>
      </c>
      <c r="B72" s="44" t="s">
        <v>1963</v>
      </c>
      <c r="C72" s="18" t="s">
        <v>39</v>
      </c>
      <c r="D72" s="19"/>
      <c r="E72" s="19"/>
      <c r="F72" s="19"/>
    </row>
    <row r="73" spans="1:6">
      <c r="A73" s="44" t="s">
        <v>1998</v>
      </c>
      <c r="B73" s="44" t="s">
        <v>1963</v>
      </c>
      <c r="C73" s="18" t="s">
        <v>41</v>
      </c>
      <c r="D73" s="19"/>
      <c r="E73" s="19"/>
      <c r="F73" s="19"/>
    </row>
    <row r="74" spans="1:6">
      <c r="A74" s="44" t="s">
        <v>1999</v>
      </c>
      <c r="B74" s="44" t="s">
        <v>1963</v>
      </c>
      <c r="C74" s="18" t="s">
        <v>43</v>
      </c>
      <c r="D74" s="19">
        <v>172854</v>
      </c>
      <c r="E74" s="19">
        <v>172854</v>
      </c>
      <c r="F74" s="19">
        <v>172854</v>
      </c>
    </row>
    <row r="75" spans="1:6">
      <c r="A75" s="44" t="s">
        <v>2000</v>
      </c>
      <c r="B75" s="44" t="s">
        <v>1963</v>
      </c>
      <c r="C75" s="18" t="s">
        <v>44</v>
      </c>
      <c r="D75" s="19">
        <v>21399</v>
      </c>
      <c r="E75" s="19">
        <v>21399</v>
      </c>
      <c r="F75" s="19">
        <v>21399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1548-FB2C-4A73-BF56-349C03177154}">
  <dimension ref="A1:BE122"/>
  <sheetViews>
    <sheetView zoomScale="81" workbookViewId="0">
      <selection activeCell="R13" sqref="R13"/>
    </sheetView>
  </sheetViews>
  <sheetFormatPr defaultColWidth="18.75" defaultRowHeight="24.6"/>
  <cols>
    <col min="1" max="2" width="18.75" style="24" customWidth="1"/>
    <col min="3" max="3" width="53" style="13" bestFit="1" customWidth="1"/>
    <col min="4" max="4" width="18.75" style="13"/>
    <col min="5" max="5" width="19.75" style="13" customWidth="1"/>
    <col min="6" max="16" width="18.75" style="13"/>
    <col min="17" max="17" width="6.75" style="24" bestFit="1" customWidth="1"/>
    <col min="18" max="18" width="53" style="13" bestFit="1" customWidth="1"/>
    <col min="19" max="31" width="18.75" style="13"/>
    <col min="32" max="32" width="6.75" style="24" bestFit="1" customWidth="1"/>
    <col min="33" max="33" width="53" style="13" bestFit="1" customWidth="1"/>
    <col min="34" max="16384" width="18.75" style="13"/>
  </cols>
  <sheetData>
    <row r="1" spans="1:57" s="15" customFormat="1">
      <c r="A1" s="31"/>
      <c r="B1" s="31"/>
      <c r="C1" s="31"/>
      <c r="D1" s="16">
        <v>25112</v>
      </c>
      <c r="E1" s="16">
        <v>25143</v>
      </c>
      <c r="F1" s="16">
        <v>25173</v>
      </c>
      <c r="G1" s="16">
        <v>25204</v>
      </c>
      <c r="H1" s="16">
        <v>25235</v>
      </c>
      <c r="I1" s="16">
        <v>25263</v>
      </c>
      <c r="J1" s="16">
        <v>25294</v>
      </c>
      <c r="K1" s="16">
        <v>25324</v>
      </c>
      <c r="L1" s="16">
        <v>25355</v>
      </c>
      <c r="M1" s="16">
        <v>25385</v>
      </c>
      <c r="N1" s="16">
        <v>25416</v>
      </c>
      <c r="O1" s="16">
        <v>25447</v>
      </c>
      <c r="Q1" s="31"/>
      <c r="R1" s="31"/>
      <c r="S1" s="16">
        <v>25112</v>
      </c>
      <c r="T1" s="16">
        <v>25143</v>
      </c>
      <c r="U1" s="16">
        <v>25173</v>
      </c>
      <c r="V1" s="16">
        <v>25204</v>
      </c>
      <c r="W1" s="16">
        <v>25235</v>
      </c>
      <c r="X1" s="16">
        <v>25263</v>
      </c>
      <c r="Y1" s="16">
        <v>25294</v>
      </c>
      <c r="Z1" s="16">
        <v>25324</v>
      </c>
      <c r="AA1" s="16">
        <v>25355</v>
      </c>
      <c r="AB1" s="16">
        <v>25385</v>
      </c>
      <c r="AC1" s="16">
        <v>25416</v>
      </c>
      <c r="AD1" s="16">
        <v>25447</v>
      </c>
      <c r="AF1" s="31"/>
      <c r="AG1" s="31"/>
      <c r="AH1" s="16" t="s">
        <v>85</v>
      </c>
      <c r="AI1" s="16" t="s">
        <v>86</v>
      </c>
      <c r="AJ1" s="16" t="s">
        <v>85</v>
      </c>
      <c r="AK1" s="16" t="s">
        <v>86</v>
      </c>
      <c r="AL1" s="16" t="s">
        <v>85</v>
      </c>
      <c r="AM1" s="16" t="s">
        <v>86</v>
      </c>
      <c r="AN1" s="16" t="s">
        <v>85</v>
      </c>
      <c r="AO1" s="16" t="s">
        <v>86</v>
      </c>
      <c r="AP1" s="16" t="s">
        <v>85</v>
      </c>
      <c r="AQ1" s="16" t="s">
        <v>86</v>
      </c>
      <c r="AR1" s="16" t="s">
        <v>85</v>
      </c>
      <c r="AS1" s="16" t="s">
        <v>86</v>
      </c>
      <c r="AT1" s="16" t="s">
        <v>85</v>
      </c>
      <c r="AU1" s="16" t="s">
        <v>86</v>
      </c>
      <c r="AV1" s="16" t="s">
        <v>85</v>
      </c>
      <c r="AW1" s="16" t="s">
        <v>86</v>
      </c>
      <c r="AX1" s="16" t="s">
        <v>85</v>
      </c>
      <c r="AY1" s="16" t="s">
        <v>86</v>
      </c>
      <c r="AZ1" s="16" t="s">
        <v>85</v>
      </c>
      <c r="BA1" s="16" t="s">
        <v>86</v>
      </c>
      <c r="BB1" s="16" t="s">
        <v>85</v>
      </c>
      <c r="BC1" s="16" t="s">
        <v>86</v>
      </c>
      <c r="BD1" s="16" t="s">
        <v>85</v>
      </c>
      <c r="BE1" s="16" t="s">
        <v>86</v>
      </c>
    </row>
    <row r="2" spans="1:57">
      <c r="A2" s="17">
        <v>1</v>
      </c>
      <c r="B2" s="17"/>
      <c r="C2" s="18" t="s">
        <v>8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Q2" s="17">
        <v>1</v>
      </c>
      <c r="R2" s="18" t="s">
        <v>8</v>
      </c>
      <c r="S2" s="19">
        <v>8470201.5099999998</v>
      </c>
      <c r="T2" s="19">
        <v>8470201.5099999998</v>
      </c>
      <c r="U2" s="19">
        <v>8470201.5099999998</v>
      </c>
      <c r="V2" s="19"/>
      <c r="W2" s="19"/>
      <c r="X2" s="19"/>
      <c r="Y2" s="19"/>
      <c r="Z2" s="19"/>
      <c r="AA2" s="19"/>
      <c r="AB2" s="19"/>
      <c r="AC2" s="19"/>
      <c r="AD2" s="19"/>
      <c r="AF2" s="17">
        <v>1</v>
      </c>
      <c r="AG2" s="18" t="s">
        <v>8</v>
      </c>
      <c r="AH2" s="19">
        <f>+D2-S2</f>
        <v>-8470201.5099999998</v>
      </c>
      <c r="AI2" s="19" t="e">
        <f>+AH2/D2*100</f>
        <v>#DIV/0!</v>
      </c>
      <c r="AJ2" s="19">
        <f>+E2-T2</f>
        <v>-8470201.5099999998</v>
      </c>
      <c r="AK2" s="19" t="e">
        <f>+AJ2/E2*100</f>
        <v>#DIV/0!</v>
      </c>
      <c r="AL2" s="19">
        <f>+F2-U2</f>
        <v>-8470201.5099999998</v>
      </c>
      <c r="AM2" s="19" t="e">
        <f>+AL2/F2*100</f>
        <v>#DIV/0!</v>
      </c>
      <c r="AN2" s="19">
        <f>+G2-V2</f>
        <v>0</v>
      </c>
      <c r="AO2" s="19" t="e">
        <f>+AN2/G2*100</f>
        <v>#DIV/0!</v>
      </c>
      <c r="AP2" s="19">
        <f>+H2-W2</f>
        <v>0</v>
      </c>
      <c r="AQ2" s="19" t="e">
        <f>+AP2/H2*100</f>
        <v>#DIV/0!</v>
      </c>
      <c r="AR2" s="19">
        <f>+I2-X2</f>
        <v>0</v>
      </c>
      <c r="AS2" s="19" t="e">
        <f>+AR2/I2*100</f>
        <v>#DIV/0!</v>
      </c>
      <c r="AT2" s="19">
        <f>+J2-Y2</f>
        <v>0</v>
      </c>
      <c r="AU2" s="19" t="e">
        <f>+AT2/J2*100</f>
        <v>#DIV/0!</v>
      </c>
      <c r="AV2" s="19">
        <f>+K2-Z2</f>
        <v>0</v>
      </c>
      <c r="AW2" s="19" t="e">
        <f>+AV2/K2*100</f>
        <v>#DIV/0!</v>
      </c>
      <c r="AX2" s="19">
        <f>+L2-AA2</f>
        <v>0</v>
      </c>
      <c r="AY2" s="19" t="e">
        <f>+AX2/L2*100</f>
        <v>#DIV/0!</v>
      </c>
      <c r="AZ2" s="19">
        <f>+M2-AB2</f>
        <v>0</v>
      </c>
      <c r="BA2" s="19" t="e">
        <f>+AZ2/M2*100</f>
        <v>#DIV/0!</v>
      </c>
      <c r="BB2" s="19">
        <f>+N2-AC2</f>
        <v>0</v>
      </c>
      <c r="BC2" s="19" t="e">
        <f>+BB2/N2*100</f>
        <v>#DIV/0!</v>
      </c>
      <c r="BD2" s="19">
        <f>+O2-AD2</f>
        <v>0</v>
      </c>
      <c r="BE2" s="19" t="e">
        <f>+BD2/O2*100</f>
        <v>#DIV/0!</v>
      </c>
    </row>
    <row r="3" spans="1:57">
      <c r="A3" s="17">
        <v>2</v>
      </c>
      <c r="B3" s="17"/>
      <c r="C3" s="18" t="s">
        <v>9</v>
      </c>
      <c r="D3" s="19">
        <v>8336118</v>
      </c>
      <c r="E3" s="19">
        <v>8336118</v>
      </c>
      <c r="F3" s="19">
        <v>8336118</v>
      </c>
      <c r="G3" s="19"/>
      <c r="H3" s="19"/>
      <c r="I3" s="19"/>
      <c r="J3" s="19"/>
      <c r="K3" s="19"/>
      <c r="L3" s="19"/>
      <c r="M3" s="19"/>
      <c r="N3" s="19"/>
      <c r="O3" s="19"/>
      <c r="Q3" s="17">
        <v>2</v>
      </c>
      <c r="R3" s="18" t="s">
        <v>9</v>
      </c>
      <c r="S3" s="19">
        <v>12920251.5</v>
      </c>
      <c r="T3" s="19">
        <v>12920251.5</v>
      </c>
      <c r="U3" s="19">
        <v>12920251.5</v>
      </c>
      <c r="V3" s="19"/>
      <c r="W3" s="19"/>
      <c r="X3" s="19"/>
      <c r="Y3" s="19"/>
      <c r="Z3" s="19"/>
      <c r="AA3" s="19"/>
      <c r="AB3" s="19"/>
      <c r="AC3" s="19"/>
      <c r="AD3" s="19"/>
      <c r="AF3" s="17">
        <v>2</v>
      </c>
      <c r="AG3" s="18" t="s">
        <v>9</v>
      </c>
      <c r="AH3" s="19">
        <f t="shared" ref="AH3:AH6" si="0">+D3-S3</f>
        <v>-4584133.5</v>
      </c>
      <c r="AI3" s="19">
        <f t="shared" ref="AI3:AI6" si="1">+AH3/D3*100</f>
        <v>-54.99122613187577</v>
      </c>
      <c r="AJ3" s="19">
        <f t="shared" ref="AJ3:AJ6" si="2">+E3-T3</f>
        <v>-4584133.5</v>
      </c>
      <c r="AK3" s="19">
        <f t="shared" ref="AK3:AK6" si="3">+AJ3/E3*100</f>
        <v>-54.99122613187577</v>
      </c>
      <c r="AL3" s="19">
        <f t="shared" ref="AL3:AL6" si="4">+F3-U3</f>
        <v>-4584133.5</v>
      </c>
      <c r="AM3" s="19">
        <f t="shared" ref="AM3:AM6" si="5">+AL3/F3*100</f>
        <v>-54.99122613187577</v>
      </c>
      <c r="AN3" s="19">
        <f t="shared" ref="AN3:AN6" si="6">+G3-V3</f>
        <v>0</v>
      </c>
      <c r="AO3" s="19" t="e">
        <f t="shared" ref="AO3:AO6" si="7">+AN3/G3*100</f>
        <v>#DIV/0!</v>
      </c>
      <c r="AP3" s="19">
        <f t="shared" ref="AP3:AP6" si="8">+H3-W3</f>
        <v>0</v>
      </c>
      <c r="AQ3" s="19" t="e">
        <f t="shared" ref="AQ3:AQ6" si="9">+AP3/H3*100</f>
        <v>#DIV/0!</v>
      </c>
      <c r="AR3" s="19">
        <f t="shared" ref="AR3:AR6" si="10">+I3-X3</f>
        <v>0</v>
      </c>
      <c r="AS3" s="19" t="e">
        <f t="shared" ref="AS3:AS6" si="11">+AR3/I3*100</f>
        <v>#DIV/0!</v>
      </c>
      <c r="AT3" s="19">
        <f t="shared" ref="AT3:AT6" si="12">+J3-Y3</f>
        <v>0</v>
      </c>
      <c r="AU3" s="19" t="e">
        <f t="shared" ref="AU3:AU6" si="13">+AT3/J3*100</f>
        <v>#DIV/0!</v>
      </c>
      <c r="AV3" s="19">
        <f t="shared" ref="AV3:AV6" si="14">+K3-Z3</f>
        <v>0</v>
      </c>
      <c r="AW3" s="19" t="e">
        <f t="shared" ref="AW3:AW6" si="15">+AV3/K3*100</f>
        <v>#DIV/0!</v>
      </c>
      <c r="AX3" s="19">
        <f t="shared" ref="AX3:AX6" si="16">+L3-AA3</f>
        <v>0</v>
      </c>
      <c r="AY3" s="19" t="e">
        <f t="shared" ref="AY3:AY6" si="17">+AX3/L3*100</f>
        <v>#DIV/0!</v>
      </c>
      <c r="AZ3" s="19">
        <f t="shared" ref="AZ3:AZ6" si="18">+M3-AB3</f>
        <v>0</v>
      </c>
      <c r="BA3" s="19" t="e">
        <f t="shared" ref="BA3:BA6" si="19">+AZ3/M3*100</f>
        <v>#DIV/0!</v>
      </c>
      <c r="BB3" s="19">
        <f t="shared" ref="BB3:BB6" si="20">+N3-AC3</f>
        <v>0</v>
      </c>
      <c r="BC3" s="19" t="e">
        <f t="shared" ref="BC3:BC6" si="21">+BB3/N3*100</f>
        <v>#DIV/0!</v>
      </c>
      <c r="BD3" s="19">
        <f t="shared" ref="BD3:BD6" si="22">+O3-AD3</f>
        <v>0</v>
      </c>
      <c r="BE3" s="19" t="e">
        <f t="shared" ref="BE3:BE6" si="23">+BD3/O3*100</f>
        <v>#DIV/0!</v>
      </c>
    </row>
    <row r="4" spans="1:57">
      <c r="A4" s="17">
        <v>3</v>
      </c>
      <c r="B4" s="17"/>
      <c r="C4" s="18" t="s">
        <v>11</v>
      </c>
      <c r="D4" s="19">
        <v>35997524</v>
      </c>
      <c r="E4" s="19">
        <v>35997524</v>
      </c>
      <c r="F4" s="19">
        <v>35997524</v>
      </c>
      <c r="G4" s="19"/>
      <c r="H4" s="19"/>
      <c r="I4" s="19"/>
      <c r="J4" s="19"/>
      <c r="K4" s="19"/>
      <c r="L4" s="19"/>
      <c r="M4" s="19"/>
      <c r="N4" s="19"/>
      <c r="O4" s="19"/>
      <c r="Q4" s="17">
        <v>3</v>
      </c>
      <c r="R4" s="18" t="s">
        <v>11</v>
      </c>
      <c r="S4" s="19">
        <v>33886139.75</v>
      </c>
      <c r="T4" s="19">
        <v>33886139.75</v>
      </c>
      <c r="U4" s="19">
        <v>33886139.75</v>
      </c>
      <c r="V4" s="19"/>
      <c r="W4" s="19"/>
      <c r="X4" s="19"/>
      <c r="Y4" s="19"/>
      <c r="Z4" s="19"/>
      <c r="AA4" s="19"/>
      <c r="AB4" s="19"/>
      <c r="AC4" s="19"/>
      <c r="AD4" s="19"/>
      <c r="AF4" s="17">
        <v>3</v>
      </c>
      <c r="AG4" s="18" t="s">
        <v>11</v>
      </c>
      <c r="AH4" s="19">
        <f t="shared" si="0"/>
        <v>2111384.25</v>
      </c>
      <c r="AI4" s="19">
        <f t="shared" si="1"/>
        <v>5.8653596564030348</v>
      </c>
      <c r="AJ4" s="19">
        <f t="shared" si="2"/>
        <v>2111384.25</v>
      </c>
      <c r="AK4" s="19">
        <f t="shared" si="3"/>
        <v>5.8653596564030348</v>
      </c>
      <c r="AL4" s="19">
        <f t="shared" si="4"/>
        <v>2111384.25</v>
      </c>
      <c r="AM4" s="19">
        <f t="shared" si="5"/>
        <v>5.8653596564030348</v>
      </c>
      <c r="AN4" s="19">
        <f t="shared" si="6"/>
        <v>0</v>
      </c>
      <c r="AO4" s="19" t="e">
        <f t="shared" si="7"/>
        <v>#DIV/0!</v>
      </c>
      <c r="AP4" s="19">
        <f t="shared" si="8"/>
        <v>0</v>
      </c>
      <c r="AQ4" s="19" t="e">
        <f t="shared" si="9"/>
        <v>#DIV/0!</v>
      </c>
      <c r="AR4" s="19">
        <f t="shared" si="10"/>
        <v>0</v>
      </c>
      <c r="AS4" s="19" t="e">
        <f t="shared" si="11"/>
        <v>#DIV/0!</v>
      </c>
      <c r="AT4" s="19">
        <f t="shared" si="12"/>
        <v>0</v>
      </c>
      <c r="AU4" s="19" t="e">
        <f t="shared" si="13"/>
        <v>#DIV/0!</v>
      </c>
      <c r="AV4" s="19">
        <f t="shared" si="14"/>
        <v>0</v>
      </c>
      <c r="AW4" s="19" t="e">
        <f t="shared" si="15"/>
        <v>#DIV/0!</v>
      </c>
      <c r="AX4" s="19">
        <f t="shared" si="16"/>
        <v>0</v>
      </c>
      <c r="AY4" s="19" t="e">
        <f t="shared" si="17"/>
        <v>#DIV/0!</v>
      </c>
      <c r="AZ4" s="19">
        <f t="shared" si="18"/>
        <v>0</v>
      </c>
      <c r="BA4" s="19" t="e">
        <f t="shared" si="19"/>
        <v>#DIV/0!</v>
      </c>
      <c r="BB4" s="19">
        <f t="shared" si="20"/>
        <v>0</v>
      </c>
      <c r="BC4" s="19" t="e">
        <f t="shared" si="21"/>
        <v>#DIV/0!</v>
      </c>
      <c r="BD4" s="19">
        <f t="shared" si="22"/>
        <v>0</v>
      </c>
      <c r="BE4" s="19" t="e">
        <f t="shared" si="23"/>
        <v>#DIV/0!</v>
      </c>
    </row>
    <row r="5" spans="1:57">
      <c r="A5" s="17">
        <v>4</v>
      </c>
      <c r="B5" s="17"/>
      <c r="C5" s="18" t="s">
        <v>13</v>
      </c>
      <c r="D5" s="19">
        <v>8870201.5099999998</v>
      </c>
      <c r="E5" s="19">
        <v>8870201.5099999998</v>
      </c>
      <c r="F5" s="19">
        <v>8870201.5099999998</v>
      </c>
      <c r="G5" s="19"/>
      <c r="H5" s="19"/>
      <c r="I5" s="19"/>
      <c r="J5" s="19"/>
      <c r="K5" s="19"/>
      <c r="L5" s="19"/>
      <c r="M5" s="19"/>
      <c r="N5" s="19"/>
      <c r="O5" s="19"/>
      <c r="Q5" s="17">
        <v>4</v>
      </c>
      <c r="R5" s="18" t="s">
        <v>13</v>
      </c>
      <c r="S5" s="19">
        <v>6648023</v>
      </c>
      <c r="T5" s="19">
        <v>6648023</v>
      </c>
      <c r="U5" s="19">
        <v>6648023</v>
      </c>
      <c r="V5" s="19"/>
      <c r="W5" s="19"/>
      <c r="X5" s="19"/>
      <c r="Y5" s="19"/>
      <c r="Z5" s="19"/>
      <c r="AA5" s="19"/>
      <c r="AB5" s="19"/>
      <c r="AC5" s="19"/>
      <c r="AD5" s="19"/>
      <c r="AF5" s="17">
        <v>4</v>
      </c>
      <c r="AG5" s="18" t="s">
        <v>13</v>
      </c>
      <c r="AH5" s="19">
        <f t="shared" si="0"/>
        <v>2222178.5099999998</v>
      </c>
      <c r="AI5" s="19">
        <f t="shared" si="1"/>
        <v>25.05217618218461</v>
      </c>
      <c r="AJ5" s="19">
        <f t="shared" si="2"/>
        <v>2222178.5099999998</v>
      </c>
      <c r="AK5" s="19">
        <f t="shared" si="3"/>
        <v>25.05217618218461</v>
      </c>
      <c r="AL5" s="19">
        <f t="shared" si="4"/>
        <v>2222178.5099999998</v>
      </c>
      <c r="AM5" s="19">
        <f t="shared" si="5"/>
        <v>25.05217618218461</v>
      </c>
      <c r="AN5" s="19">
        <f t="shared" si="6"/>
        <v>0</v>
      </c>
      <c r="AO5" s="19" t="e">
        <f t="shared" si="7"/>
        <v>#DIV/0!</v>
      </c>
      <c r="AP5" s="19">
        <f t="shared" si="8"/>
        <v>0</v>
      </c>
      <c r="AQ5" s="19" t="e">
        <f t="shared" si="9"/>
        <v>#DIV/0!</v>
      </c>
      <c r="AR5" s="19">
        <f t="shared" si="10"/>
        <v>0</v>
      </c>
      <c r="AS5" s="19" t="e">
        <f t="shared" si="11"/>
        <v>#DIV/0!</v>
      </c>
      <c r="AT5" s="19">
        <f t="shared" si="12"/>
        <v>0</v>
      </c>
      <c r="AU5" s="19" t="e">
        <f t="shared" si="13"/>
        <v>#DIV/0!</v>
      </c>
      <c r="AV5" s="19">
        <f t="shared" si="14"/>
        <v>0</v>
      </c>
      <c r="AW5" s="19" t="e">
        <f t="shared" si="15"/>
        <v>#DIV/0!</v>
      </c>
      <c r="AX5" s="19">
        <f t="shared" si="16"/>
        <v>0</v>
      </c>
      <c r="AY5" s="19" t="e">
        <f t="shared" si="17"/>
        <v>#DIV/0!</v>
      </c>
      <c r="AZ5" s="19">
        <f t="shared" si="18"/>
        <v>0</v>
      </c>
      <c r="BA5" s="19" t="e">
        <f t="shared" si="19"/>
        <v>#DIV/0!</v>
      </c>
      <c r="BB5" s="19">
        <f t="shared" si="20"/>
        <v>0</v>
      </c>
      <c r="BC5" s="19" t="e">
        <f t="shared" si="21"/>
        <v>#DIV/0!</v>
      </c>
      <c r="BD5" s="19">
        <f t="shared" si="22"/>
        <v>0</v>
      </c>
      <c r="BE5" s="19" t="e">
        <f t="shared" si="23"/>
        <v>#DIV/0!</v>
      </c>
    </row>
    <row r="6" spans="1:57">
      <c r="A6" s="17">
        <v>5</v>
      </c>
      <c r="B6" s="17"/>
      <c r="C6" s="18" t="s">
        <v>15</v>
      </c>
      <c r="D6" s="19">
        <v>3488106</v>
      </c>
      <c r="E6" s="19">
        <v>3488106</v>
      </c>
      <c r="F6" s="19">
        <v>3488106</v>
      </c>
      <c r="G6" s="19"/>
      <c r="H6" s="19"/>
      <c r="I6" s="19"/>
      <c r="J6" s="19"/>
      <c r="K6" s="19"/>
      <c r="L6" s="19"/>
      <c r="M6" s="19"/>
      <c r="N6" s="19"/>
      <c r="O6" s="19"/>
      <c r="Q6" s="17">
        <v>5</v>
      </c>
      <c r="R6" s="18" t="s">
        <v>15</v>
      </c>
      <c r="S6" s="19">
        <v>8015852.9800000004</v>
      </c>
      <c r="T6" s="19">
        <v>8015852.9800000004</v>
      </c>
      <c r="U6" s="19">
        <v>8015852.9800000004</v>
      </c>
      <c r="V6" s="19"/>
      <c r="W6" s="19"/>
      <c r="X6" s="19"/>
      <c r="Y6" s="19"/>
      <c r="Z6" s="19"/>
      <c r="AA6" s="19"/>
      <c r="AB6" s="19"/>
      <c r="AC6" s="19"/>
      <c r="AD6" s="19"/>
      <c r="AF6" s="17">
        <v>5</v>
      </c>
      <c r="AG6" s="18" t="s">
        <v>15</v>
      </c>
      <c r="AH6" s="19">
        <f t="shared" si="0"/>
        <v>-4527746.9800000004</v>
      </c>
      <c r="AI6" s="19">
        <f t="shared" si="1"/>
        <v>-129.80531497609306</v>
      </c>
      <c r="AJ6" s="19">
        <f t="shared" si="2"/>
        <v>-4527746.9800000004</v>
      </c>
      <c r="AK6" s="19">
        <f t="shared" si="3"/>
        <v>-129.80531497609306</v>
      </c>
      <c r="AL6" s="19">
        <f t="shared" si="4"/>
        <v>-4527746.9800000004</v>
      </c>
      <c r="AM6" s="19">
        <f t="shared" si="5"/>
        <v>-129.80531497609306</v>
      </c>
      <c r="AN6" s="19">
        <f t="shared" si="6"/>
        <v>0</v>
      </c>
      <c r="AO6" s="19" t="e">
        <f t="shared" si="7"/>
        <v>#DIV/0!</v>
      </c>
      <c r="AP6" s="19">
        <f t="shared" si="8"/>
        <v>0</v>
      </c>
      <c r="AQ6" s="19" t="e">
        <f t="shared" si="9"/>
        <v>#DIV/0!</v>
      </c>
      <c r="AR6" s="19">
        <f t="shared" si="10"/>
        <v>0</v>
      </c>
      <c r="AS6" s="19" t="e">
        <f t="shared" si="11"/>
        <v>#DIV/0!</v>
      </c>
      <c r="AT6" s="19">
        <f t="shared" si="12"/>
        <v>0</v>
      </c>
      <c r="AU6" s="19" t="e">
        <f t="shared" si="13"/>
        <v>#DIV/0!</v>
      </c>
      <c r="AV6" s="19">
        <f t="shared" si="14"/>
        <v>0</v>
      </c>
      <c r="AW6" s="19" t="e">
        <f t="shared" si="15"/>
        <v>#DIV/0!</v>
      </c>
      <c r="AX6" s="19">
        <f t="shared" si="16"/>
        <v>0</v>
      </c>
      <c r="AY6" s="19" t="e">
        <f t="shared" si="17"/>
        <v>#DIV/0!</v>
      </c>
      <c r="AZ6" s="19">
        <f t="shared" si="18"/>
        <v>0</v>
      </c>
      <c r="BA6" s="19" t="e">
        <f t="shared" si="19"/>
        <v>#DIV/0!</v>
      </c>
      <c r="BB6" s="19">
        <f t="shared" si="20"/>
        <v>0</v>
      </c>
      <c r="BC6" s="19" t="e">
        <f t="shared" si="21"/>
        <v>#DIV/0!</v>
      </c>
      <c r="BD6" s="19">
        <f t="shared" si="22"/>
        <v>0</v>
      </c>
      <c r="BE6" s="19" t="e">
        <f t="shared" si="23"/>
        <v>#DIV/0!</v>
      </c>
    </row>
    <row r="7" spans="1:57" s="15" customFormat="1">
      <c r="A7" s="31"/>
      <c r="B7" s="31"/>
      <c r="C7" s="31"/>
      <c r="D7" s="16">
        <v>25112</v>
      </c>
      <c r="E7" s="16">
        <v>25143</v>
      </c>
      <c r="F7" s="16">
        <v>25173</v>
      </c>
      <c r="G7" s="16">
        <v>25204</v>
      </c>
      <c r="H7" s="16">
        <v>25235</v>
      </c>
      <c r="I7" s="16">
        <v>25263</v>
      </c>
      <c r="J7" s="16">
        <v>25294</v>
      </c>
      <c r="K7" s="16">
        <v>25324</v>
      </c>
      <c r="L7" s="16">
        <v>25355</v>
      </c>
      <c r="M7" s="16">
        <v>25385</v>
      </c>
      <c r="N7" s="16">
        <v>25416</v>
      </c>
      <c r="O7" s="16">
        <v>25447</v>
      </c>
      <c r="Q7" s="31"/>
      <c r="R7" s="31"/>
      <c r="S7" s="16">
        <v>25112</v>
      </c>
      <c r="T7" s="16">
        <v>25143</v>
      </c>
      <c r="U7" s="16">
        <v>25173</v>
      </c>
      <c r="V7" s="16">
        <v>25204</v>
      </c>
      <c r="W7" s="16">
        <v>25235</v>
      </c>
      <c r="X7" s="16">
        <v>25263</v>
      </c>
      <c r="Y7" s="16">
        <v>25294</v>
      </c>
      <c r="Z7" s="16">
        <v>25324</v>
      </c>
      <c r="AA7" s="16">
        <v>25355</v>
      </c>
      <c r="AB7" s="16">
        <v>25385</v>
      </c>
      <c r="AC7" s="16">
        <v>25416</v>
      </c>
      <c r="AD7" s="16">
        <v>25447</v>
      </c>
      <c r="AF7" s="31"/>
      <c r="AG7" s="31"/>
      <c r="AH7" s="16" t="s">
        <v>85</v>
      </c>
      <c r="AI7" s="16" t="s">
        <v>86</v>
      </c>
      <c r="AJ7" s="16" t="s">
        <v>85</v>
      </c>
      <c r="AK7" s="16" t="s">
        <v>86</v>
      </c>
      <c r="AL7" s="16" t="s">
        <v>85</v>
      </c>
      <c r="AM7" s="16" t="s">
        <v>86</v>
      </c>
      <c r="AN7" s="16" t="s">
        <v>85</v>
      </c>
      <c r="AO7" s="16" t="s">
        <v>86</v>
      </c>
      <c r="AP7" s="16" t="s">
        <v>85</v>
      </c>
      <c r="AQ7" s="16" t="s">
        <v>86</v>
      </c>
      <c r="AR7" s="16" t="s">
        <v>85</v>
      </c>
      <c r="AS7" s="16" t="s">
        <v>86</v>
      </c>
      <c r="AT7" s="16" t="s">
        <v>85</v>
      </c>
      <c r="AU7" s="16" t="s">
        <v>86</v>
      </c>
      <c r="AV7" s="16" t="s">
        <v>85</v>
      </c>
      <c r="AW7" s="16" t="s">
        <v>86</v>
      </c>
      <c r="AX7" s="16" t="s">
        <v>85</v>
      </c>
      <c r="AY7" s="16" t="s">
        <v>86</v>
      </c>
      <c r="AZ7" s="16" t="s">
        <v>85</v>
      </c>
      <c r="BA7" s="16" t="s">
        <v>86</v>
      </c>
      <c r="BB7" s="16" t="s">
        <v>85</v>
      </c>
      <c r="BC7" s="16" t="s">
        <v>86</v>
      </c>
      <c r="BD7" s="16" t="s">
        <v>85</v>
      </c>
      <c r="BE7" s="16" t="s">
        <v>86</v>
      </c>
    </row>
    <row r="8" spans="1:57">
      <c r="A8" s="17"/>
      <c r="B8" s="17"/>
      <c r="C8" s="18"/>
      <c r="D8" s="19"/>
      <c r="E8" s="19"/>
      <c r="F8" s="19"/>
      <c r="G8" s="19"/>
      <c r="H8" s="18"/>
      <c r="I8" s="18"/>
      <c r="J8" s="18"/>
      <c r="K8" s="18"/>
      <c r="L8" s="18"/>
      <c r="M8" s="18"/>
      <c r="N8" s="18"/>
      <c r="O8" s="18"/>
      <c r="Q8" s="17"/>
      <c r="R8" s="18"/>
      <c r="S8" s="19"/>
      <c r="T8" s="19"/>
      <c r="U8" s="19"/>
      <c r="V8" s="19"/>
      <c r="W8" s="18"/>
      <c r="X8" s="18"/>
      <c r="Y8" s="18"/>
      <c r="Z8" s="18"/>
      <c r="AA8" s="18"/>
      <c r="AB8" s="18"/>
      <c r="AC8" s="18"/>
      <c r="AD8" s="18"/>
      <c r="AF8" s="17"/>
      <c r="AG8" s="18"/>
      <c r="AH8" s="19"/>
      <c r="AI8" s="19"/>
      <c r="AJ8" s="19"/>
      <c r="AK8" s="19"/>
      <c r="AL8" s="19"/>
      <c r="AM8" s="19"/>
      <c r="AN8" s="19"/>
      <c r="AO8" s="19"/>
      <c r="AP8" s="18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</row>
    <row r="9" spans="1:57">
      <c r="A9" s="17">
        <v>1</v>
      </c>
      <c r="B9" s="17"/>
      <c r="C9" s="18" t="s">
        <v>10</v>
      </c>
      <c r="D9" s="19">
        <v>8336114</v>
      </c>
      <c r="E9" s="19">
        <v>8336114</v>
      </c>
      <c r="F9" s="19">
        <v>-8336114</v>
      </c>
      <c r="G9" s="19"/>
      <c r="H9" s="18"/>
      <c r="I9" s="18"/>
      <c r="J9" s="18"/>
      <c r="K9" s="18"/>
      <c r="L9" s="18"/>
      <c r="M9" s="18"/>
      <c r="N9" s="18"/>
      <c r="O9" s="18"/>
      <c r="Q9" s="17">
        <v>1</v>
      </c>
      <c r="R9" s="18" t="s">
        <v>10</v>
      </c>
      <c r="S9" s="19">
        <v>12903086.5</v>
      </c>
      <c r="T9" s="19">
        <v>12903416.5</v>
      </c>
      <c r="U9" s="19">
        <v>12903746.5</v>
      </c>
      <c r="V9" s="19"/>
      <c r="W9" s="18"/>
      <c r="X9" s="18"/>
      <c r="Y9" s="18"/>
      <c r="Z9" s="18"/>
      <c r="AA9" s="18"/>
      <c r="AB9" s="18"/>
      <c r="AC9" s="18"/>
      <c r="AD9" s="18"/>
      <c r="AF9" s="17">
        <v>1</v>
      </c>
      <c r="AG9" s="18" t="s">
        <v>10</v>
      </c>
      <c r="AH9" s="19">
        <f t="shared" ref="AH9:AH12" si="24">+D9-S9</f>
        <v>-4566972.5</v>
      </c>
      <c r="AI9" s="19">
        <f t="shared" ref="AI9:AI12" si="25">+AH9/D9*100</f>
        <v>-54.78538921132796</v>
      </c>
      <c r="AJ9" s="19">
        <f t="shared" ref="AJ9:AJ12" si="26">+E9-T9</f>
        <v>-4567302.5</v>
      </c>
      <c r="AK9" s="19">
        <f t="shared" ref="AK9:AK12" si="27">+AJ9/E9*100</f>
        <v>-54.789347890395931</v>
      </c>
      <c r="AL9" s="19">
        <f t="shared" ref="AL9:AL12" si="28">+F9-U9</f>
        <v>-21239860.5</v>
      </c>
      <c r="AM9" s="19">
        <f t="shared" ref="AM9:AM12" si="29">+AL9/F9*100</f>
        <v>254.79330656946391</v>
      </c>
      <c r="AN9" s="19">
        <f t="shared" ref="AN9:AN12" si="30">+G9-V9</f>
        <v>0</v>
      </c>
      <c r="AO9" s="19" t="e">
        <f t="shared" ref="AO9:AO12" si="31">+AN9/G9*100</f>
        <v>#DIV/0!</v>
      </c>
      <c r="AP9" s="19">
        <f t="shared" ref="AP9:AP12" si="32">+H9-W9</f>
        <v>0</v>
      </c>
      <c r="AQ9" s="19" t="e">
        <f t="shared" ref="AQ9:AQ12" si="33">+AP9/H9*100</f>
        <v>#DIV/0!</v>
      </c>
      <c r="AR9" s="19">
        <f t="shared" ref="AR9:AR12" si="34">+I9-X9</f>
        <v>0</v>
      </c>
      <c r="AS9" s="19" t="e">
        <f t="shared" ref="AS9:AS12" si="35">+AR9/I9*100</f>
        <v>#DIV/0!</v>
      </c>
      <c r="AT9" s="19">
        <f t="shared" ref="AT9:AT12" si="36">+J9-Y9</f>
        <v>0</v>
      </c>
      <c r="AU9" s="19" t="e">
        <f t="shared" ref="AU9:AU12" si="37">+AT9/J9*100</f>
        <v>#DIV/0!</v>
      </c>
      <c r="AV9" s="19">
        <f t="shared" ref="AV9:AV12" si="38">+K9-Z9</f>
        <v>0</v>
      </c>
      <c r="AW9" s="19" t="e">
        <f t="shared" ref="AW9:AW12" si="39">+AV9/K9*100</f>
        <v>#DIV/0!</v>
      </c>
      <c r="AX9" s="19">
        <f t="shared" ref="AX9:AX12" si="40">+L9-AA9</f>
        <v>0</v>
      </c>
      <c r="AY9" s="19" t="e">
        <f t="shared" ref="AY9:AY12" si="41">+AX9/L9*100</f>
        <v>#DIV/0!</v>
      </c>
      <c r="AZ9" s="19">
        <f t="shared" ref="AZ9:AZ12" si="42">+M9-AB9</f>
        <v>0</v>
      </c>
      <c r="BA9" s="19" t="e">
        <f t="shared" ref="BA9:BA12" si="43">+AZ9/M9*100</f>
        <v>#DIV/0!</v>
      </c>
      <c r="BB9" s="19">
        <f t="shared" ref="BB9:BB12" si="44">+N9-AC9</f>
        <v>0</v>
      </c>
      <c r="BC9" s="19" t="e">
        <f t="shared" ref="BC9:BC12" si="45">+BB9/N9*100</f>
        <v>#DIV/0!</v>
      </c>
      <c r="BD9" s="19">
        <f t="shared" ref="BD9:BD12" si="46">+O9-AD9</f>
        <v>0</v>
      </c>
      <c r="BE9" s="19" t="e">
        <f t="shared" ref="BE9:BE12" si="47">+BD9/O9*100</f>
        <v>#DIV/0!</v>
      </c>
    </row>
    <row r="10" spans="1:57">
      <c r="A10" s="17">
        <v>2</v>
      </c>
      <c r="B10" s="17"/>
      <c r="C10" s="18" t="s">
        <v>12</v>
      </c>
      <c r="D10" s="19">
        <v>25059603.77</v>
      </c>
      <c r="E10" s="19">
        <v>25146254.879999999</v>
      </c>
      <c r="F10" s="19">
        <v>-25235794.34</v>
      </c>
      <c r="G10" s="19"/>
      <c r="H10" s="18"/>
      <c r="I10" s="18"/>
      <c r="J10" s="18"/>
      <c r="K10" s="18"/>
      <c r="L10" s="18"/>
      <c r="M10" s="18"/>
      <c r="N10" s="18"/>
      <c r="O10" s="18"/>
      <c r="Q10" s="17">
        <v>2</v>
      </c>
      <c r="R10" s="18" t="s">
        <v>12</v>
      </c>
      <c r="S10" s="19">
        <v>22485627.629999999</v>
      </c>
      <c r="T10" s="19">
        <v>22568285.91</v>
      </c>
      <c r="U10" s="19">
        <v>22650944.190000001</v>
      </c>
      <c r="V10" s="19"/>
      <c r="W10" s="18"/>
      <c r="X10" s="18"/>
      <c r="Y10" s="18"/>
      <c r="Z10" s="18"/>
      <c r="AA10" s="18"/>
      <c r="AB10" s="18"/>
      <c r="AC10" s="18"/>
      <c r="AD10" s="18"/>
      <c r="AF10" s="17">
        <v>2</v>
      </c>
      <c r="AG10" s="18" t="s">
        <v>12</v>
      </c>
      <c r="AH10" s="19">
        <f t="shared" si="24"/>
        <v>2573976.1400000006</v>
      </c>
      <c r="AI10" s="19">
        <f t="shared" si="25"/>
        <v>10.271415955432724</v>
      </c>
      <c r="AJ10" s="19">
        <f t="shared" si="26"/>
        <v>2577968.9699999988</v>
      </c>
      <c r="AK10" s="19">
        <f t="shared" si="27"/>
        <v>10.251900262294642</v>
      </c>
      <c r="AL10" s="19">
        <f t="shared" si="28"/>
        <v>-47886738.530000001</v>
      </c>
      <c r="AM10" s="19">
        <f t="shared" si="29"/>
        <v>189.75720710363024</v>
      </c>
      <c r="AN10" s="19">
        <f t="shared" si="30"/>
        <v>0</v>
      </c>
      <c r="AO10" s="19" t="e">
        <f t="shared" si="31"/>
        <v>#DIV/0!</v>
      </c>
      <c r="AP10" s="19">
        <f t="shared" si="32"/>
        <v>0</v>
      </c>
      <c r="AQ10" s="19" t="e">
        <f t="shared" si="33"/>
        <v>#DIV/0!</v>
      </c>
      <c r="AR10" s="19">
        <f t="shared" si="34"/>
        <v>0</v>
      </c>
      <c r="AS10" s="19" t="e">
        <f t="shared" si="35"/>
        <v>#DIV/0!</v>
      </c>
      <c r="AT10" s="19">
        <f t="shared" si="36"/>
        <v>0</v>
      </c>
      <c r="AU10" s="19" t="e">
        <f t="shared" si="37"/>
        <v>#DIV/0!</v>
      </c>
      <c r="AV10" s="19">
        <f t="shared" si="38"/>
        <v>0</v>
      </c>
      <c r="AW10" s="19" t="e">
        <f t="shared" si="39"/>
        <v>#DIV/0!</v>
      </c>
      <c r="AX10" s="19">
        <f t="shared" si="40"/>
        <v>0</v>
      </c>
      <c r="AY10" s="19" t="e">
        <f t="shared" si="41"/>
        <v>#DIV/0!</v>
      </c>
      <c r="AZ10" s="19">
        <f t="shared" si="42"/>
        <v>0</v>
      </c>
      <c r="BA10" s="19" t="e">
        <f t="shared" si="43"/>
        <v>#DIV/0!</v>
      </c>
      <c r="BB10" s="19">
        <f t="shared" si="44"/>
        <v>0</v>
      </c>
      <c r="BC10" s="19" t="e">
        <f t="shared" si="45"/>
        <v>#DIV/0!</v>
      </c>
      <c r="BD10" s="19">
        <f t="shared" si="46"/>
        <v>0</v>
      </c>
      <c r="BE10" s="19" t="e">
        <f t="shared" si="47"/>
        <v>#DIV/0!</v>
      </c>
    </row>
    <row r="11" spans="1:57">
      <c r="A11" s="17">
        <v>3</v>
      </c>
      <c r="B11" s="17"/>
      <c r="C11" s="18" t="s">
        <v>14</v>
      </c>
      <c r="D11" s="19">
        <v>1388018.42</v>
      </c>
      <c r="E11" s="19">
        <v>1415864.27</v>
      </c>
      <c r="F11" s="19">
        <v>-1444638.31</v>
      </c>
      <c r="G11" s="19"/>
      <c r="H11" s="18"/>
      <c r="I11" s="18"/>
      <c r="J11" s="18"/>
      <c r="K11" s="18"/>
      <c r="L11" s="18"/>
      <c r="M11" s="18"/>
      <c r="N11" s="18"/>
      <c r="O11" s="18"/>
      <c r="Q11" s="17">
        <v>3</v>
      </c>
      <c r="R11" s="18" t="s">
        <v>14</v>
      </c>
      <c r="S11" s="19">
        <v>6391732.1699999999</v>
      </c>
      <c r="T11" s="19">
        <v>6393894</v>
      </c>
      <c r="U11" s="19">
        <v>6396055.8300000001</v>
      </c>
      <c r="V11" s="19"/>
      <c r="W11" s="18"/>
      <c r="X11" s="18"/>
      <c r="Y11" s="18"/>
      <c r="Z11" s="18"/>
      <c r="AA11" s="18"/>
      <c r="AB11" s="18"/>
      <c r="AC11" s="18"/>
      <c r="AD11" s="18"/>
      <c r="AF11" s="17">
        <v>3</v>
      </c>
      <c r="AG11" s="18" t="s">
        <v>14</v>
      </c>
      <c r="AH11" s="19">
        <f t="shared" si="24"/>
        <v>-5003713.75</v>
      </c>
      <c r="AI11" s="19">
        <f t="shared" si="25"/>
        <v>-360.49332472115179</v>
      </c>
      <c r="AJ11" s="19">
        <f t="shared" si="26"/>
        <v>-4978029.7300000004</v>
      </c>
      <c r="AK11" s="19">
        <f t="shared" si="27"/>
        <v>-351.58947333277928</v>
      </c>
      <c r="AL11" s="19">
        <f t="shared" si="28"/>
        <v>-7840694.1400000006</v>
      </c>
      <c r="AM11" s="19">
        <f t="shared" si="29"/>
        <v>542.74444237879868</v>
      </c>
      <c r="AN11" s="19">
        <f t="shared" si="30"/>
        <v>0</v>
      </c>
      <c r="AO11" s="19" t="e">
        <f t="shared" si="31"/>
        <v>#DIV/0!</v>
      </c>
      <c r="AP11" s="19">
        <f t="shared" si="32"/>
        <v>0</v>
      </c>
      <c r="AQ11" s="19" t="e">
        <f t="shared" si="33"/>
        <v>#DIV/0!</v>
      </c>
      <c r="AR11" s="19">
        <f t="shared" si="34"/>
        <v>0</v>
      </c>
      <c r="AS11" s="19" t="e">
        <f t="shared" si="35"/>
        <v>#DIV/0!</v>
      </c>
      <c r="AT11" s="19">
        <f t="shared" si="36"/>
        <v>0</v>
      </c>
      <c r="AU11" s="19" t="e">
        <f t="shared" si="37"/>
        <v>#DIV/0!</v>
      </c>
      <c r="AV11" s="19">
        <f t="shared" si="38"/>
        <v>0</v>
      </c>
      <c r="AW11" s="19" t="e">
        <f t="shared" si="39"/>
        <v>#DIV/0!</v>
      </c>
      <c r="AX11" s="19">
        <f t="shared" si="40"/>
        <v>0</v>
      </c>
      <c r="AY11" s="19" t="e">
        <f t="shared" si="41"/>
        <v>#DIV/0!</v>
      </c>
      <c r="AZ11" s="19">
        <f t="shared" si="42"/>
        <v>0</v>
      </c>
      <c r="BA11" s="19" t="e">
        <f t="shared" si="43"/>
        <v>#DIV/0!</v>
      </c>
      <c r="BB11" s="19">
        <f t="shared" si="44"/>
        <v>0</v>
      </c>
      <c r="BC11" s="19" t="e">
        <f t="shared" si="45"/>
        <v>#DIV/0!</v>
      </c>
      <c r="BD11" s="19">
        <f t="shared" si="46"/>
        <v>0</v>
      </c>
      <c r="BE11" s="19" t="e">
        <f t="shared" si="47"/>
        <v>#DIV/0!</v>
      </c>
    </row>
    <row r="12" spans="1:57">
      <c r="A12" s="17">
        <v>4</v>
      </c>
      <c r="B12" s="17"/>
      <c r="C12" s="18" t="s">
        <v>16</v>
      </c>
      <c r="D12" s="19">
        <v>3488092</v>
      </c>
      <c r="E12" s="19">
        <v>3488092</v>
      </c>
      <c r="F12" s="19">
        <v>-3488092</v>
      </c>
      <c r="G12" s="19"/>
      <c r="H12" s="18"/>
      <c r="I12" s="18"/>
      <c r="J12" s="18"/>
      <c r="K12" s="18"/>
      <c r="L12" s="18"/>
      <c r="M12" s="18"/>
      <c r="N12" s="18"/>
      <c r="O12" s="18"/>
      <c r="Q12" s="17">
        <v>4</v>
      </c>
      <c r="R12" s="18" t="s">
        <v>16</v>
      </c>
      <c r="S12" s="19">
        <v>8015836.9800000004</v>
      </c>
      <c r="T12" s="19">
        <v>8015836.9800000004</v>
      </c>
      <c r="U12" s="19">
        <v>8015836.9800000004</v>
      </c>
      <c r="V12" s="19"/>
      <c r="W12" s="18"/>
      <c r="X12" s="18"/>
      <c r="Y12" s="18"/>
      <c r="Z12" s="18"/>
      <c r="AA12" s="18"/>
      <c r="AB12" s="18"/>
      <c r="AC12" s="18"/>
      <c r="AD12" s="18"/>
      <c r="AF12" s="17">
        <v>4</v>
      </c>
      <c r="AG12" s="18" t="s">
        <v>16</v>
      </c>
      <c r="AH12" s="19">
        <f t="shared" si="24"/>
        <v>-4527744.9800000004</v>
      </c>
      <c r="AI12" s="19">
        <f t="shared" si="25"/>
        <v>-129.80577863198565</v>
      </c>
      <c r="AJ12" s="19">
        <f t="shared" si="26"/>
        <v>-4527744.9800000004</v>
      </c>
      <c r="AK12" s="19">
        <f t="shared" si="27"/>
        <v>-129.80577863198565</v>
      </c>
      <c r="AL12" s="19">
        <f t="shared" si="28"/>
        <v>-11503928.98</v>
      </c>
      <c r="AM12" s="19">
        <f t="shared" si="29"/>
        <v>329.80577863198562</v>
      </c>
      <c r="AN12" s="19">
        <f t="shared" si="30"/>
        <v>0</v>
      </c>
      <c r="AO12" s="19" t="e">
        <f t="shared" si="31"/>
        <v>#DIV/0!</v>
      </c>
      <c r="AP12" s="19">
        <f t="shared" si="32"/>
        <v>0</v>
      </c>
      <c r="AQ12" s="19" t="e">
        <f t="shared" si="33"/>
        <v>#DIV/0!</v>
      </c>
      <c r="AR12" s="19">
        <f t="shared" si="34"/>
        <v>0</v>
      </c>
      <c r="AS12" s="19" t="e">
        <f t="shared" si="35"/>
        <v>#DIV/0!</v>
      </c>
      <c r="AT12" s="19">
        <f t="shared" si="36"/>
        <v>0</v>
      </c>
      <c r="AU12" s="19" t="e">
        <f t="shared" si="37"/>
        <v>#DIV/0!</v>
      </c>
      <c r="AV12" s="19">
        <f t="shared" si="38"/>
        <v>0</v>
      </c>
      <c r="AW12" s="19" t="e">
        <f t="shared" si="39"/>
        <v>#DIV/0!</v>
      </c>
      <c r="AX12" s="19">
        <f t="shared" si="40"/>
        <v>0</v>
      </c>
      <c r="AY12" s="19" t="e">
        <f t="shared" si="41"/>
        <v>#DIV/0!</v>
      </c>
      <c r="AZ12" s="19">
        <f t="shared" si="42"/>
        <v>0</v>
      </c>
      <c r="BA12" s="19" t="e">
        <f t="shared" si="43"/>
        <v>#DIV/0!</v>
      </c>
      <c r="BB12" s="19">
        <f t="shared" si="44"/>
        <v>0</v>
      </c>
      <c r="BC12" s="19" t="e">
        <f t="shared" si="45"/>
        <v>#DIV/0!</v>
      </c>
      <c r="BD12" s="19">
        <f t="shared" si="46"/>
        <v>0</v>
      </c>
      <c r="BE12" s="19" t="e">
        <f t="shared" si="47"/>
        <v>#DIV/0!</v>
      </c>
    </row>
    <row r="13" spans="1:57" ht="25.2" thickBot="1">
      <c r="A13" s="20"/>
      <c r="B13" s="20"/>
      <c r="C13" s="20" t="s">
        <v>17</v>
      </c>
      <c r="D13" s="21">
        <f>SUM(D8:D12)</f>
        <v>38271828.189999998</v>
      </c>
      <c r="E13" s="21">
        <f t="shared" ref="E13:O13" si="48">SUM(E8:E12)</f>
        <v>38386325.149999999</v>
      </c>
      <c r="F13" s="21">
        <f t="shared" si="48"/>
        <v>-38504638.650000006</v>
      </c>
      <c r="G13" s="21">
        <f t="shared" si="48"/>
        <v>0</v>
      </c>
      <c r="H13" s="21">
        <f t="shared" si="48"/>
        <v>0</v>
      </c>
      <c r="I13" s="21">
        <f t="shared" si="48"/>
        <v>0</v>
      </c>
      <c r="J13" s="21">
        <f t="shared" si="48"/>
        <v>0</v>
      </c>
      <c r="K13" s="21">
        <f t="shared" si="48"/>
        <v>0</v>
      </c>
      <c r="L13" s="21">
        <f t="shared" si="48"/>
        <v>0</v>
      </c>
      <c r="M13" s="21">
        <f t="shared" si="48"/>
        <v>0</v>
      </c>
      <c r="N13" s="21">
        <f t="shared" si="48"/>
        <v>0</v>
      </c>
      <c r="O13" s="21">
        <f t="shared" si="48"/>
        <v>0</v>
      </c>
      <c r="Q13" s="20"/>
      <c r="R13" s="20" t="s">
        <v>17</v>
      </c>
      <c r="S13" s="21">
        <f>SUM(S8:S12)</f>
        <v>49796283.280000001</v>
      </c>
      <c r="T13" s="21">
        <f t="shared" ref="T13:AD13" si="49">SUM(T8:T12)</f>
        <v>49881433.390000001</v>
      </c>
      <c r="U13" s="21">
        <f t="shared" si="49"/>
        <v>49966583.5</v>
      </c>
      <c r="V13" s="21">
        <f t="shared" si="49"/>
        <v>0</v>
      </c>
      <c r="W13" s="21">
        <f t="shared" si="49"/>
        <v>0</v>
      </c>
      <c r="X13" s="21">
        <f t="shared" si="49"/>
        <v>0</v>
      </c>
      <c r="Y13" s="21">
        <f t="shared" si="49"/>
        <v>0</v>
      </c>
      <c r="Z13" s="21">
        <f t="shared" si="49"/>
        <v>0</v>
      </c>
      <c r="AA13" s="21">
        <f t="shared" si="49"/>
        <v>0</v>
      </c>
      <c r="AB13" s="21">
        <f t="shared" si="49"/>
        <v>0</v>
      </c>
      <c r="AC13" s="21">
        <f t="shared" si="49"/>
        <v>0</v>
      </c>
      <c r="AD13" s="21">
        <f t="shared" si="49"/>
        <v>0</v>
      </c>
      <c r="AF13" s="20"/>
      <c r="AG13" s="20" t="s">
        <v>17</v>
      </c>
      <c r="AH13" s="23">
        <f t="shared" ref="AH13" si="50">+D13-S13</f>
        <v>-11524455.090000004</v>
      </c>
      <c r="AI13" s="23">
        <f t="shared" ref="AI13" si="51">+AH13/D13*100</f>
        <v>-30.112110225795842</v>
      </c>
      <c r="AJ13" s="23">
        <f t="shared" ref="AJ13" si="52">+E13-T13</f>
        <v>-11495108.240000002</v>
      </c>
      <c r="AK13" s="23">
        <f t="shared" ref="AK13" si="53">+AJ13/E13*100</f>
        <v>-29.945841898335512</v>
      </c>
      <c r="AL13" s="23">
        <f t="shared" ref="AL13" si="54">+F13-U13</f>
        <v>-88471222.150000006</v>
      </c>
      <c r="AM13" s="23">
        <f t="shared" ref="AM13" si="55">+AL13/F13*100</f>
        <v>229.76769878088442</v>
      </c>
      <c r="AN13" s="23">
        <f t="shared" ref="AN13" si="56">+G13-V13</f>
        <v>0</v>
      </c>
      <c r="AO13" s="23" t="e">
        <f t="shared" ref="AO13" si="57">+AN13/G13*100</f>
        <v>#DIV/0!</v>
      </c>
      <c r="AP13" s="23">
        <f t="shared" ref="AP13" si="58">+H13-W13</f>
        <v>0</v>
      </c>
      <c r="AQ13" s="23" t="e">
        <f t="shared" ref="AQ13" si="59">+AP13/H13*100</f>
        <v>#DIV/0!</v>
      </c>
      <c r="AR13" s="23">
        <f t="shared" ref="AR13" si="60">+I13-X13</f>
        <v>0</v>
      </c>
      <c r="AS13" s="23" t="e">
        <f t="shared" ref="AS13" si="61">+AR13/I13*100</f>
        <v>#DIV/0!</v>
      </c>
      <c r="AT13" s="23">
        <f t="shared" ref="AT13" si="62">+J13-Y13</f>
        <v>0</v>
      </c>
      <c r="AU13" s="23" t="e">
        <f t="shared" ref="AU13" si="63">+AT13/J13*100</f>
        <v>#DIV/0!</v>
      </c>
      <c r="AV13" s="23">
        <f t="shared" ref="AV13" si="64">+K13-Z13</f>
        <v>0</v>
      </c>
      <c r="AW13" s="23" t="e">
        <f t="shared" ref="AW13" si="65">+AV13/K13*100</f>
        <v>#DIV/0!</v>
      </c>
      <c r="AX13" s="23">
        <f t="shared" ref="AX13" si="66">+L13-AA13</f>
        <v>0</v>
      </c>
      <c r="AY13" s="23" t="e">
        <f t="shared" ref="AY13" si="67">+AX13/L13*100</f>
        <v>#DIV/0!</v>
      </c>
      <c r="AZ13" s="23">
        <f t="shared" ref="AZ13" si="68">+M13-AB13</f>
        <v>0</v>
      </c>
      <c r="BA13" s="23" t="e">
        <f t="shared" ref="BA13" si="69">+AZ13/M13*100</f>
        <v>#DIV/0!</v>
      </c>
      <c r="BB13" s="23">
        <f t="shared" ref="BB13" si="70">+N13-AC13</f>
        <v>0</v>
      </c>
      <c r="BC13" s="23" t="e">
        <f t="shared" ref="BC13" si="71">+BB13/N13*100</f>
        <v>#DIV/0!</v>
      </c>
      <c r="BD13" s="23">
        <f t="shared" ref="BD13" si="72">+O13-AD13</f>
        <v>0</v>
      </c>
      <c r="BE13" s="23" t="e">
        <f t="shared" ref="BE13" si="73">+BD13/O13*100</f>
        <v>#DIV/0!</v>
      </c>
    </row>
    <row r="15" spans="1:57">
      <c r="A15" s="37" t="s">
        <v>47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Q15" s="37" t="s">
        <v>51</v>
      </c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F15" s="37" t="s">
        <v>88</v>
      </c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</row>
    <row r="16" spans="1:57">
      <c r="A16" s="37" t="s">
        <v>1943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Q16" s="37" t="s">
        <v>1</v>
      </c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F16" s="37" t="s">
        <v>1</v>
      </c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</row>
    <row r="17" spans="1:57" s="25" customFormat="1">
      <c r="A17" s="35" t="s">
        <v>2</v>
      </c>
      <c r="B17" s="30"/>
      <c r="C17" s="35" t="s">
        <v>3</v>
      </c>
      <c r="D17" s="38" t="s">
        <v>4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40"/>
      <c r="Q17" s="35" t="s">
        <v>2</v>
      </c>
      <c r="R17" s="35" t="s">
        <v>3</v>
      </c>
      <c r="S17" s="38" t="s">
        <v>5</v>
      </c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40"/>
      <c r="AF17" s="35" t="s">
        <v>2</v>
      </c>
      <c r="AG17" s="35" t="s">
        <v>3</v>
      </c>
      <c r="AH17" s="33">
        <v>25112</v>
      </c>
      <c r="AI17" s="34"/>
      <c r="AJ17" s="33">
        <v>25143</v>
      </c>
      <c r="AK17" s="34"/>
      <c r="AL17" s="33">
        <v>25173</v>
      </c>
      <c r="AM17" s="34"/>
      <c r="AN17" s="33">
        <v>25204</v>
      </c>
      <c r="AO17" s="34"/>
      <c r="AP17" s="33">
        <v>25235</v>
      </c>
      <c r="AQ17" s="34"/>
      <c r="AR17" s="33">
        <v>25263</v>
      </c>
      <c r="AS17" s="34"/>
      <c r="AT17" s="33">
        <v>25294</v>
      </c>
      <c r="AU17" s="34"/>
      <c r="AV17" s="33">
        <v>25324</v>
      </c>
      <c r="AW17" s="34"/>
      <c r="AX17" s="33">
        <v>25355</v>
      </c>
      <c r="AY17" s="34"/>
      <c r="AZ17" s="33">
        <v>25385</v>
      </c>
      <c r="BA17" s="34"/>
      <c r="BB17" s="33">
        <v>25416</v>
      </c>
      <c r="BC17" s="34"/>
      <c r="BD17" s="33">
        <v>25447</v>
      </c>
      <c r="BE17" s="34"/>
    </row>
    <row r="18" spans="1:57" s="25" customFormat="1">
      <c r="A18" s="36"/>
      <c r="B18" s="31"/>
      <c r="C18" s="36"/>
      <c r="D18" s="16">
        <v>25112</v>
      </c>
      <c r="E18" s="16">
        <v>25143</v>
      </c>
      <c r="F18" s="16">
        <v>25173</v>
      </c>
      <c r="G18" s="16">
        <v>25204</v>
      </c>
      <c r="H18" s="16">
        <v>25235</v>
      </c>
      <c r="I18" s="16">
        <v>25263</v>
      </c>
      <c r="J18" s="16">
        <v>25294</v>
      </c>
      <c r="K18" s="16">
        <v>25324</v>
      </c>
      <c r="L18" s="16">
        <v>25355</v>
      </c>
      <c r="M18" s="16">
        <v>25385</v>
      </c>
      <c r="N18" s="16">
        <v>25416</v>
      </c>
      <c r="O18" s="16">
        <v>25447</v>
      </c>
      <c r="Q18" s="36"/>
      <c r="R18" s="36"/>
      <c r="S18" s="16">
        <v>25112</v>
      </c>
      <c r="T18" s="16">
        <v>25143</v>
      </c>
      <c r="U18" s="16">
        <v>25173</v>
      </c>
      <c r="V18" s="16">
        <v>25204</v>
      </c>
      <c r="W18" s="16">
        <v>25235</v>
      </c>
      <c r="X18" s="16">
        <v>25263</v>
      </c>
      <c r="Y18" s="16">
        <v>25294</v>
      </c>
      <c r="Z18" s="16">
        <v>25324</v>
      </c>
      <c r="AA18" s="16">
        <v>25355</v>
      </c>
      <c r="AB18" s="16">
        <v>25385</v>
      </c>
      <c r="AC18" s="16">
        <v>25416</v>
      </c>
      <c r="AD18" s="16">
        <v>25447</v>
      </c>
      <c r="AF18" s="36"/>
      <c r="AG18" s="36"/>
      <c r="AH18" s="16" t="s">
        <v>85</v>
      </c>
      <c r="AI18" s="16" t="s">
        <v>86</v>
      </c>
      <c r="AJ18" s="16" t="s">
        <v>85</v>
      </c>
      <c r="AK18" s="16" t="s">
        <v>86</v>
      </c>
      <c r="AL18" s="16" t="s">
        <v>85</v>
      </c>
      <c r="AM18" s="16" t="s">
        <v>86</v>
      </c>
      <c r="AN18" s="16" t="s">
        <v>85</v>
      </c>
      <c r="AO18" s="16" t="s">
        <v>86</v>
      </c>
      <c r="AP18" s="16" t="s">
        <v>85</v>
      </c>
      <c r="AQ18" s="16" t="s">
        <v>86</v>
      </c>
      <c r="AR18" s="16" t="s">
        <v>85</v>
      </c>
      <c r="AS18" s="16" t="s">
        <v>86</v>
      </c>
      <c r="AT18" s="16" t="s">
        <v>85</v>
      </c>
      <c r="AU18" s="16" t="s">
        <v>86</v>
      </c>
      <c r="AV18" s="16" t="s">
        <v>85</v>
      </c>
      <c r="AW18" s="16" t="s">
        <v>86</v>
      </c>
      <c r="AX18" s="16" t="s">
        <v>85</v>
      </c>
      <c r="AY18" s="16" t="s">
        <v>86</v>
      </c>
      <c r="AZ18" s="16" t="s">
        <v>85</v>
      </c>
      <c r="BA18" s="16" t="s">
        <v>86</v>
      </c>
      <c r="BB18" s="16" t="s">
        <v>85</v>
      </c>
      <c r="BC18" s="16" t="s">
        <v>86</v>
      </c>
      <c r="BD18" s="16" t="s">
        <v>85</v>
      </c>
      <c r="BE18" s="16" t="s">
        <v>86</v>
      </c>
    </row>
    <row r="19" spans="1:57">
      <c r="A19" s="17">
        <v>1</v>
      </c>
      <c r="B19" s="17"/>
      <c r="C19" s="18" t="s">
        <v>18</v>
      </c>
      <c r="D19" s="19"/>
      <c r="E19" s="19"/>
      <c r="F19" s="19"/>
      <c r="G19" s="19"/>
      <c r="H19" s="19"/>
      <c r="I19" s="19"/>
      <c r="J19" s="19"/>
      <c r="K19" s="19"/>
      <c r="L19" s="19"/>
      <c r="M19" s="19">
        <v>104270</v>
      </c>
      <c r="N19" s="19"/>
      <c r="O19" s="19"/>
      <c r="P19" s="26"/>
      <c r="Q19" s="17">
        <v>1</v>
      </c>
      <c r="R19" s="18" t="s">
        <v>18</v>
      </c>
      <c r="S19" s="19">
        <v>2057584.75</v>
      </c>
      <c r="T19" s="19">
        <v>2057584.75</v>
      </c>
      <c r="U19" s="19">
        <v>2057584.75</v>
      </c>
      <c r="V19" s="19"/>
      <c r="W19" s="19"/>
      <c r="X19" s="19"/>
      <c r="Y19" s="19"/>
      <c r="Z19" s="19"/>
      <c r="AA19" s="19"/>
      <c r="AB19" s="19">
        <v>104270</v>
      </c>
      <c r="AC19" s="19"/>
      <c r="AD19" s="19"/>
      <c r="AF19" s="17">
        <v>1</v>
      </c>
      <c r="AG19" s="18" t="s">
        <v>18</v>
      </c>
      <c r="AH19" s="19">
        <f t="shared" ref="AH19:AH32" si="74">+D19-S19</f>
        <v>-2057584.75</v>
      </c>
      <c r="AI19" s="19" t="e">
        <f t="shared" ref="AI19:AI32" si="75">+AH19/D19*100</f>
        <v>#DIV/0!</v>
      </c>
      <c r="AJ19" s="19">
        <f t="shared" ref="AJ19:AJ32" si="76">+E19-T19</f>
        <v>-2057584.75</v>
      </c>
      <c r="AK19" s="19" t="e">
        <f t="shared" ref="AK19:AK32" si="77">+AJ19/E19*100</f>
        <v>#DIV/0!</v>
      </c>
      <c r="AL19" s="19">
        <f t="shared" ref="AL19:AL32" si="78">+F19-U19</f>
        <v>-2057584.75</v>
      </c>
      <c r="AM19" s="19" t="e">
        <f t="shared" ref="AM19:AM32" si="79">+AL19/F19*100</f>
        <v>#DIV/0!</v>
      </c>
      <c r="AN19" s="19">
        <f t="shared" ref="AN19:AN32" si="80">+G19-V19</f>
        <v>0</v>
      </c>
      <c r="AO19" s="19" t="e">
        <f t="shared" ref="AO19:AO32" si="81">+AN19/G19*100</f>
        <v>#DIV/0!</v>
      </c>
      <c r="AP19" s="19">
        <f t="shared" ref="AP19:AP32" si="82">+H19-W19</f>
        <v>0</v>
      </c>
      <c r="AQ19" s="19" t="e">
        <f t="shared" ref="AQ19:AQ32" si="83">+AP19/H19*100</f>
        <v>#DIV/0!</v>
      </c>
      <c r="AR19" s="19">
        <f t="shared" ref="AR19:AR32" si="84">+I19-X19</f>
        <v>0</v>
      </c>
      <c r="AS19" s="19" t="e">
        <f t="shared" ref="AS19:AS32" si="85">+AR19/I19*100</f>
        <v>#DIV/0!</v>
      </c>
      <c r="AT19" s="19">
        <f t="shared" ref="AT19:AT32" si="86">+J19-Y19</f>
        <v>0</v>
      </c>
      <c r="AU19" s="19" t="e">
        <f t="shared" ref="AU19:AU32" si="87">+AT19/J19*100</f>
        <v>#DIV/0!</v>
      </c>
      <c r="AV19" s="19">
        <f t="shared" ref="AV19:AV32" si="88">+K19-Z19</f>
        <v>0</v>
      </c>
      <c r="AW19" s="19" t="e">
        <f t="shared" ref="AW19:AW32" si="89">+AV19/K19*100</f>
        <v>#DIV/0!</v>
      </c>
      <c r="AX19" s="19">
        <f t="shared" ref="AX19:AX32" si="90">+L19-AA19</f>
        <v>0</v>
      </c>
      <c r="AY19" s="19" t="e">
        <f t="shared" ref="AY19:AY32" si="91">+AX19/L19*100</f>
        <v>#DIV/0!</v>
      </c>
      <c r="AZ19" s="19">
        <f t="shared" ref="AZ19:AZ32" si="92">+M19-AB19</f>
        <v>0</v>
      </c>
      <c r="BA19" s="19">
        <f t="shared" ref="BA19:BA32" si="93">+AZ19/M19*100</f>
        <v>0</v>
      </c>
      <c r="BB19" s="19">
        <f t="shared" ref="BB19:BB32" si="94">+N19-AC19</f>
        <v>0</v>
      </c>
      <c r="BC19" s="19" t="e">
        <f t="shared" ref="BC19:BC32" si="95">+BB19/N19*100</f>
        <v>#DIV/0!</v>
      </c>
      <c r="BD19" s="19">
        <f t="shared" ref="BD19:BD32" si="96">+O19-AD19</f>
        <v>0</v>
      </c>
      <c r="BE19" s="19" t="e">
        <f t="shared" ref="BE19:BE32" si="97">+BD19/O19*100</f>
        <v>#DIV/0!</v>
      </c>
    </row>
    <row r="20" spans="1:57">
      <c r="A20" s="17">
        <v>2</v>
      </c>
      <c r="B20" s="17"/>
      <c r="C20" s="18" t="s">
        <v>20</v>
      </c>
      <c r="D20" s="19">
        <v>4990000</v>
      </c>
      <c r="E20" s="19">
        <v>4990000</v>
      </c>
      <c r="F20" s="19">
        <v>4990000</v>
      </c>
      <c r="G20" s="19"/>
      <c r="H20" s="19"/>
      <c r="I20" s="19"/>
      <c r="J20" s="19"/>
      <c r="K20" s="19"/>
      <c r="L20" s="19"/>
      <c r="M20" s="19">
        <v>1645000</v>
      </c>
      <c r="N20" s="19"/>
      <c r="O20" s="19"/>
      <c r="P20" s="26"/>
      <c r="Q20" s="17">
        <v>2</v>
      </c>
      <c r="R20" s="18" t="s">
        <v>20</v>
      </c>
      <c r="S20" s="19">
        <v>9038800</v>
      </c>
      <c r="T20" s="19">
        <v>9038800</v>
      </c>
      <c r="U20" s="19">
        <v>9038800</v>
      </c>
      <c r="V20" s="19"/>
      <c r="W20" s="19"/>
      <c r="X20" s="19"/>
      <c r="Y20" s="19"/>
      <c r="Z20" s="19"/>
      <c r="AA20" s="19"/>
      <c r="AB20" s="19">
        <v>1645000</v>
      </c>
      <c r="AC20" s="19"/>
      <c r="AD20" s="19"/>
      <c r="AF20" s="17">
        <v>2</v>
      </c>
      <c r="AG20" s="18" t="s">
        <v>20</v>
      </c>
      <c r="AH20" s="19">
        <f t="shared" si="74"/>
        <v>-4048800</v>
      </c>
      <c r="AI20" s="19">
        <f t="shared" si="75"/>
        <v>-81.138276553106209</v>
      </c>
      <c r="AJ20" s="19">
        <f t="shared" si="76"/>
        <v>-4048800</v>
      </c>
      <c r="AK20" s="19">
        <f t="shared" si="77"/>
        <v>-81.138276553106209</v>
      </c>
      <c r="AL20" s="19">
        <f t="shared" si="78"/>
        <v>-4048800</v>
      </c>
      <c r="AM20" s="19">
        <f t="shared" si="79"/>
        <v>-81.138276553106209</v>
      </c>
      <c r="AN20" s="19">
        <f t="shared" si="80"/>
        <v>0</v>
      </c>
      <c r="AO20" s="19" t="e">
        <f t="shared" si="81"/>
        <v>#DIV/0!</v>
      </c>
      <c r="AP20" s="19">
        <f t="shared" si="82"/>
        <v>0</v>
      </c>
      <c r="AQ20" s="19" t="e">
        <f t="shared" si="83"/>
        <v>#DIV/0!</v>
      </c>
      <c r="AR20" s="19">
        <f t="shared" si="84"/>
        <v>0</v>
      </c>
      <c r="AS20" s="19" t="e">
        <f t="shared" si="85"/>
        <v>#DIV/0!</v>
      </c>
      <c r="AT20" s="19">
        <f t="shared" si="86"/>
        <v>0</v>
      </c>
      <c r="AU20" s="19" t="e">
        <f t="shared" si="87"/>
        <v>#DIV/0!</v>
      </c>
      <c r="AV20" s="19">
        <f t="shared" si="88"/>
        <v>0</v>
      </c>
      <c r="AW20" s="19" t="e">
        <f t="shared" si="89"/>
        <v>#DIV/0!</v>
      </c>
      <c r="AX20" s="19">
        <f t="shared" si="90"/>
        <v>0</v>
      </c>
      <c r="AY20" s="19" t="e">
        <f t="shared" si="91"/>
        <v>#DIV/0!</v>
      </c>
      <c r="AZ20" s="19">
        <f t="shared" si="92"/>
        <v>0</v>
      </c>
      <c r="BA20" s="19">
        <f t="shared" si="93"/>
        <v>0</v>
      </c>
      <c r="BB20" s="19">
        <f t="shared" si="94"/>
        <v>0</v>
      </c>
      <c r="BC20" s="19" t="e">
        <f t="shared" si="95"/>
        <v>#DIV/0!</v>
      </c>
      <c r="BD20" s="19">
        <f t="shared" si="96"/>
        <v>0</v>
      </c>
      <c r="BE20" s="19" t="e">
        <f t="shared" si="97"/>
        <v>#DIV/0!</v>
      </c>
    </row>
    <row r="21" spans="1:57">
      <c r="A21" s="17">
        <v>3</v>
      </c>
      <c r="B21" s="17"/>
      <c r="C21" s="18" t="s">
        <v>22</v>
      </c>
      <c r="D21" s="19"/>
      <c r="E21" s="19"/>
      <c r="F21" s="19"/>
      <c r="G21" s="19"/>
      <c r="H21" s="19"/>
      <c r="I21" s="19"/>
      <c r="J21" s="19"/>
      <c r="K21" s="19"/>
      <c r="L21" s="19"/>
      <c r="M21" s="19">
        <v>745000</v>
      </c>
      <c r="N21" s="19"/>
      <c r="O21" s="19"/>
      <c r="P21" s="26"/>
      <c r="Q21" s="17">
        <v>3</v>
      </c>
      <c r="R21" s="18" t="s">
        <v>22</v>
      </c>
      <c r="S21" s="19">
        <v>1020287.16</v>
      </c>
      <c r="T21" s="19">
        <v>1020287.16</v>
      </c>
      <c r="U21" s="19">
        <v>1020287.16</v>
      </c>
      <c r="V21" s="19"/>
      <c r="W21" s="19"/>
      <c r="X21" s="19"/>
      <c r="Y21" s="19"/>
      <c r="Z21" s="19"/>
      <c r="AA21" s="19"/>
      <c r="AB21" s="19">
        <v>745000</v>
      </c>
      <c r="AC21" s="19"/>
      <c r="AD21" s="19"/>
      <c r="AF21" s="17">
        <v>3</v>
      </c>
      <c r="AG21" s="18" t="s">
        <v>22</v>
      </c>
      <c r="AH21" s="19">
        <f t="shared" si="74"/>
        <v>-1020287.16</v>
      </c>
      <c r="AI21" s="19" t="e">
        <f t="shared" si="75"/>
        <v>#DIV/0!</v>
      </c>
      <c r="AJ21" s="19">
        <f t="shared" si="76"/>
        <v>-1020287.16</v>
      </c>
      <c r="AK21" s="19" t="e">
        <f t="shared" si="77"/>
        <v>#DIV/0!</v>
      </c>
      <c r="AL21" s="19">
        <f t="shared" si="78"/>
        <v>-1020287.16</v>
      </c>
      <c r="AM21" s="19" t="e">
        <f t="shared" si="79"/>
        <v>#DIV/0!</v>
      </c>
      <c r="AN21" s="19">
        <f t="shared" si="80"/>
        <v>0</v>
      </c>
      <c r="AO21" s="19" t="e">
        <f t="shared" si="81"/>
        <v>#DIV/0!</v>
      </c>
      <c r="AP21" s="19">
        <f t="shared" si="82"/>
        <v>0</v>
      </c>
      <c r="AQ21" s="19" t="e">
        <f t="shared" si="83"/>
        <v>#DIV/0!</v>
      </c>
      <c r="AR21" s="19">
        <f t="shared" si="84"/>
        <v>0</v>
      </c>
      <c r="AS21" s="19" t="e">
        <f t="shared" si="85"/>
        <v>#DIV/0!</v>
      </c>
      <c r="AT21" s="19">
        <f t="shared" si="86"/>
        <v>0</v>
      </c>
      <c r="AU21" s="19" t="e">
        <f t="shared" si="87"/>
        <v>#DIV/0!</v>
      </c>
      <c r="AV21" s="19">
        <f t="shared" si="88"/>
        <v>0</v>
      </c>
      <c r="AW21" s="19" t="e">
        <f t="shared" si="89"/>
        <v>#DIV/0!</v>
      </c>
      <c r="AX21" s="19">
        <f t="shared" si="90"/>
        <v>0</v>
      </c>
      <c r="AY21" s="19" t="e">
        <f t="shared" si="91"/>
        <v>#DIV/0!</v>
      </c>
      <c r="AZ21" s="19">
        <f t="shared" si="92"/>
        <v>0</v>
      </c>
      <c r="BA21" s="19">
        <f t="shared" si="93"/>
        <v>0</v>
      </c>
      <c r="BB21" s="19">
        <f t="shared" si="94"/>
        <v>0</v>
      </c>
      <c r="BC21" s="19" t="e">
        <f t="shared" si="95"/>
        <v>#DIV/0!</v>
      </c>
      <c r="BD21" s="19">
        <f t="shared" si="96"/>
        <v>0</v>
      </c>
      <c r="BE21" s="19" t="e">
        <f t="shared" si="97"/>
        <v>#DIV/0!</v>
      </c>
    </row>
    <row r="22" spans="1:57">
      <c r="A22" s="17">
        <v>4</v>
      </c>
      <c r="B22" s="17"/>
      <c r="C22" s="18" t="s">
        <v>24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6"/>
      <c r="Q22" s="17">
        <v>4</v>
      </c>
      <c r="R22" s="18" t="s">
        <v>24</v>
      </c>
      <c r="S22" s="19">
        <v>274620</v>
      </c>
      <c r="T22" s="19">
        <v>274620</v>
      </c>
      <c r="U22" s="19">
        <v>274620</v>
      </c>
      <c r="V22" s="19"/>
      <c r="W22" s="19"/>
      <c r="X22" s="19"/>
      <c r="Y22" s="19"/>
      <c r="Z22" s="19"/>
      <c r="AA22" s="19"/>
      <c r="AB22" s="19"/>
      <c r="AC22" s="19"/>
      <c r="AD22" s="19"/>
      <c r="AF22" s="17">
        <v>4</v>
      </c>
      <c r="AG22" s="18" t="s">
        <v>24</v>
      </c>
      <c r="AH22" s="19">
        <f t="shared" si="74"/>
        <v>-274620</v>
      </c>
      <c r="AI22" s="19" t="e">
        <f t="shared" si="75"/>
        <v>#DIV/0!</v>
      </c>
      <c r="AJ22" s="19">
        <f t="shared" si="76"/>
        <v>-274620</v>
      </c>
      <c r="AK22" s="19" t="e">
        <f t="shared" si="77"/>
        <v>#DIV/0!</v>
      </c>
      <c r="AL22" s="19">
        <f t="shared" si="78"/>
        <v>-274620</v>
      </c>
      <c r="AM22" s="19" t="e">
        <f t="shared" si="79"/>
        <v>#DIV/0!</v>
      </c>
      <c r="AN22" s="19">
        <f t="shared" si="80"/>
        <v>0</v>
      </c>
      <c r="AO22" s="19" t="e">
        <f t="shared" si="81"/>
        <v>#DIV/0!</v>
      </c>
      <c r="AP22" s="19">
        <f t="shared" si="82"/>
        <v>0</v>
      </c>
      <c r="AQ22" s="19" t="e">
        <f t="shared" si="83"/>
        <v>#DIV/0!</v>
      </c>
      <c r="AR22" s="19">
        <f t="shared" si="84"/>
        <v>0</v>
      </c>
      <c r="AS22" s="19" t="e">
        <f t="shared" si="85"/>
        <v>#DIV/0!</v>
      </c>
      <c r="AT22" s="19">
        <f t="shared" si="86"/>
        <v>0</v>
      </c>
      <c r="AU22" s="19" t="e">
        <f t="shared" si="87"/>
        <v>#DIV/0!</v>
      </c>
      <c r="AV22" s="19">
        <f t="shared" si="88"/>
        <v>0</v>
      </c>
      <c r="AW22" s="19" t="e">
        <f t="shared" si="89"/>
        <v>#DIV/0!</v>
      </c>
      <c r="AX22" s="19">
        <f t="shared" si="90"/>
        <v>0</v>
      </c>
      <c r="AY22" s="19" t="e">
        <f t="shared" si="91"/>
        <v>#DIV/0!</v>
      </c>
      <c r="AZ22" s="19">
        <f t="shared" si="92"/>
        <v>0</v>
      </c>
      <c r="BA22" s="19" t="e">
        <f t="shared" si="93"/>
        <v>#DIV/0!</v>
      </c>
      <c r="BB22" s="19">
        <f t="shared" si="94"/>
        <v>0</v>
      </c>
      <c r="BC22" s="19" t="e">
        <f t="shared" si="95"/>
        <v>#DIV/0!</v>
      </c>
      <c r="BD22" s="19">
        <f t="shared" si="96"/>
        <v>0</v>
      </c>
      <c r="BE22" s="19" t="e">
        <f t="shared" si="97"/>
        <v>#DIV/0!</v>
      </c>
    </row>
    <row r="23" spans="1:57">
      <c r="A23" s="17">
        <v>5</v>
      </c>
      <c r="B23" s="17"/>
      <c r="C23" s="18" t="s">
        <v>26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6"/>
      <c r="Q23" s="17">
        <v>5</v>
      </c>
      <c r="R23" s="18" t="s">
        <v>26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F23" s="17">
        <v>5</v>
      </c>
      <c r="AG23" s="18" t="s">
        <v>26</v>
      </c>
      <c r="AH23" s="19">
        <f t="shared" si="74"/>
        <v>0</v>
      </c>
      <c r="AI23" s="19" t="e">
        <f t="shared" si="75"/>
        <v>#DIV/0!</v>
      </c>
      <c r="AJ23" s="19">
        <f t="shared" si="76"/>
        <v>0</v>
      </c>
      <c r="AK23" s="19" t="e">
        <f t="shared" si="77"/>
        <v>#DIV/0!</v>
      </c>
      <c r="AL23" s="19">
        <f t="shared" si="78"/>
        <v>0</v>
      </c>
      <c r="AM23" s="19" t="e">
        <f t="shared" si="79"/>
        <v>#DIV/0!</v>
      </c>
      <c r="AN23" s="19">
        <f t="shared" si="80"/>
        <v>0</v>
      </c>
      <c r="AO23" s="19" t="e">
        <f t="shared" si="81"/>
        <v>#DIV/0!</v>
      </c>
      <c r="AP23" s="19">
        <f t="shared" si="82"/>
        <v>0</v>
      </c>
      <c r="AQ23" s="19" t="e">
        <f t="shared" si="83"/>
        <v>#DIV/0!</v>
      </c>
      <c r="AR23" s="19">
        <f t="shared" si="84"/>
        <v>0</v>
      </c>
      <c r="AS23" s="19" t="e">
        <f t="shared" si="85"/>
        <v>#DIV/0!</v>
      </c>
      <c r="AT23" s="19">
        <f t="shared" si="86"/>
        <v>0</v>
      </c>
      <c r="AU23" s="19" t="e">
        <f t="shared" si="87"/>
        <v>#DIV/0!</v>
      </c>
      <c r="AV23" s="19">
        <f t="shared" si="88"/>
        <v>0</v>
      </c>
      <c r="AW23" s="19" t="e">
        <f t="shared" si="89"/>
        <v>#DIV/0!</v>
      </c>
      <c r="AX23" s="19">
        <f t="shared" si="90"/>
        <v>0</v>
      </c>
      <c r="AY23" s="19" t="e">
        <f t="shared" si="91"/>
        <v>#DIV/0!</v>
      </c>
      <c r="AZ23" s="19">
        <f t="shared" si="92"/>
        <v>0</v>
      </c>
      <c r="BA23" s="19" t="e">
        <f t="shared" si="93"/>
        <v>#DIV/0!</v>
      </c>
      <c r="BB23" s="19">
        <f t="shared" si="94"/>
        <v>0</v>
      </c>
      <c r="BC23" s="19" t="e">
        <f t="shared" si="95"/>
        <v>#DIV/0!</v>
      </c>
      <c r="BD23" s="19">
        <f t="shared" si="96"/>
        <v>0</v>
      </c>
      <c r="BE23" s="19" t="e">
        <f t="shared" si="97"/>
        <v>#DIV/0!</v>
      </c>
    </row>
    <row r="24" spans="1:57">
      <c r="A24" s="17">
        <v>6</v>
      </c>
      <c r="B24" s="17"/>
      <c r="C24" s="18" t="s">
        <v>28</v>
      </c>
      <c r="D24" s="19">
        <v>9312277</v>
      </c>
      <c r="E24" s="19">
        <v>9312277</v>
      </c>
      <c r="F24" s="19">
        <v>9312277</v>
      </c>
      <c r="G24" s="19"/>
      <c r="H24" s="19"/>
      <c r="I24" s="19"/>
      <c r="J24" s="19"/>
      <c r="K24" s="19"/>
      <c r="L24" s="19"/>
      <c r="M24" s="19">
        <v>7908423</v>
      </c>
      <c r="N24" s="19"/>
      <c r="O24" s="19"/>
      <c r="P24" s="26"/>
      <c r="Q24" s="17">
        <v>6</v>
      </c>
      <c r="R24" s="18" t="s">
        <v>28</v>
      </c>
      <c r="S24" s="19">
        <v>19128787.77</v>
      </c>
      <c r="T24" s="19">
        <v>19128787.77</v>
      </c>
      <c r="U24" s="19">
        <v>19128787.77</v>
      </c>
      <c r="V24" s="19"/>
      <c r="W24" s="19"/>
      <c r="X24" s="19"/>
      <c r="Y24" s="19"/>
      <c r="Z24" s="19"/>
      <c r="AA24" s="19"/>
      <c r="AB24" s="19">
        <v>7908423</v>
      </c>
      <c r="AC24" s="19"/>
      <c r="AD24" s="19"/>
      <c r="AF24" s="17">
        <v>6</v>
      </c>
      <c r="AG24" s="18" t="s">
        <v>28</v>
      </c>
      <c r="AH24" s="19">
        <f t="shared" si="74"/>
        <v>-9816510.7699999996</v>
      </c>
      <c r="AI24" s="19">
        <f t="shared" si="75"/>
        <v>-105.41472048136025</v>
      </c>
      <c r="AJ24" s="19">
        <f t="shared" si="76"/>
        <v>-9816510.7699999996</v>
      </c>
      <c r="AK24" s="19">
        <f t="shared" si="77"/>
        <v>-105.41472048136025</v>
      </c>
      <c r="AL24" s="19">
        <f t="shared" si="78"/>
        <v>-9816510.7699999996</v>
      </c>
      <c r="AM24" s="19">
        <f t="shared" si="79"/>
        <v>-105.41472048136025</v>
      </c>
      <c r="AN24" s="19">
        <f t="shared" si="80"/>
        <v>0</v>
      </c>
      <c r="AO24" s="19" t="e">
        <f t="shared" si="81"/>
        <v>#DIV/0!</v>
      </c>
      <c r="AP24" s="19">
        <f t="shared" si="82"/>
        <v>0</v>
      </c>
      <c r="AQ24" s="19" t="e">
        <f t="shared" si="83"/>
        <v>#DIV/0!</v>
      </c>
      <c r="AR24" s="19">
        <f t="shared" si="84"/>
        <v>0</v>
      </c>
      <c r="AS24" s="19" t="e">
        <f t="shared" si="85"/>
        <v>#DIV/0!</v>
      </c>
      <c r="AT24" s="19">
        <f t="shared" si="86"/>
        <v>0</v>
      </c>
      <c r="AU24" s="19" t="e">
        <f t="shared" si="87"/>
        <v>#DIV/0!</v>
      </c>
      <c r="AV24" s="19">
        <f t="shared" si="88"/>
        <v>0</v>
      </c>
      <c r="AW24" s="19" t="e">
        <f t="shared" si="89"/>
        <v>#DIV/0!</v>
      </c>
      <c r="AX24" s="19">
        <f t="shared" si="90"/>
        <v>0</v>
      </c>
      <c r="AY24" s="19" t="e">
        <f t="shared" si="91"/>
        <v>#DIV/0!</v>
      </c>
      <c r="AZ24" s="19">
        <f t="shared" si="92"/>
        <v>0</v>
      </c>
      <c r="BA24" s="19">
        <f t="shared" si="93"/>
        <v>0</v>
      </c>
      <c r="BB24" s="19">
        <f t="shared" si="94"/>
        <v>0</v>
      </c>
      <c r="BC24" s="19" t="e">
        <f t="shared" si="95"/>
        <v>#DIV/0!</v>
      </c>
      <c r="BD24" s="19">
        <f t="shared" si="96"/>
        <v>0</v>
      </c>
      <c r="BE24" s="19" t="e">
        <f t="shared" si="97"/>
        <v>#DIV/0!</v>
      </c>
    </row>
    <row r="25" spans="1:57">
      <c r="A25" s="17">
        <v>7</v>
      </c>
      <c r="B25" s="17"/>
      <c r="C25" s="18" t="s">
        <v>30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6"/>
      <c r="Q25" s="17">
        <v>7</v>
      </c>
      <c r="R25" s="18" t="s">
        <v>30</v>
      </c>
      <c r="S25" s="19">
        <v>754683</v>
      </c>
      <c r="T25" s="19">
        <v>754683</v>
      </c>
      <c r="U25" s="19">
        <v>754683</v>
      </c>
      <c r="V25" s="19"/>
      <c r="W25" s="19"/>
      <c r="X25" s="19"/>
      <c r="Y25" s="19"/>
      <c r="Z25" s="19"/>
      <c r="AA25" s="19"/>
      <c r="AB25" s="19"/>
      <c r="AC25" s="19"/>
      <c r="AD25" s="19"/>
      <c r="AF25" s="17">
        <v>7</v>
      </c>
      <c r="AG25" s="18" t="s">
        <v>30</v>
      </c>
      <c r="AH25" s="19">
        <f t="shared" si="74"/>
        <v>-754683</v>
      </c>
      <c r="AI25" s="19" t="e">
        <f t="shared" si="75"/>
        <v>#DIV/0!</v>
      </c>
      <c r="AJ25" s="19">
        <f t="shared" si="76"/>
        <v>-754683</v>
      </c>
      <c r="AK25" s="19" t="e">
        <f t="shared" si="77"/>
        <v>#DIV/0!</v>
      </c>
      <c r="AL25" s="19">
        <f t="shared" si="78"/>
        <v>-754683</v>
      </c>
      <c r="AM25" s="19" t="e">
        <f t="shared" si="79"/>
        <v>#DIV/0!</v>
      </c>
      <c r="AN25" s="19">
        <f t="shared" si="80"/>
        <v>0</v>
      </c>
      <c r="AO25" s="19" t="e">
        <f t="shared" si="81"/>
        <v>#DIV/0!</v>
      </c>
      <c r="AP25" s="19">
        <f t="shared" si="82"/>
        <v>0</v>
      </c>
      <c r="AQ25" s="19" t="e">
        <f t="shared" si="83"/>
        <v>#DIV/0!</v>
      </c>
      <c r="AR25" s="19">
        <f t="shared" si="84"/>
        <v>0</v>
      </c>
      <c r="AS25" s="19" t="e">
        <f t="shared" si="85"/>
        <v>#DIV/0!</v>
      </c>
      <c r="AT25" s="19">
        <f t="shared" si="86"/>
        <v>0</v>
      </c>
      <c r="AU25" s="19" t="e">
        <f t="shared" si="87"/>
        <v>#DIV/0!</v>
      </c>
      <c r="AV25" s="19">
        <f t="shared" si="88"/>
        <v>0</v>
      </c>
      <c r="AW25" s="19" t="e">
        <f t="shared" si="89"/>
        <v>#DIV/0!</v>
      </c>
      <c r="AX25" s="19">
        <f t="shared" si="90"/>
        <v>0</v>
      </c>
      <c r="AY25" s="19" t="e">
        <f t="shared" si="91"/>
        <v>#DIV/0!</v>
      </c>
      <c r="AZ25" s="19">
        <f t="shared" si="92"/>
        <v>0</v>
      </c>
      <c r="BA25" s="19" t="e">
        <f t="shared" si="93"/>
        <v>#DIV/0!</v>
      </c>
      <c r="BB25" s="19">
        <f t="shared" si="94"/>
        <v>0</v>
      </c>
      <c r="BC25" s="19" t="e">
        <f t="shared" si="95"/>
        <v>#DIV/0!</v>
      </c>
      <c r="BD25" s="19">
        <f t="shared" si="96"/>
        <v>0</v>
      </c>
      <c r="BE25" s="19" t="e">
        <f t="shared" si="97"/>
        <v>#DIV/0!</v>
      </c>
    </row>
    <row r="26" spans="1:57">
      <c r="A26" s="17">
        <v>8</v>
      </c>
      <c r="B26" s="17"/>
      <c r="C26" s="18" t="s">
        <v>32</v>
      </c>
      <c r="D26" s="19"/>
      <c r="E26" s="19"/>
      <c r="F26" s="19"/>
      <c r="G26" s="19"/>
      <c r="H26" s="19"/>
      <c r="I26" s="19"/>
      <c r="J26" s="19"/>
      <c r="K26" s="19"/>
      <c r="L26" s="19"/>
      <c r="M26" s="19">
        <v>18280</v>
      </c>
      <c r="N26" s="19"/>
      <c r="O26" s="19"/>
      <c r="P26" s="26"/>
      <c r="Q26" s="17">
        <v>8</v>
      </c>
      <c r="R26" s="18" t="s">
        <v>32</v>
      </c>
      <c r="S26" s="19">
        <v>404392</v>
      </c>
      <c r="T26" s="19">
        <v>404392</v>
      </c>
      <c r="U26" s="19">
        <v>404392</v>
      </c>
      <c r="V26" s="19"/>
      <c r="W26" s="19"/>
      <c r="X26" s="19"/>
      <c r="Y26" s="19"/>
      <c r="Z26" s="19"/>
      <c r="AA26" s="19"/>
      <c r="AB26" s="19">
        <v>18280</v>
      </c>
      <c r="AC26" s="19"/>
      <c r="AD26" s="19"/>
      <c r="AF26" s="17">
        <v>8</v>
      </c>
      <c r="AG26" s="18" t="s">
        <v>32</v>
      </c>
      <c r="AH26" s="19">
        <f t="shared" si="74"/>
        <v>-404392</v>
      </c>
      <c r="AI26" s="19" t="e">
        <f t="shared" si="75"/>
        <v>#DIV/0!</v>
      </c>
      <c r="AJ26" s="19">
        <f t="shared" si="76"/>
        <v>-404392</v>
      </c>
      <c r="AK26" s="19" t="e">
        <f t="shared" si="77"/>
        <v>#DIV/0!</v>
      </c>
      <c r="AL26" s="19">
        <f t="shared" si="78"/>
        <v>-404392</v>
      </c>
      <c r="AM26" s="19" t="e">
        <f t="shared" si="79"/>
        <v>#DIV/0!</v>
      </c>
      <c r="AN26" s="19">
        <f t="shared" si="80"/>
        <v>0</v>
      </c>
      <c r="AO26" s="19" t="e">
        <f t="shared" si="81"/>
        <v>#DIV/0!</v>
      </c>
      <c r="AP26" s="19">
        <f t="shared" si="82"/>
        <v>0</v>
      </c>
      <c r="AQ26" s="19" t="e">
        <f t="shared" si="83"/>
        <v>#DIV/0!</v>
      </c>
      <c r="AR26" s="19">
        <f t="shared" si="84"/>
        <v>0</v>
      </c>
      <c r="AS26" s="19" t="e">
        <f t="shared" si="85"/>
        <v>#DIV/0!</v>
      </c>
      <c r="AT26" s="19">
        <f t="shared" si="86"/>
        <v>0</v>
      </c>
      <c r="AU26" s="19" t="e">
        <f t="shared" si="87"/>
        <v>#DIV/0!</v>
      </c>
      <c r="AV26" s="19">
        <f t="shared" si="88"/>
        <v>0</v>
      </c>
      <c r="AW26" s="19" t="e">
        <f t="shared" si="89"/>
        <v>#DIV/0!</v>
      </c>
      <c r="AX26" s="19">
        <f t="shared" si="90"/>
        <v>0</v>
      </c>
      <c r="AY26" s="19" t="e">
        <f t="shared" si="91"/>
        <v>#DIV/0!</v>
      </c>
      <c r="AZ26" s="19">
        <f t="shared" si="92"/>
        <v>0</v>
      </c>
      <c r="BA26" s="19">
        <f t="shared" si="93"/>
        <v>0</v>
      </c>
      <c r="BB26" s="19">
        <f t="shared" si="94"/>
        <v>0</v>
      </c>
      <c r="BC26" s="19" t="e">
        <f t="shared" si="95"/>
        <v>#DIV/0!</v>
      </c>
      <c r="BD26" s="19">
        <f t="shared" si="96"/>
        <v>0</v>
      </c>
      <c r="BE26" s="19" t="e">
        <f t="shared" si="97"/>
        <v>#DIV/0!</v>
      </c>
    </row>
    <row r="27" spans="1:57">
      <c r="A27" s="17">
        <v>9</v>
      </c>
      <c r="B27" s="17"/>
      <c r="C27" s="18" t="s">
        <v>34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6"/>
      <c r="Q27" s="17">
        <v>9</v>
      </c>
      <c r="R27" s="18" t="s">
        <v>34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F27" s="17">
        <v>9</v>
      </c>
      <c r="AG27" s="18" t="s">
        <v>34</v>
      </c>
      <c r="AH27" s="19">
        <f t="shared" si="74"/>
        <v>0</v>
      </c>
      <c r="AI27" s="19" t="e">
        <f t="shared" si="75"/>
        <v>#DIV/0!</v>
      </c>
      <c r="AJ27" s="19">
        <f t="shared" si="76"/>
        <v>0</v>
      </c>
      <c r="AK27" s="19" t="e">
        <f t="shared" si="77"/>
        <v>#DIV/0!</v>
      </c>
      <c r="AL27" s="19">
        <f t="shared" si="78"/>
        <v>0</v>
      </c>
      <c r="AM27" s="19" t="e">
        <f t="shared" si="79"/>
        <v>#DIV/0!</v>
      </c>
      <c r="AN27" s="19">
        <f t="shared" si="80"/>
        <v>0</v>
      </c>
      <c r="AO27" s="19" t="e">
        <f t="shared" si="81"/>
        <v>#DIV/0!</v>
      </c>
      <c r="AP27" s="19">
        <f t="shared" si="82"/>
        <v>0</v>
      </c>
      <c r="AQ27" s="19" t="e">
        <f t="shared" si="83"/>
        <v>#DIV/0!</v>
      </c>
      <c r="AR27" s="19">
        <f t="shared" si="84"/>
        <v>0</v>
      </c>
      <c r="AS27" s="19" t="e">
        <f t="shared" si="85"/>
        <v>#DIV/0!</v>
      </c>
      <c r="AT27" s="19">
        <f t="shared" si="86"/>
        <v>0</v>
      </c>
      <c r="AU27" s="19" t="e">
        <f t="shared" si="87"/>
        <v>#DIV/0!</v>
      </c>
      <c r="AV27" s="19">
        <f t="shared" si="88"/>
        <v>0</v>
      </c>
      <c r="AW27" s="19" t="e">
        <f t="shared" si="89"/>
        <v>#DIV/0!</v>
      </c>
      <c r="AX27" s="19">
        <f t="shared" si="90"/>
        <v>0</v>
      </c>
      <c r="AY27" s="19" t="e">
        <f t="shared" si="91"/>
        <v>#DIV/0!</v>
      </c>
      <c r="AZ27" s="19">
        <f t="shared" si="92"/>
        <v>0</v>
      </c>
      <c r="BA27" s="19" t="e">
        <f t="shared" si="93"/>
        <v>#DIV/0!</v>
      </c>
      <c r="BB27" s="19">
        <f t="shared" si="94"/>
        <v>0</v>
      </c>
      <c r="BC27" s="19" t="e">
        <f t="shared" si="95"/>
        <v>#DIV/0!</v>
      </c>
      <c r="BD27" s="19">
        <f t="shared" si="96"/>
        <v>0</v>
      </c>
      <c r="BE27" s="19" t="e">
        <f t="shared" si="97"/>
        <v>#DIV/0!</v>
      </c>
    </row>
    <row r="28" spans="1:57">
      <c r="A28" s="17">
        <v>10</v>
      </c>
      <c r="B28" s="17"/>
      <c r="C28" s="18" t="s">
        <v>36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6"/>
      <c r="Q28" s="17">
        <v>10</v>
      </c>
      <c r="R28" s="18" t="s">
        <v>36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F28" s="17">
        <v>10</v>
      </c>
      <c r="AG28" s="18" t="s">
        <v>36</v>
      </c>
      <c r="AH28" s="19">
        <f t="shared" si="74"/>
        <v>0</v>
      </c>
      <c r="AI28" s="19" t="e">
        <f t="shared" si="75"/>
        <v>#DIV/0!</v>
      </c>
      <c r="AJ28" s="19">
        <f t="shared" si="76"/>
        <v>0</v>
      </c>
      <c r="AK28" s="19" t="e">
        <f t="shared" si="77"/>
        <v>#DIV/0!</v>
      </c>
      <c r="AL28" s="19">
        <f t="shared" si="78"/>
        <v>0</v>
      </c>
      <c r="AM28" s="19" t="e">
        <f t="shared" si="79"/>
        <v>#DIV/0!</v>
      </c>
      <c r="AN28" s="19">
        <f t="shared" si="80"/>
        <v>0</v>
      </c>
      <c r="AO28" s="19" t="e">
        <f t="shared" si="81"/>
        <v>#DIV/0!</v>
      </c>
      <c r="AP28" s="19">
        <f t="shared" si="82"/>
        <v>0</v>
      </c>
      <c r="AQ28" s="19" t="e">
        <f t="shared" si="83"/>
        <v>#DIV/0!</v>
      </c>
      <c r="AR28" s="19">
        <f t="shared" si="84"/>
        <v>0</v>
      </c>
      <c r="AS28" s="19" t="e">
        <f t="shared" si="85"/>
        <v>#DIV/0!</v>
      </c>
      <c r="AT28" s="19">
        <f t="shared" si="86"/>
        <v>0</v>
      </c>
      <c r="AU28" s="19" t="e">
        <f t="shared" si="87"/>
        <v>#DIV/0!</v>
      </c>
      <c r="AV28" s="19">
        <f t="shared" si="88"/>
        <v>0</v>
      </c>
      <c r="AW28" s="19" t="e">
        <f t="shared" si="89"/>
        <v>#DIV/0!</v>
      </c>
      <c r="AX28" s="19">
        <f t="shared" si="90"/>
        <v>0</v>
      </c>
      <c r="AY28" s="19" t="e">
        <f t="shared" si="91"/>
        <v>#DIV/0!</v>
      </c>
      <c r="AZ28" s="19">
        <f t="shared" si="92"/>
        <v>0</v>
      </c>
      <c r="BA28" s="19" t="e">
        <f t="shared" si="93"/>
        <v>#DIV/0!</v>
      </c>
      <c r="BB28" s="19">
        <f t="shared" si="94"/>
        <v>0</v>
      </c>
      <c r="BC28" s="19" t="e">
        <f t="shared" si="95"/>
        <v>#DIV/0!</v>
      </c>
      <c r="BD28" s="19">
        <f t="shared" si="96"/>
        <v>0</v>
      </c>
      <c r="BE28" s="19" t="e">
        <f t="shared" si="97"/>
        <v>#DIV/0!</v>
      </c>
    </row>
    <row r="29" spans="1:57">
      <c r="A29" s="17">
        <v>11</v>
      </c>
      <c r="B29" s="17"/>
      <c r="C29" s="18" t="s">
        <v>38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6"/>
      <c r="Q29" s="17">
        <v>11</v>
      </c>
      <c r="R29" s="18" t="s">
        <v>38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F29" s="17">
        <v>11</v>
      </c>
      <c r="AG29" s="18" t="s">
        <v>38</v>
      </c>
      <c r="AH29" s="19">
        <f t="shared" si="74"/>
        <v>0</v>
      </c>
      <c r="AI29" s="19" t="e">
        <f t="shared" si="75"/>
        <v>#DIV/0!</v>
      </c>
      <c r="AJ29" s="19">
        <f t="shared" si="76"/>
        <v>0</v>
      </c>
      <c r="AK29" s="19" t="e">
        <f t="shared" si="77"/>
        <v>#DIV/0!</v>
      </c>
      <c r="AL29" s="19">
        <f t="shared" si="78"/>
        <v>0</v>
      </c>
      <c r="AM29" s="19" t="e">
        <f t="shared" si="79"/>
        <v>#DIV/0!</v>
      </c>
      <c r="AN29" s="19">
        <f t="shared" si="80"/>
        <v>0</v>
      </c>
      <c r="AO29" s="19" t="e">
        <f t="shared" si="81"/>
        <v>#DIV/0!</v>
      </c>
      <c r="AP29" s="19">
        <f t="shared" si="82"/>
        <v>0</v>
      </c>
      <c r="AQ29" s="19" t="e">
        <f t="shared" si="83"/>
        <v>#DIV/0!</v>
      </c>
      <c r="AR29" s="19">
        <f t="shared" si="84"/>
        <v>0</v>
      </c>
      <c r="AS29" s="19" t="e">
        <f t="shared" si="85"/>
        <v>#DIV/0!</v>
      </c>
      <c r="AT29" s="19">
        <f t="shared" si="86"/>
        <v>0</v>
      </c>
      <c r="AU29" s="19" t="e">
        <f t="shared" si="87"/>
        <v>#DIV/0!</v>
      </c>
      <c r="AV29" s="19">
        <f t="shared" si="88"/>
        <v>0</v>
      </c>
      <c r="AW29" s="19" t="e">
        <f t="shared" si="89"/>
        <v>#DIV/0!</v>
      </c>
      <c r="AX29" s="19">
        <f t="shared" si="90"/>
        <v>0</v>
      </c>
      <c r="AY29" s="19" t="e">
        <f t="shared" si="91"/>
        <v>#DIV/0!</v>
      </c>
      <c r="AZ29" s="19">
        <f t="shared" si="92"/>
        <v>0</v>
      </c>
      <c r="BA29" s="19" t="e">
        <f t="shared" si="93"/>
        <v>#DIV/0!</v>
      </c>
      <c r="BB29" s="19">
        <f t="shared" si="94"/>
        <v>0</v>
      </c>
      <c r="BC29" s="19" t="e">
        <f t="shared" si="95"/>
        <v>#DIV/0!</v>
      </c>
      <c r="BD29" s="19">
        <f t="shared" si="96"/>
        <v>0</v>
      </c>
      <c r="BE29" s="19" t="e">
        <f t="shared" si="97"/>
        <v>#DIV/0!</v>
      </c>
    </row>
    <row r="30" spans="1:57">
      <c r="A30" s="17">
        <v>12</v>
      </c>
      <c r="B30" s="17"/>
      <c r="C30" s="18" t="s">
        <v>40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6"/>
      <c r="Q30" s="17">
        <v>12</v>
      </c>
      <c r="R30" s="18" t="s">
        <v>40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F30" s="17">
        <v>12</v>
      </c>
      <c r="AG30" s="18" t="s">
        <v>40</v>
      </c>
      <c r="AH30" s="19">
        <f t="shared" si="74"/>
        <v>0</v>
      </c>
      <c r="AI30" s="19" t="e">
        <f t="shared" si="75"/>
        <v>#DIV/0!</v>
      </c>
      <c r="AJ30" s="19">
        <f t="shared" si="76"/>
        <v>0</v>
      </c>
      <c r="AK30" s="19" t="e">
        <f t="shared" si="77"/>
        <v>#DIV/0!</v>
      </c>
      <c r="AL30" s="19">
        <f t="shared" si="78"/>
        <v>0</v>
      </c>
      <c r="AM30" s="19" t="e">
        <f t="shared" si="79"/>
        <v>#DIV/0!</v>
      </c>
      <c r="AN30" s="19">
        <f t="shared" si="80"/>
        <v>0</v>
      </c>
      <c r="AO30" s="19" t="e">
        <f t="shared" si="81"/>
        <v>#DIV/0!</v>
      </c>
      <c r="AP30" s="19">
        <f t="shared" si="82"/>
        <v>0</v>
      </c>
      <c r="AQ30" s="19" t="e">
        <f t="shared" si="83"/>
        <v>#DIV/0!</v>
      </c>
      <c r="AR30" s="19">
        <f t="shared" si="84"/>
        <v>0</v>
      </c>
      <c r="AS30" s="19" t="e">
        <f t="shared" si="85"/>
        <v>#DIV/0!</v>
      </c>
      <c r="AT30" s="19">
        <f t="shared" si="86"/>
        <v>0</v>
      </c>
      <c r="AU30" s="19" t="e">
        <f t="shared" si="87"/>
        <v>#DIV/0!</v>
      </c>
      <c r="AV30" s="19">
        <f t="shared" si="88"/>
        <v>0</v>
      </c>
      <c r="AW30" s="19" t="e">
        <f t="shared" si="89"/>
        <v>#DIV/0!</v>
      </c>
      <c r="AX30" s="19">
        <f t="shared" si="90"/>
        <v>0</v>
      </c>
      <c r="AY30" s="19" t="e">
        <f t="shared" si="91"/>
        <v>#DIV/0!</v>
      </c>
      <c r="AZ30" s="19">
        <f t="shared" si="92"/>
        <v>0</v>
      </c>
      <c r="BA30" s="19" t="e">
        <f t="shared" si="93"/>
        <v>#DIV/0!</v>
      </c>
      <c r="BB30" s="19">
        <f t="shared" si="94"/>
        <v>0</v>
      </c>
      <c r="BC30" s="19" t="e">
        <f t="shared" si="95"/>
        <v>#DIV/0!</v>
      </c>
      <c r="BD30" s="19">
        <f t="shared" si="96"/>
        <v>0</v>
      </c>
      <c r="BE30" s="19" t="e">
        <f t="shared" si="97"/>
        <v>#DIV/0!</v>
      </c>
    </row>
    <row r="31" spans="1:57">
      <c r="A31" s="17">
        <v>13</v>
      </c>
      <c r="B31" s="17"/>
      <c r="C31" s="18" t="s">
        <v>42</v>
      </c>
      <c r="D31" s="19"/>
      <c r="E31" s="19"/>
      <c r="F31" s="19"/>
      <c r="G31" s="19"/>
      <c r="H31" s="19"/>
      <c r="I31" s="19"/>
      <c r="J31" s="19"/>
      <c r="K31" s="19"/>
      <c r="L31" s="19"/>
      <c r="M31" s="19">
        <v>172860</v>
      </c>
      <c r="N31" s="19"/>
      <c r="O31" s="19"/>
      <c r="P31" s="26"/>
      <c r="Q31" s="17">
        <v>13</v>
      </c>
      <c r="R31" s="18" t="s">
        <v>42</v>
      </c>
      <c r="S31" s="19">
        <v>5500</v>
      </c>
      <c r="T31" s="19">
        <v>5500</v>
      </c>
      <c r="U31" s="19">
        <v>5500</v>
      </c>
      <c r="V31" s="19"/>
      <c r="W31" s="19"/>
      <c r="X31" s="19"/>
      <c r="Y31" s="19"/>
      <c r="Z31" s="19"/>
      <c r="AA31" s="19"/>
      <c r="AB31" s="19">
        <v>172860</v>
      </c>
      <c r="AC31" s="19"/>
      <c r="AD31" s="19"/>
      <c r="AF31" s="17">
        <v>13</v>
      </c>
      <c r="AG31" s="18" t="s">
        <v>42</v>
      </c>
      <c r="AH31" s="19">
        <f t="shared" si="74"/>
        <v>-5500</v>
      </c>
      <c r="AI31" s="19" t="e">
        <f t="shared" si="75"/>
        <v>#DIV/0!</v>
      </c>
      <c r="AJ31" s="19">
        <f t="shared" si="76"/>
        <v>-5500</v>
      </c>
      <c r="AK31" s="19" t="e">
        <f t="shared" si="77"/>
        <v>#DIV/0!</v>
      </c>
      <c r="AL31" s="19">
        <f t="shared" si="78"/>
        <v>-5500</v>
      </c>
      <c r="AM31" s="19" t="e">
        <f t="shared" si="79"/>
        <v>#DIV/0!</v>
      </c>
      <c r="AN31" s="19">
        <f t="shared" si="80"/>
        <v>0</v>
      </c>
      <c r="AO31" s="19" t="e">
        <f t="shared" si="81"/>
        <v>#DIV/0!</v>
      </c>
      <c r="AP31" s="19">
        <f t="shared" si="82"/>
        <v>0</v>
      </c>
      <c r="AQ31" s="19" t="e">
        <f t="shared" si="83"/>
        <v>#DIV/0!</v>
      </c>
      <c r="AR31" s="19">
        <f t="shared" si="84"/>
        <v>0</v>
      </c>
      <c r="AS31" s="19" t="e">
        <f t="shared" si="85"/>
        <v>#DIV/0!</v>
      </c>
      <c r="AT31" s="19">
        <f t="shared" si="86"/>
        <v>0</v>
      </c>
      <c r="AU31" s="19" t="e">
        <f t="shared" si="87"/>
        <v>#DIV/0!</v>
      </c>
      <c r="AV31" s="19">
        <f t="shared" si="88"/>
        <v>0</v>
      </c>
      <c r="AW31" s="19" t="e">
        <f t="shared" si="89"/>
        <v>#DIV/0!</v>
      </c>
      <c r="AX31" s="19">
        <f t="shared" si="90"/>
        <v>0</v>
      </c>
      <c r="AY31" s="19" t="e">
        <f t="shared" si="91"/>
        <v>#DIV/0!</v>
      </c>
      <c r="AZ31" s="19">
        <f t="shared" si="92"/>
        <v>0</v>
      </c>
      <c r="BA31" s="19">
        <f t="shared" si="93"/>
        <v>0</v>
      </c>
      <c r="BB31" s="19">
        <f t="shared" si="94"/>
        <v>0</v>
      </c>
      <c r="BC31" s="19" t="e">
        <f t="shared" si="95"/>
        <v>#DIV/0!</v>
      </c>
      <c r="BD31" s="19">
        <f t="shared" si="96"/>
        <v>0</v>
      </c>
      <c r="BE31" s="19" t="e">
        <f t="shared" si="97"/>
        <v>#DIV/0!</v>
      </c>
    </row>
    <row r="32" spans="1:57">
      <c r="A32" s="17">
        <v>14</v>
      </c>
      <c r="B32" s="17"/>
      <c r="C32" s="18" t="s">
        <v>44</v>
      </c>
      <c r="D32" s="19"/>
      <c r="E32" s="19"/>
      <c r="F32" s="19"/>
      <c r="G32" s="19"/>
      <c r="H32" s="19"/>
      <c r="I32" s="19"/>
      <c r="J32" s="19"/>
      <c r="K32" s="19"/>
      <c r="L32" s="19"/>
      <c r="M32" s="19">
        <v>21400</v>
      </c>
      <c r="N32" s="19"/>
      <c r="O32" s="19"/>
      <c r="P32" s="26"/>
      <c r="Q32" s="17">
        <v>14</v>
      </c>
      <c r="R32" s="18" t="s">
        <v>44</v>
      </c>
      <c r="S32" s="19"/>
      <c r="T32" s="19"/>
      <c r="U32" s="19"/>
      <c r="V32" s="19"/>
      <c r="W32" s="19"/>
      <c r="X32" s="19"/>
      <c r="Y32" s="19"/>
      <c r="Z32" s="19"/>
      <c r="AA32" s="19"/>
      <c r="AB32" s="19">
        <v>21400</v>
      </c>
      <c r="AC32" s="19"/>
      <c r="AD32" s="19"/>
      <c r="AF32" s="17">
        <v>14</v>
      </c>
      <c r="AG32" s="18" t="s">
        <v>44</v>
      </c>
      <c r="AH32" s="19">
        <f t="shared" si="74"/>
        <v>0</v>
      </c>
      <c r="AI32" s="19" t="e">
        <f t="shared" si="75"/>
        <v>#DIV/0!</v>
      </c>
      <c r="AJ32" s="19">
        <f t="shared" si="76"/>
        <v>0</v>
      </c>
      <c r="AK32" s="19" t="e">
        <f t="shared" si="77"/>
        <v>#DIV/0!</v>
      </c>
      <c r="AL32" s="19">
        <f t="shared" si="78"/>
        <v>0</v>
      </c>
      <c r="AM32" s="19" t="e">
        <f t="shared" si="79"/>
        <v>#DIV/0!</v>
      </c>
      <c r="AN32" s="19">
        <f t="shared" si="80"/>
        <v>0</v>
      </c>
      <c r="AO32" s="19" t="e">
        <f t="shared" si="81"/>
        <v>#DIV/0!</v>
      </c>
      <c r="AP32" s="19">
        <f t="shared" si="82"/>
        <v>0</v>
      </c>
      <c r="AQ32" s="19" t="e">
        <f t="shared" si="83"/>
        <v>#DIV/0!</v>
      </c>
      <c r="AR32" s="19">
        <f t="shared" si="84"/>
        <v>0</v>
      </c>
      <c r="AS32" s="19" t="e">
        <f t="shared" si="85"/>
        <v>#DIV/0!</v>
      </c>
      <c r="AT32" s="19">
        <f t="shared" si="86"/>
        <v>0</v>
      </c>
      <c r="AU32" s="19" t="e">
        <f t="shared" si="87"/>
        <v>#DIV/0!</v>
      </c>
      <c r="AV32" s="19">
        <f t="shared" si="88"/>
        <v>0</v>
      </c>
      <c r="AW32" s="19" t="e">
        <f t="shared" si="89"/>
        <v>#DIV/0!</v>
      </c>
      <c r="AX32" s="19">
        <f t="shared" si="90"/>
        <v>0</v>
      </c>
      <c r="AY32" s="19" t="e">
        <f t="shared" si="91"/>
        <v>#DIV/0!</v>
      </c>
      <c r="AZ32" s="19">
        <f t="shared" si="92"/>
        <v>0</v>
      </c>
      <c r="BA32" s="19">
        <f t="shared" si="93"/>
        <v>0</v>
      </c>
      <c r="BB32" s="19">
        <f t="shared" si="94"/>
        <v>0</v>
      </c>
      <c r="BC32" s="19" t="e">
        <f t="shared" si="95"/>
        <v>#DIV/0!</v>
      </c>
      <c r="BD32" s="19">
        <f t="shared" si="96"/>
        <v>0</v>
      </c>
      <c r="BE32" s="19" t="e">
        <f t="shared" si="97"/>
        <v>#DIV/0!</v>
      </c>
    </row>
    <row r="33" spans="1:57" ht="25.2" thickBot="1">
      <c r="A33" s="17"/>
      <c r="B33" s="17"/>
      <c r="C33" s="20" t="s">
        <v>17</v>
      </c>
      <c r="D33" s="27">
        <f>SUM(D19:D32)</f>
        <v>14302277</v>
      </c>
      <c r="E33" s="27">
        <f t="shared" ref="E33:O33" si="98">SUM(E19:E32)</f>
        <v>14302277</v>
      </c>
      <c r="F33" s="27">
        <f t="shared" si="98"/>
        <v>14302277</v>
      </c>
      <c r="G33" s="27">
        <f t="shared" si="98"/>
        <v>0</v>
      </c>
      <c r="H33" s="27">
        <f t="shared" si="98"/>
        <v>0</v>
      </c>
      <c r="I33" s="27">
        <f t="shared" si="98"/>
        <v>0</v>
      </c>
      <c r="J33" s="27">
        <f t="shared" si="98"/>
        <v>0</v>
      </c>
      <c r="K33" s="27">
        <f t="shared" si="98"/>
        <v>0</v>
      </c>
      <c r="L33" s="27">
        <f t="shared" si="98"/>
        <v>0</v>
      </c>
      <c r="M33" s="27">
        <f t="shared" si="98"/>
        <v>10615233</v>
      </c>
      <c r="N33" s="27">
        <f t="shared" si="98"/>
        <v>0</v>
      </c>
      <c r="O33" s="27">
        <f t="shared" si="98"/>
        <v>0</v>
      </c>
      <c r="Q33" s="17"/>
      <c r="R33" s="20" t="s">
        <v>17</v>
      </c>
      <c r="S33" s="27">
        <f>SUM(S19:S32)</f>
        <v>32684654.68</v>
      </c>
      <c r="T33" s="27">
        <f t="shared" ref="T33:AD33" si="99">SUM(T19:T32)</f>
        <v>32684654.68</v>
      </c>
      <c r="U33" s="27">
        <f t="shared" si="99"/>
        <v>32684654.68</v>
      </c>
      <c r="V33" s="27">
        <f t="shared" si="99"/>
        <v>0</v>
      </c>
      <c r="W33" s="27">
        <f t="shared" si="99"/>
        <v>0</v>
      </c>
      <c r="X33" s="27">
        <f t="shared" si="99"/>
        <v>0</v>
      </c>
      <c r="Y33" s="27">
        <f t="shared" si="99"/>
        <v>0</v>
      </c>
      <c r="Z33" s="27">
        <f t="shared" si="99"/>
        <v>0</v>
      </c>
      <c r="AA33" s="27">
        <f t="shared" si="99"/>
        <v>0</v>
      </c>
      <c r="AB33" s="27">
        <f t="shared" si="99"/>
        <v>10615233</v>
      </c>
      <c r="AC33" s="27">
        <f t="shared" si="99"/>
        <v>0</v>
      </c>
      <c r="AD33" s="27">
        <f t="shared" si="99"/>
        <v>0</v>
      </c>
      <c r="AF33" s="17"/>
      <c r="AG33" s="20" t="s">
        <v>17</v>
      </c>
      <c r="AH33" s="23">
        <f t="shared" ref="AH33" si="100">+D33-S33</f>
        <v>-18382377.68</v>
      </c>
      <c r="AI33" s="23">
        <f t="shared" ref="AI33" si="101">+AH33/D33*100</f>
        <v>-128.52763011092568</v>
      </c>
      <c r="AJ33" s="23">
        <f t="shared" ref="AJ33" si="102">+E33-T33</f>
        <v>-18382377.68</v>
      </c>
      <c r="AK33" s="23">
        <f t="shared" ref="AK33" si="103">+AJ33/E33*100</f>
        <v>-128.52763011092568</v>
      </c>
      <c r="AL33" s="23">
        <f t="shared" ref="AL33" si="104">+F33-U33</f>
        <v>-18382377.68</v>
      </c>
      <c r="AM33" s="23">
        <f t="shared" ref="AM33" si="105">+AL33/F33*100</f>
        <v>-128.52763011092568</v>
      </c>
      <c r="AN33" s="23">
        <f t="shared" ref="AN33" si="106">+G33-V33</f>
        <v>0</v>
      </c>
      <c r="AO33" s="23" t="e">
        <f t="shared" ref="AO33" si="107">+AN33/G33*100</f>
        <v>#DIV/0!</v>
      </c>
      <c r="AP33" s="23">
        <f t="shared" ref="AP33" si="108">+H33-W33</f>
        <v>0</v>
      </c>
      <c r="AQ33" s="23" t="e">
        <f t="shared" ref="AQ33" si="109">+AP33/H33*100</f>
        <v>#DIV/0!</v>
      </c>
      <c r="AR33" s="23">
        <f t="shared" ref="AR33" si="110">+I33-X33</f>
        <v>0</v>
      </c>
      <c r="AS33" s="23" t="e">
        <f t="shared" ref="AS33" si="111">+AR33/I33*100</f>
        <v>#DIV/0!</v>
      </c>
      <c r="AT33" s="23">
        <f t="shared" ref="AT33" si="112">+J33-Y33</f>
        <v>0</v>
      </c>
      <c r="AU33" s="23" t="e">
        <f t="shared" ref="AU33" si="113">+AT33/J33*100</f>
        <v>#DIV/0!</v>
      </c>
      <c r="AV33" s="23">
        <f t="shared" ref="AV33" si="114">+K33-Z33</f>
        <v>0</v>
      </c>
      <c r="AW33" s="23" t="e">
        <f t="shared" ref="AW33" si="115">+AV33/K33*100</f>
        <v>#DIV/0!</v>
      </c>
      <c r="AX33" s="23">
        <f t="shared" ref="AX33" si="116">+L33-AA33</f>
        <v>0</v>
      </c>
      <c r="AY33" s="23" t="e">
        <f t="shared" ref="AY33" si="117">+AX33/L33*100</f>
        <v>#DIV/0!</v>
      </c>
      <c r="AZ33" s="23">
        <f t="shared" ref="AZ33" si="118">+M33-AB33</f>
        <v>0</v>
      </c>
      <c r="BA33" s="23">
        <f t="shared" ref="BA33" si="119">+AZ33/M33*100</f>
        <v>0</v>
      </c>
      <c r="BB33" s="23">
        <f t="shared" ref="BB33" si="120">+N33-AC33</f>
        <v>0</v>
      </c>
      <c r="BC33" s="23" t="e">
        <f t="shared" ref="BC33" si="121">+BB33/N33*100</f>
        <v>#DIV/0!</v>
      </c>
      <c r="BD33" s="23">
        <f t="shared" ref="BD33" si="122">+O33-AD33</f>
        <v>0</v>
      </c>
      <c r="BE33" s="23" t="e">
        <f t="shared" ref="BE33" si="123">+BD33/O33*100</f>
        <v>#DIV/0!</v>
      </c>
    </row>
    <row r="34" spans="1:57" ht="25.2" thickTop="1"/>
    <row r="35" spans="1:57">
      <c r="A35" s="37" t="s">
        <v>48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Q35" s="37" t="s">
        <v>52</v>
      </c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F35" s="37" t="s">
        <v>89</v>
      </c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</row>
    <row r="36" spans="1:57">
      <c r="A36" s="37" t="s">
        <v>1943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Q36" s="37" t="s">
        <v>1</v>
      </c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F36" s="37" t="s">
        <v>1</v>
      </c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</row>
    <row r="37" spans="1:57" s="15" customFormat="1">
      <c r="A37" s="35" t="s">
        <v>2</v>
      </c>
      <c r="B37" s="30"/>
      <c r="C37" s="35" t="s">
        <v>3</v>
      </c>
      <c r="D37" s="38" t="s">
        <v>4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40"/>
      <c r="Q37" s="35" t="s">
        <v>2</v>
      </c>
      <c r="R37" s="35" t="s">
        <v>3</v>
      </c>
      <c r="S37" s="38" t="s">
        <v>5</v>
      </c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40"/>
      <c r="AF37" s="35" t="s">
        <v>2</v>
      </c>
      <c r="AG37" s="35" t="s">
        <v>3</v>
      </c>
      <c r="AH37" s="33">
        <v>25112</v>
      </c>
      <c r="AI37" s="34"/>
      <c r="AJ37" s="33">
        <v>25143</v>
      </c>
      <c r="AK37" s="34"/>
      <c r="AL37" s="33">
        <v>25173</v>
      </c>
      <c r="AM37" s="34"/>
      <c r="AN37" s="33">
        <v>25204</v>
      </c>
      <c r="AO37" s="34"/>
      <c r="AP37" s="33">
        <v>25235</v>
      </c>
      <c r="AQ37" s="34"/>
      <c r="AR37" s="33">
        <v>25263</v>
      </c>
      <c r="AS37" s="34"/>
      <c r="AT37" s="33">
        <v>25294</v>
      </c>
      <c r="AU37" s="34"/>
      <c r="AV37" s="33">
        <v>25324</v>
      </c>
      <c r="AW37" s="34"/>
      <c r="AX37" s="33">
        <v>25355</v>
      </c>
      <c r="AY37" s="34"/>
      <c r="AZ37" s="33">
        <v>25385</v>
      </c>
      <c r="BA37" s="34"/>
      <c r="BB37" s="33">
        <v>25416</v>
      </c>
      <c r="BC37" s="34"/>
      <c r="BD37" s="33">
        <v>25447</v>
      </c>
      <c r="BE37" s="34"/>
    </row>
    <row r="38" spans="1:57" s="15" customFormat="1">
      <c r="A38" s="36"/>
      <c r="B38" s="31"/>
      <c r="C38" s="36"/>
      <c r="D38" s="16">
        <v>25112</v>
      </c>
      <c r="E38" s="16">
        <v>25143</v>
      </c>
      <c r="F38" s="16">
        <v>25173</v>
      </c>
      <c r="G38" s="16">
        <v>25204</v>
      </c>
      <c r="H38" s="16">
        <v>25235</v>
      </c>
      <c r="I38" s="16">
        <v>25263</v>
      </c>
      <c r="J38" s="16">
        <v>25294</v>
      </c>
      <c r="K38" s="16">
        <v>25324</v>
      </c>
      <c r="L38" s="16">
        <v>25355</v>
      </c>
      <c r="M38" s="16">
        <v>25385</v>
      </c>
      <c r="N38" s="16">
        <v>25416</v>
      </c>
      <c r="O38" s="16">
        <v>25447</v>
      </c>
      <c r="Q38" s="36"/>
      <c r="R38" s="36"/>
      <c r="S38" s="16">
        <v>25112</v>
      </c>
      <c r="T38" s="16">
        <v>25143</v>
      </c>
      <c r="U38" s="16">
        <v>25173</v>
      </c>
      <c r="V38" s="16">
        <v>25204</v>
      </c>
      <c r="W38" s="16">
        <v>25235</v>
      </c>
      <c r="X38" s="16">
        <v>25263</v>
      </c>
      <c r="Y38" s="16">
        <v>25294</v>
      </c>
      <c r="Z38" s="16">
        <v>25324</v>
      </c>
      <c r="AA38" s="16">
        <v>25355</v>
      </c>
      <c r="AB38" s="16">
        <v>25385</v>
      </c>
      <c r="AC38" s="16">
        <v>25416</v>
      </c>
      <c r="AD38" s="16">
        <v>25447</v>
      </c>
      <c r="AF38" s="36"/>
      <c r="AG38" s="36"/>
      <c r="AH38" s="16" t="s">
        <v>85</v>
      </c>
      <c r="AI38" s="16" t="s">
        <v>86</v>
      </c>
      <c r="AJ38" s="16" t="s">
        <v>85</v>
      </c>
      <c r="AK38" s="16" t="s">
        <v>86</v>
      </c>
      <c r="AL38" s="16" t="s">
        <v>85</v>
      </c>
      <c r="AM38" s="16" t="s">
        <v>86</v>
      </c>
      <c r="AN38" s="16" t="s">
        <v>85</v>
      </c>
      <c r="AO38" s="16" t="s">
        <v>86</v>
      </c>
      <c r="AP38" s="16" t="s">
        <v>85</v>
      </c>
      <c r="AQ38" s="16" t="s">
        <v>86</v>
      </c>
      <c r="AR38" s="16" t="s">
        <v>85</v>
      </c>
      <c r="AS38" s="16" t="s">
        <v>86</v>
      </c>
      <c r="AT38" s="16" t="s">
        <v>85</v>
      </c>
      <c r="AU38" s="16" t="s">
        <v>86</v>
      </c>
      <c r="AV38" s="16" t="s">
        <v>85</v>
      </c>
      <c r="AW38" s="16" t="s">
        <v>86</v>
      </c>
      <c r="AX38" s="16" t="s">
        <v>85</v>
      </c>
      <c r="AY38" s="16" t="s">
        <v>86</v>
      </c>
      <c r="AZ38" s="16" t="s">
        <v>85</v>
      </c>
      <c r="BA38" s="16" t="s">
        <v>86</v>
      </c>
      <c r="BB38" s="16" t="s">
        <v>85</v>
      </c>
      <c r="BC38" s="16" t="s">
        <v>86</v>
      </c>
      <c r="BD38" s="16" t="s">
        <v>85</v>
      </c>
      <c r="BE38" s="16" t="s">
        <v>86</v>
      </c>
    </row>
    <row r="39" spans="1:57">
      <c r="A39" s="17">
        <v>1</v>
      </c>
      <c r="B39" s="17"/>
      <c r="C39" s="18" t="s">
        <v>19</v>
      </c>
      <c r="D39" s="19"/>
      <c r="E39" s="19"/>
      <c r="F39" s="19"/>
      <c r="G39" s="19"/>
      <c r="H39" s="18"/>
      <c r="I39" s="18"/>
      <c r="J39" s="18"/>
      <c r="K39" s="18"/>
      <c r="L39" s="18"/>
      <c r="M39" s="18"/>
      <c r="N39" s="18"/>
      <c r="O39" s="18"/>
      <c r="Q39" s="17">
        <v>1</v>
      </c>
      <c r="R39" s="18" t="s">
        <v>19</v>
      </c>
      <c r="S39" s="19">
        <v>2045864.75</v>
      </c>
      <c r="T39" s="19">
        <v>2046639.75</v>
      </c>
      <c r="U39" s="19">
        <v>2047414.75</v>
      </c>
      <c r="V39" s="19"/>
      <c r="W39" s="18"/>
      <c r="X39" s="18"/>
      <c r="Y39" s="18"/>
      <c r="Z39" s="18"/>
      <c r="AA39" s="18"/>
      <c r="AB39" s="18"/>
      <c r="AC39" s="18"/>
      <c r="AD39" s="18"/>
      <c r="AF39" s="17">
        <v>1</v>
      </c>
      <c r="AG39" s="18" t="s">
        <v>19</v>
      </c>
      <c r="AH39" s="19">
        <f t="shared" ref="AH39:AH52" si="124">+D39-S39</f>
        <v>-2045864.75</v>
      </c>
      <c r="AI39" s="19" t="e">
        <f t="shared" ref="AI39:AI52" si="125">+AH39/D39*100</f>
        <v>#DIV/0!</v>
      </c>
      <c r="AJ39" s="19">
        <f t="shared" ref="AJ39:AJ52" si="126">+E39-T39</f>
        <v>-2046639.75</v>
      </c>
      <c r="AK39" s="19" t="e">
        <f t="shared" ref="AK39:AK52" si="127">+AJ39/E39*100</f>
        <v>#DIV/0!</v>
      </c>
      <c r="AL39" s="19">
        <f t="shared" ref="AL39:AL52" si="128">+F39-U39</f>
        <v>-2047414.75</v>
      </c>
      <c r="AM39" s="19" t="e">
        <f t="shared" ref="AM39:AM52" si="129">+AL39/F39*100</f>
        <v>#DIV/0!</v>
      </c>
      <c r="AN39" s="19">
        <f t="shared" ref="AN39:AN52" si="130">+G39-V39</f>
        <v>0</v>
      </c>
      <c r="AO39" s="19" t="e">
        <f t="shared" ref="AO39:AO52" si="131">+AN39/G39*100</f>
        <v>#DIV/0!</v>
      </c>
      <c r="AP39" s="19">
        <f t="shared" ref="AP39:AP52" si="132">+H39-W39</f>
        <v>0</v>
      </c>
      <c r="AQ39" s="19" t="e">
        <f t="shared" ref="AQ39:AQ52" si="133">+AP39/H39*100</f>
        <v>#DIV/0!</v>
      </c>
      <c r="AR39" s="19">
        <f t="shared" ref="AR39:AR52" si="134">+I39-X39</f>
        <v>0</v>
      </c>
      <c r="AS39" s="19" t="e">
        <f t="shared" ref="AS39:AS52" si="135">+AR39/I39*100</f>
        <v>#DIV/0!</v>
      </c>
      <c r="AT39" s="19">
        <f t="shared" ref="AT39:AT52" si="136">+J39-Y39</f>
        <v>0</v>
      </c>
      <c r="AU39" s="19" t="e">
        <f t="shared" ref="AU39:AU52" si="137">+AT39/J39*100</f>
        <v>#DIV/0!</v>
      </c>
      <c r="AV39" s="19">
        <f t="shared" ref="AV39:AV52" si="138">+K39-Z39</f>
        <v>0</v>
      </c>
      <c r="AW39" s="19" t="e">
        <f t="shared" ref="AW39:AW52" si="139">+AV39/K39*100</f>
        <v>#DIV/0!</v>
      </c>
      <c r="AX39" s="19">
        <f t="shared" ref="AX39:AX52" si="140">+L39-AA39</f>
        <v>0</v>
      </c>
      <c r="AY39" s="19" t="e">
        <f t="shared" ref="AY39:AY52" si="141">+AX39/L39*100</f>
        <v>#DIV/0!</v>
      </c>
      <c r="AZ39" s="19">
        <f t="shared" ref="AZ39:AZ52" si="142">+M39-AB39</f>
        <v>0</v>
      </c>
      <c r="BA39" s="19" t="e">
        <f t="shared" ref="BA39:BA52" si="143">+AZ39/M39*100</f>
        <v>#DIV/0!</v>
      </c>
      <c r="BB39" s="19">
        <f t="shared" ref="BB39:BB52" si="144">+N39-AC39</f>
        <v>0</v>
      </c>
      <c r="BC39" s="19" t="e">
        <f t="shared" ref="BC39:BC52" si="145">+BB39/N39*100</f>
        <v>#DIV/0!</v>
      </c>
      <c r="BD39" s="19">
        <f t="shared" ref="BD39:BD52" si="146">+O39-AD39</f>
        <v>0</v>
      </c>
      <c r="BE39" s="19" t="e">
        <f t="shared" ref="BE39:BE52" si="147">+BD39/O39*100</f>
        <v>#DIV/0!</v>
      </c>
    </row>
    <row r="40" spans="1:57">
      <c r="A40" s="17">
        <v>2</v>
      </c>
      <c r="B40" s="17"/>
      <c r="C40" s="18" t="s">
        <v>21</v>
      </c>
      <c r="D40" s="19">
        <v>4110863.1</v>
      </c>
      <c r="E40" s="19">
        <v>4177802.44</v>
      </c>
      <c r="F40" s="19">
        <v>-4246973.12</v>
      </c>
      <c r="G40" s="19"/>
      <c r="H40" s="18"/>
      <c r="I40" s="18"/>
      <c r="J40" s="18"/>
      <c r="K40" s="18"/>
      <c r="L40" s="18"/>
      <c r="M40" s="18"/>
      <c r="N40" s="18"/>
      <c r="O40" s="18"/>
      <c r="Q40" s="17">
        <v>2</v>
      </c>
      <c r="R40" s="18" t="s">
        <v>21</v>
      </c>
      <c r="S40" s="19">
        <v>8123906.5800000001</v>
      </c>
      <c r="T40" s="19">
        <v>8207073.2400000002</v>
      </c>
      <c r="U40" s="19">
        <v>8290239.9000000004</v>
      </c>
      <c r="V40" s="19"/>
      <c r="W40" s="18"/>
      <c r="X40" s="18"/>
      <c r="Y40" s="18"/>
      <c r="Z40" s="18"/>
      <c r="AA40" s="18"/>
      <c r="AB40" s="18"/>
      <c r="AC40" s="18"/>
      <c r="AD40" s="18"/>
      <c r="AF40" s="17">
        <v>2</v>
      </c>
      <c r="AG40" s="18" t="s">
        <v>21</v>
      </c>
      <c r="AH40" s="19">
        <f t="shared" si="124"/>
        <v>-4013043.48</v>
      </c>
      <c r="AI40" s="19">
        <f t="shared" si="125"/>
        <v>-97.620460287281276</v>
      </c>
      <c r="AJ40" s="19">
        <f t="shared" si="126"/>
        <v>-4029270.8000000003</v>
      </c>
      <c r="AK40" s="19">
        <f t="shared" si="127"/>
        <v>-96.44474237034531</v>
      </c>
      <c r="AL40" s="19">
        <f t="shared" si="128"/>
        <v>-12537213.02</v>
      </c>
      <c r="AM40" s="19">
        <f t="shared" si="129"/>
        <v>295.20349354130121</v>
      </c>
      <c r="AN40" s="19">
        <f t="shared" si="130"/>
        <v>0</v>
      </c>
      <c r="AO40" s="19" t="e">
        <f t="shared" si="131"/>
        <v>#DIV/0!</v>
      </c>
      <c r="AP40" s="19">
        <f t="shared" si="132"/>
        <v>0</v>
      </c>
      <c r="AQ40" s="19" t="e">
        <f t="shared" si="133"/>
        <v>#DIV/0!</v>
      </c>
      <c r="AR40" s="19">
        <f t="shared" si="134"/>
        <v>0</v>
      </c>
      <c r="AS40" s="19" t="e">
        <f t="shared" si="135"/>
        <v>#DIV/0!</v>
      </c>
      <c r="AT40" s="19">
        <f t="shared" si="136"/>
        <v>0</v>
      </c>
      <c r="AU40" s="19" t="e">
        <f t="shared" si="137"/>
        <v>#DIV/0!</v>
      </c>
      <c r="AV40" s="19">
        <f t="shared" si="138"/>
        <v>0</v>
      </c>
      <c r="AW40" s="19" t="e">
        <f t="shared" si="139"/>
        <v>#DIV/0!</v>
      </c>
      <c r="AX40" s="19">
        <f t="shared" si="140"/>
        <v>0</v>
      </c>
      <c r="AY40" s="19" t="e">
        <f t="shared" si="141"/>
        <v>#DIV/0!</v>
      </c>
      <c r="AZ40" s="19">
        <f t="shared" si="142"/>
        <v>0</v>
      </c>
      <c r="BA40" s="19" t="e">
        <f t="shared" si="143"/>
        <v>#DIV/0!</v>
      </c>
      <c r="BB40" s="19">
        <f t="shared" si="144"/>
        <v>0</v>
      </c>
      <c r="BC40" s="19" t="e">
        <f t="shared" si="145"/>
        <v>#DIV/0!</v>
      </c>
      <c r="BD40" s="19">
        <f t="shared" si="146"/>
        <v>0</v>
      </c>
      <c r="BE40" s="19" t="e">
        <f t="shared" si="147"/>
        <v>#DIV/0!</v>
      </c>
    </row>
    <row r="41" spans="1:57">
      <c r="A41" s="17">
        <v>3</v>
      </c>
      <c r="B41" s="17"/>
      <c r="C41" s="18" t="s">
        <v>23</v>
      </c>
      <c r="D41" s="19"/>
      <c r="E41" s="19"/>
      <c r="F41" s="19"/>
      <c r="G41" s="19"/>
      <c r="H41" s="18"/>
      <c r="I41" s="18"/>
      <c r="J41" s="18"/>
      <c r="K41" s="18"/>
      <c r="L41" s="18"/>
      <c r="M41" s="18"/>
      <c r="N41" s="18"/>
      <c r="O41" s="18"/>
      <c r="Q41" s="17">
        <v>3</v>
      </c>
      <c r="R41" s="18" t="s">
        <v>23</v>
      </c>
      <c r="S41" s="19">
        <v>1020281.16</v>
      </c>
      <c r="T41" s="19">
        <v>1020281.16</v>
      </c>
      <c r="U41" s="19">
        <v>1020281.16</v>
      </c>
      <c r="V41" s="19"/>
      <c r="W41" s="18"/>
      <c r="X41" s="18"/>
      <c r="Y41" s="18"/>
      <c r="Z41" s="18"/>
      <c r="AA41" s="18"/>
      <c r="AB41" s="18"/>
      <c r="AC41" s="18"/>
      <c r="AD41" s="18"/>
      <c r="AF41" s="17">
        <v>3</v>
      </c>
      <c r="AG41" s="18" t="s">
        <v>23</v>
      </c>
      <c r="AH41" s="19">
        <f t="shared" si="124"/>
        <v>-1020281.16</v>
      </c>
      <c r="AI41" s="19" t="e">
        <f t="shared" si="125"/>
        <v>#DIV/0!</v>
      </c>
      <c r="AJ41" s="19">
        <f t="shared" si="126"/>
        <v>-1020281.16</v>
      </c>
      <c r="AK41" s="19" t="e">
        <f t="shared" si="127"/>
        <v>#DIV/0!</v>
      </c>
      <c r="AL41" s="19">
        <f t="shared" si="128"/>
        <v>-1020281.16</v>
      </c>
      <c r="AM41" s="19" t="e">
        <f t="shared" si="129"/>
        <v>#DIV/0!</v>
      </c>
      <c r="AN41" s="19">
        <f t="shared" si="130"/>
        <v>0</v>
      </c>
      <c r="AO41" s="19" t="e">
        <f t="shared" si="131"/>
        <v>#DIV/0!</v>
      </c>
      <c r="AP41" s="19">
        <f t="shared" si="132"/>
        <v>0</v>
      </c>
      <c r="AQ41" s="19" t="e">
        <f t="shared" si="133"/>
        <v>#DIV/0!</v>
      </c>
      <c r="AR41" s="19">
        <f t="shared" si="134"/>
        <v>0</v>
      </c>
      <c r="AS41" s="19" t="e">
        <f t="shared" si="135"/>
        <v>#DIV/0!</v>
      </c>
      <c r="AT41" s="19">
        <f t="shared" si="136"/>
        <v>0</v>
      </c>
      <c r="AU41" s="19" t="e">
        <f t="shared" si="137"/>
        <v>#DIV/0!</v>
      </c>
      <c r="AV41" s="19">
        <f t="shared" si="138"/>
        <v>0</v>
      </c>
      <c r="AW41" s="19" t="e">
        <f t="shared" si="139"/>
        <v>#DIV/0!</v>
      </c>
      <c r="AX41" s="19">
        <f t="shared" si="140"/>
        <v>0</v>
      </c>
      <c r="AY41" s="19" t="e">
        <f t="shared" si="141"/>
        <v>#DIV/0!</v>
      </c>
      <c r="AZ41" s="19">
        <f t="shared" si="142"/>
        <v>0</v>
      </c>
      <c r="BA41" s="19" t="e">
        <f t="shared" si="143"/>
        <v>#DIV/0!</v>
      </c>
      <c r="BB41" s="19">
        <f t="shared" si="144"/>
        <v>0</v>
      </c>
      <c r="BC41" s="19" t="e">
        <f t="shared" si="145"/>
        <v>#DIV/0!</v>
      </c>
      <c r="BD41" s="19">
        <f t="shared" si="146"/>
        <v>0</v>
      </c>
      <c r="BE41" s="19" t="e">
        <f t="shared" si="147"/>
        <v>#DIV/0!</v>
      </c>
    </row>
    <row r="42" spans="1:57">
      <c r="A42" s="17">
        <v>4</v>
      </c>
      <c r="B42" s="17"/>
      <c r="C42" s="18" t="s">
        <v>25</v>
      </c>
      <c r="D42" s="19"/>
      <c r="E42" s="19"/>
      <c r="F42" s="19"/>
      <c r="G42" s="19"/>
      <c r="H42" s="18"/>
      <c r="I42" s="18"/>
      <c r="J42" s="18"/>
      <c r="K42" s="18"/>
      <c r="L42" s="18"/>
      <c r="M42" s="18"/>
      <c r="N42" s="18"/>
      <c r="O42" s="18"/>
      <c r="Q42" s="17">
        <v>4</v>
      </c>
      <c r="R42" s="18" t="s">
        <v>25</v>
      </c>
      <c r="S42" s="19">
        <v>274606</v>
      </c>
      <c r="T42" s="19">
        <v>274606</v>
      </c>
      <c r="U42" s="19">
        <v>274606</v>
      </c>
      <c r="V42" s="19"/>
      <c r="W42" s="18"/>
      <c r="X42" s="18"/>
      <c r="Y42" s="18"/>
      <c r="Z42" s="18"/>
      <c r="AA42" s="18"/>
      <c r="AB42" s="18"/>
      <c r="AC42" s="18"/>
      <c r="AD42" s="18"/>
      <c r="AF42" s="17">
        <v>4</v>
      </c>
      <c r="AG42" s="18" t="s">
        <v>25</v>
      </c>
      <c r="AH42" s="19">
        <f t="shared" si="124"/>
        <v>-274606</v>
      </c>
      <c r="AI42" s="19" t="e">
        <f t="shared" si="125"/>
        <v>#DIV/0!</v>
      </c>
      <c r="AJ42" s="19">
        <f t="shared" si="126"/>
        <v>-274606</v>
      </c>
      <c r="AK42" s="19" t="e">
        <f t="shared" si="127"/>
        <v>#DIV/0!</v>
      </c>
      <c r="AL42" s="19">
        <f t="shared" si="128"/>
        <v>-274606</v>
      </c>
      <c r="AM42" s="19" t="e">
        <f t="shared" si="129"/>
        <v>#DIV/0!</v>
      </c>
      <c r="AN42" s="19">
        <f t="shared" si="130"/>
        <v>0</v>
      </c>
      <c r="AO42" s="19" t="e">
        <f t="shared" si="131"/>
        <v>#DIV/0!</v>
      </c>
      <c r="AP42" s="19">
        <f t="shared" si="132"/>
        <v>0</v>
      </c>
      <c r="AQ42" s="19" t="e">
        <f t="shared" si="133"/>
        <v>#DIV/0!</v>
      </c>
      <c r="AR42" s="19">
        <f t="shared" si="134"/>
        <v>0</v>
      </c>
      <c r="AS42" s="19" t="e">
        <f t="shared" si="135"/>
        <v>#DIV/0!</v>
      </c>
      <c r="AT42" s="19">
        <f t="shared" si="136"/>
        <v>0</v>
      </c>
      <c r="AU42" s="19" t="e">
        <f t="shared" si="137"/>
        <v>#DIV/0!</v>
      </c>
      <c r="AV42" s="19">
        <f t="shared" si="138"/>
        <v>0</v>
      </c>
      <c r="AW42" s="19" t="e">
        <f t="shared" si="139"/>
        <v>#DIV/0!</v>
      </c>
      <c r="AX42" s="19">
        <f t="shared" si="140"/>
        <v>0</v>
      </c>
      <c r="AY42" s="19" t="e">
        <f t="shared" si="141"/>
        <v>#DIV/0!</v>
      </c>
      <c r="AZ42" s="19">
        <f t="shared" si="142"/>
        <v>0</v>
      </c>
      <c r="BA42" s="19" t="e">
        <f t="shared" si="143"/>
        <v>#DIV/0!</v>
      </c>
      <c r="BB42" s="19">
        <f t="shared" si="144"/>
        <v>0</v>
      </c>
      <c r="BC42" s="19" t="e">
        <f t="shared" si="145"/>
        <v>#DIV/0!</v>
      </c>
      <c r="BD42" s="19">
        <f t="shared" si="146"/>
        <v>0</v>
      </c>
      <c r="BE42" s="19" t="e">
        <f t="shared" si="147"/>
        <v>#DIV/0!</v>
      </c>
    </row>
    <row r="43" spans="1:57">
      <c r="A43" s="17">
        <v>5</v>
      </c>
      <c r="B43" s="17"/>
      <c r="C43" s="18" t="s">
        <v>27</v>
      </c>
      <c r="D43" s="19"/>
      <c r="E43" s="19"/>
      <c r="F43" s="19"/>
      <c r="G43" s="19"/>
      <c r="H43" s="18"/>
      <c r="I43" s="18"/>
      <c r="J43" s="18"/>
      <c r="K43" s="18"/>
      <c r="L43" s="18"/>
      <c r="M43" s="18"/>
      <c r="N43" s="18"/>
      <c r="O43" s="18"/>
      <c r="Q43" s="17">
        <v>5</v>
      </c>
      <c r="R43" s="18" t="s">
        <v>27</v>
      </c>
      <c r="S43" s="19"/>
      <c r="T43" s="19"/>
      <c r="U43" s="19"/>
      <c r="V43" s="19"/>
      <c r="W43" s="18"/>
      <c r="X43" s="18"/>
      <c r="Y43" s="18"/>
      <c r="Z43" s="18"/>
      <c r="AA43" s="18"/>
      <c r="AB43" s="18"/>
      <c r="AC43" s="18"/>
      <c r="AD43" s="18"/>
      <c r="AF43" s="17">
        <v>5</v>
      </c>
      <c r="AG43" s="18" t="s">
        <v>27</v>
      </c>
      <c r="AH43" s="19">
        <f t="shared" si="124"/>
        <v>0</v>
      </c>
      <c r="AI43" s="19" t="e">
        <f t="shared" si="125"/>
        <v>#DIV/0!</v>
      </c>
      <c r="AJ43" s="19">
        <f t="shared" si="126"/>
        <v>0</v>
      </c>
      <c r="AK43" s="19" t="e">
        <f t="shared" si="127"/>
        <v>#DIV/0!</v>
      </c>
      <c r="AL43" s="19">
        <f t="shared" si="128"/>
        <v>0</v>
      </c>
      <c r="AM43" s="19" t="e">
        <f t="shared" si="129"/>
        <v>#DIV/0!</v>
      </c>
      <c r="AN43" s="19">
        <f t="shared" si="130"/>
        <v>0</v>
      </c>
      <c r="AO43" s="19" t="e">
        <f t="shared" si="131"/>
        <v>#DIV/0!</v>
      </c>
      <c r="AP43" s="19">
        <f t="shared" si="132"/>
        <v>0</v>
      </c>
      <c r="AQ43" s="19" t="e">
        <f t="shared" si="133"/>
        <v>#DIV/0!</v>
      </c>
      <c r="AR43" s="19">
        <f t="shared" si="134"/>
        <v>0</v>
      </c>
      <c r="AS43" s="19" t="e">
        <f t="shared" si="135"/>
        <v>#DIV/0!</v>
      </c>
      <c r="AT43" s="19">
        <f t="shared" si="136"/>
        <v>0</v>
      </c>
      <c r="AU43" s="19" t="e">
        <f t="shared" si="137"/>
        <v>#DIV/0!</v>
      </c>
      <c r="AV43" s="19">
        <f t="shared" si="138"/>
        <v>0</v>
      </c>
      <c r="AW43" s="19" t="e">
        <f t="shared" si="139"/>
        <v>#DIV/0!</v>
      </c>
      <c r="AX43" s="19">
        <f t="shared" si="140"/>
        <v>0</v>
      </c>
      <c r="AY43" s="19" t="e">
        <f t="shared" si="141"/>
        <v>#DIV/0!</v>
      </c>
      <c r="AZ43" s="19">
        <f t="shared" si="142"/>
        <v>0</v>
      </c>
      <c r="BA43" s="19" t="e">
        <f t="shared" si="143"/>
        <v>#DIV/0!</v>
      </c>
      <c r="BB43" s="19">
        <f t="shared" si="144"/>
        <v>0</v>
      </c>
      <c r="BC43" s="19" t="e">
        <f t="shared" si="145"/>
        <v>#DIV/0!</v>
      </c>
      <c r="BD43" s="19">
        <f t="shared" si="146"/>
        <v>0</v>
      </c>
      <c r="BE43" s="19" t="e">
        <f t="shared" si="147"/>
        <v>#DIV/0!</v>
      </c>
    </row>
    <row r="44" spans="1:57">
      <c r="A44" s="17">
        <v>6</v>
      </c>
      <c r="B44" s="17"/>
      <c r="C44" s="18" t="s">
        <v>29</v>
      </c>
      <c r="D44" s="19">
        <v>4298845.2699999996</v>
      </c>
      <c r="E44" s="19">
        <v>4434846.53</v>
      </c>
      <c r="F44" s="19">
        <v>-4575381.1500000004</v>
      </c>
      <c r="G44" s="19"/>
      <c r="H44" s="18"/>
      <c r="I44" s="18"/>
      <c r="J44" s="18"/>
      <c r="K44" s="18"/>
      <c r="L44" s="18"/>
      <c r="M44" s="18"/>
      <c r="N44" s="18"/>
      <c r="O44" s="18"/>
      <c r="Q44" s="17">
        <v>6</v>
      </c>
      <c r="R44" s="18" t="s">
        <v>29</v>
      </c>
      <c r="S44" s="19">
        <v>14716580.34</v>
      </c>
      <c r="T44" s="19">
        <v>14848442.880000001</v>
      </c>
      <c r="U44" s="19">
        <v>14980305.42</v>
      </c>
      <c r="V44" s="19"/>
      <c r="W44" s="18"/>
      <c r="X44" s="18"/>
      <c r="Y44" s="18"/>
      <c r="Z44" s="18"/>
      <c r="AA44" s="18"/>
      <c r="AB44" s="18"/>
      <c r="AC44" s="18"/>
      <c r="AD44" s="18"/>
      <c r="AF44" s="17">
        <v>6</v>
      </c>
      <c r="AG44" s="18" t="s">
        <v>29</v>
      </c>
      <c r="AH44" s="19">
        <f t="shared" si="124"/>
        <v>-10417735.07</v>
      </c>
      <c r="AI44" s="19">
        <f t="shared" si="125"/>
        <v>-242.33798649840685</v>
      </c>
      <c r="AJ44" s="19">
        <f t="shared" si="126"/>
        <v>-10413596.350000001</v>
      </c>
      <c r="AK44" s="19">
        <f t="shared" si="127"/>
        <v>-234.81300377715667</v>
      </c>
      <c r="AL44" s="19">
        <f t="shared" si="128"/>
        <v>-19555686.57</v>
      </c>
      <c r="AM44" s="19">
        <f t="shared" si="129"/>
        <v>427.41109273486427</v>
      </c>
      <c r="AN44" s="19">
        <f t="shared" si="130"/>
        <v>0</v>
      </c>
      <c r="AO44" s="19" t="e">
        <f t="shared" si="131"/>
        <v>#DIV/0!</v>
      </c>
      <c r="AP44" s="19">
        <f t="shared" si="132"/>
        <v>0</v>
      </c>
      <c r="AQ44" s="19" t="e">
        <f t="shared" si="133"/>
        <v>#DIV/0!</v>
      </c>
      <c r="AR44" s="19">
        <f t="shared" si="134"/>
        <v>0</v>
      </c>
      <c r="AS44" s="19" t="e">
        <f t="shared" si="135"/>
        <v>#DIV/0!</v>
      </c>
      <c r="AT44" s="19">
        <f t="shared" si="136"/>
        <v>0</v>
      </c>
      <c r="AU44" s="19" t="e">
        <f t="shared" si="137"/>
        <v>#DIV/0!</v>
      </c>
      <c r="AV44" s="19">
        <f t="shared" si="138"/>
        <v>0</v>
      </c>
      <c r="AW44" s="19" t="e">
        <f t="shared" si="139"/>
        <v>#DIV/0!</v>
      </c>
      <c r="AX44" s="19">
        <f t="shared" si="140"/>
        <v>0</v>
      </c>
      <c r="AY44" s="19" t="e">
        <f t="shared" si="141"/>
        <v>#DIV/0!</v>
      </c>
      <c r="AZ44" s="19">
        <f t="shared" si="142"/>
        <v>0</v>
      </c>
      <c r="BA44" s="19" t="e">
        <f t="shared" si="143"/>
        <v>#DIV/0!</v>
      </c>
      <c r="BB44" s="19">
        <f t="shared" si="144"/>
        <v>0</v>
      </c>
      <c r="BC44" s="19" t="e">
        <f t="shared" si="145"/>
        <v>#DIV/0!</v>
      </c>
      <c r="BD44" s="19">
        <f t="shared" si="146"/>
        <v>0</v>
      </c>
      <c r="BE44" s="19" t="e">
        <f t="shared" si="147"/>
        <v>#DIV/0!</v>
      </c>
    </row>
    <row r="45" spans="1:57">
      <c r="A45" s="17">
        <v>7</v>
      </c>
      <c r="B45" s="17"/>
      <c r="C45" s="18" t="s">
        <v>31</v>
      </c>
      <c r="D45" s="19"/>
      <c r="E45" s="19"/>
      <c r="F45" s="19"/>
      <c r="G45" s="19"/>
      <c r="H45" s="18"/>
      <c r="I45" s="18"/>
      <c r="J45" s="18"/>
      <c r="K45" s="18"/>
      <c r="L45" s="18"/>
      <c r="M45" s="18"/>
      <c r="N45" s="18"/>
      <c r="O45" s="18"/>
      <c r="Q45" s="17">
        <v>7</v>
      </c>
      <c r="R45" s="18" t="s">
        <v>31</v>
      </c>
      <c r="S45" s="19">
        <v>754646</v>
      </c>
      <c r="T45" s="19">
        <v>754646</v>
      </c>
      <c r="U45" s="19">
        <v>754646</v>
      </c>
      <c r="V45" s="19"/>
      <c r="W45" s="18"/>
      <c r="X45" s="18"/>
      <c r="Y45" s="18"/>
      <c r="Z45" s="18"/>
      <c r="AA45" s="18"/>
      <c r="AB45" s="18"/>
      <c r="AC45" s="18"/>
      <c r="AD45" s="18"/>
      <c r="AF45" s="17">
        <v>7</v>
      </c>
      <c r="AG45" s="18" t="s">
        <v>31</v>
      </c>
      <c r="AH45" s="19">
        <f t="shared" si="124"/>
        <v>-754646</v>
      </c>
      <c r="AI45" s="19" t="e">
        <f t="shared" si="125"/>
        <v>#DIV/0!</v>
      </c>
      <c r="AJ45" s="19">
        <f t="shared" si="126"/>
        <v>-754646</v>
      </c>
      <c r="AK45" s="19" t="e">
        <f t="shared" si="127"/>
        <v>#DIV/0!</v>
      </c>
      <c r="AL45" s="19">
        <f t="shared" si="128"/>
        <v>-754646</v>
      </c>
      <c r="AM45" s="19" t="e">
        <f t="shared" si="129"/>
        <v>#DIV/0!</v>
      </c>
      <c r="AN45" s="19">
        <f t="shared" si="130"/>
        <v>0</v>
      </c>
      <c r="AO45" s="19" t="e">
        <f t="shared" si="131"/>
        <v>#DIV/0!</v>
      </c>
      <c r="AP45" s="19">
        <f t="shared" si="132"/>
        <v>0</v>
      </c>
      <c r="AQ45" s="19" t="e">
        <f t="shared" si="133"/>
        <v>#DIV/0!</v>
      </c>
      <c r="AR45" s="19">
        <f t="shared" si="134"/>
        <v>0</v>
      </c>
      <c r="AS45" s="19" t="e">
        <f t="shared" si="135"/>
        <v>#DIV/0!</v>
      </c>
      <c r="AT45" s="19">
        <f t="shared" si="136"/>
        <v>0</v>
      </c>
      <c r="AU45" s="19" t="e">
        <f t="shared" si="137"/>
        <v>#DIV/0!</v>
      </c>
      <c r="AV45" s="19">
        <f t="shared" si="138"/>
        <v>0</v>
      </c>
      <c r="AW45" s="19" t="e">
        <f t="shared" si="139"/>
        <v>#DIV/0!</v>
      </c>
      <c r="AX45" s="19">
        <f t="shared" si="140"/>
        <v>0</v>
      </c>
      <c r="AY45" s="19" t="e">
        <f t="shared" si="141"/>
        <v>#DIV/0!</v>
      </c>
      <c r="AZ45" s="19">
        <f t="shared" si="142"/>
        <v>0</v>
      </c>
      <c r="BA45" s="19" t="e">
        <f t="shared" si="143"/>
        <v>#DIV/0!</v>
      </c>
      <c r="BB45" s="19">
        <f t="shared" si="144"/>
        <v>0</v>
      </c>
      <c r="BC45" s="19" t="e">
        <f t="shared" si="145"/>
        <v>#DIV/0!</v>
      </c>
      <c r="BD45" s="19">
        <f t="shared" si="146"/>
        <v>0</v>
      </c>
      <c r="BE45" s="19" t="e">
        <f t="shared" si="147"/>
        <v>#DIV/0!</v>
      </c>
    </row>
    <row r="46" spans="1:57">
      <c r="A46" s="17">
        <v>8</v>
      </c>
      <c r="B46" s="17"/>
      <c r="C46" s="18" t="s">
        <v>33</v>
      </c>
      <c r="D46" s="19"/>
      <c r="E46" s="19"/>
      <c r="F46" s="19"/>
      <c r="G46" s="19"/>
      <c r="H46" s="18"/>
      <c r="I46" s="18"/>
      <c r="J46" s="18"/>
      <c r="K46" s="18"/>
      <c r="L46" s="18"/>
      <c r="M46" s="18"/>
      <c r="N46" s="18"/>
      <c r="O46" s="18"/>
      <c r="Q46" s="17">
        <v>8</v>
      </c>
      <c r="R46" s="18" t="s">
        <v>33</v>
      </c>
      <c r="S46" s="19">
        <v>404376</v>
      </c>
      <c r="T46" s="19">
        <v>404376</v>
      </c>
      <c r="U46" s="19">
        <v>404376</v>
      </c>
      <c r="V46" s="19"/>
      <c r="W46" s="18"/>
      <c r="X46" s="18"/>
      <c r="Y46" s="18"/>
      <c r="Z46" s="18"/>
      <c r="AA46" s="18"/>
      <c r="AB46" s="18"/>
      <c r="AC46" s="18"/>
      <c r="AD46" s="18"/>
      <c r="AF46" s="17">
        <v>8</v>
      </c>
      <c r="AG46" s="18" t="s">
        <v>33</v>
      </c>
      <c r="AH46" s="19">
        <f t="shared" si="124"/>
        <v>-404376</v>
      </c>
      <c r="AI46" s="19" t="e">
        <f t="shared" si="125"/>
        <v>#DIV/0!</v>
      </c>
      <c r="AJ46" s="19">
        <f t="shared" si="126"/>
        <v>-404376</v>
      </c>
      <c r="AK46" s="19" t="e">
        <f t="shared" si="127"/>
        <v>#DIV/0!</v>
      </c>
      <c r="AL46" s="19">
        <f t="shared" si="128"/>
        <v>-404376</v>
      </c>
      <c r="AM46" s="19" t="e">
        <f t="shared" si="129"/>
        <v>#DIV/0!</v>
      </c>
      <c r="AN46" s="19">
        <f t="shared" si="130"/>
        <v>0</v>
      </c>
      <c r="AO46" s="19" t="e">
        <f t="shared" si="131"/>
        <v>#DIV/0!</v>
      </c>
      <c r="AP46" s="19">
        <f t="shared" si="132"/>
        <v>0</v>
      </c>
      <c r="AQ46" s="19" t="e">
        <f t="shared" si="133"/>
        <v>#DIV/0!</v>
      </c>
      <c r="AR46" s="19">
        <f t="shared" si="134"/>
        <v>0</v>
      </c>
      <c r="AS46" s="19" t="e">
        <f t="shared" si="135"/>
        <v>#DIV/0!</v>
      </c>
      <c r="AT46" s="19">
        <f t="shared" si="136"/>
        <v>0</v>
      </c>
      <c r="AU46" s="19" t="e">
        <f t="shared" si="137"/>
        <v>#DIV/0!</v>
      </c>
      <c r="AV46" s="19">
        <f t="shared" si="138"/>
        <v>0</v>
      </c>
      <c r="AW46" s="19" t="e">
        <f t="shared" si="139"/>
        <v>#DIV/0!</v>
      </c>
      <c r="AX46" s="19">
        <f t="shared" si="140"/>
        <v>0</v>
      </c>
      <c r="AY46" s="19" t="e">
        <f t="shared" si="141"/>
        <v>#DIV/0!</v>
      </c>
      <c r="AZ46" s="19">
        <f t="shared" si="142"/>
        <v>0</v>
      </c>
      <c r="BA46" s="19" t="e">
        <f t="shared" si="143"/>
        <v>#DIV/0!</v>
      </c>
      <c r="BB46" s="19">
        <f t="shared" si="144"/>
        <v>0</v>
      </c>
      <c r="BC46" s="19" t="e">
        <f t="shared" si="145"/>
        <v>#DIV/0!</v>
      </c>
      <c r="BD46" s="19">
        <f t="shared" si="146"/>
        <v>0</v>
      </c>
      <c r="BE46" s="19" t="e">
        <f t="shared" si="147"/>
        <v>#DIV/0!</v>
      </c>
    </row>
    <row r="47" spans="1:57">
      <c r="A47" s="17">
        <v>9</v>
      </c>
      <c r="B47" s="17"/>
      <c r="C47" s="18" t="s">
        <v>35</v>
      </c>
      <c r="D47" s="19"/>
      <c r="E47" s="19"/>
      <c r="F47" s="19"/>
      <c r="G47" s="19"/>
      <c r="H47" s="18"/>
      <c r="I47" s="18"/>
      <c r="J47" s="18"/>
      <c r="K47" s="18"/>
      <c r="L47" s="18"/>
      <c r="M47" s="18"/>
      <c r="N47" s="18"/>
      <c r="O47" s="18"/>
      <c r="Q47" s="17">
        <v>9</v>
      </c>
      <c r="R47" s="18" t="s">
        <v>35</v>
      </c>
      <c r="S47" s="19"/>
      <c r="T47" s="19"/>
      <c r="U47" s="19"/>
      <c r="V47" s="19"/>
      <c r="W47" s="18"/>
      <c r="X47" s="18"/>
      <c r="Y47" s="18"/>
      <c r="Z47" s="18"/>
      <c r="AA47" s="18"/>
      <c r="AB47" s="18"/>
      <c r="AC47" s="18"/>
      <c r="AD47" s="18"/>
      <c r="AF47" s="17">
        <v>9</v>
      </c>
      <c r="AG47" s="18" t="s">
        <v>35</v>
      </c>
      <c r="AH47" s="19">
        <f t="shared" si="124"/>
        <v>0</v>
      </c>
      <c r="AI47" s="19" t="e">
        <f t="shared" si="125"/>
        <v>#DIV/0!</v>
      </c>
      <c r="AJ47" s="19">
        <f t="shared" si="126"/>
        <v>0</v>
      </c>
      <c r="AK47" s="19" t="e">
        <f t="shared" si="127"/>
        <v>#DIV/0!</v>
      </c>
      <c r="AL47" s="19">
        <f t="shared" si="128"/>
        <v>0</v>
      </c>
      <c r="AM47" s="19" t="e">
        <f t="shared" si="129"/>
        <v>#DIV/0!</v>
      </c>
      <c r="AN47" s="19">
        <f t="shared" si="130"/>
        <v>0</v>
      </c>
      <c r="AO47" s="19" t="e">
        <f t="shared" si="131"/>
        <v>#DIV/0!</v>
      </c>
      <c r="AP47" s="19">
        <f t="shared" si="132"/>
        <v>0</v>
      </c>
      <c r="AQ47" s="19" t="e">
        <f t="shared" si="133"/>
        <v>#DIV/0!</v>
      </c>
      <c r="AR47" s="19">
        <f t="shared" si="134"/>
        <v>0</v>
      </c>
      <c r="AS47" s="19" t="e">
        <f t="shared" si="135"/>
        <v>#DIV/0!</v>
      </c>
      <c r="AT47" s="19">
        <f t="shared" si="136"/>
        <v>0</v>
      </c>
      <c r="AU47" s="19" t="e">
        <f t="shared" si="137"/>
        <v>#DIV/0!</v>
      </c>
      <c r="AV47" s="19">
        <f t="shared" si="138"/>
        <v>0</v>
      </c>
      <c r="AW47" s="19" t="e">
        <f t="shared" si="139"/>
        <v>#DIV/0!</v>
      </c>
      <c r="AX47" s="19">
        <f t="shared" si="140"/>
        <v>0</v>
      </c>
      <c r="AY47" s="19" t="e">
        <f t="shared" si="141"/>
        <v>#DIV/0!</v>
      </c>
      <c r="AZ47" s="19">
        <f t="shared" si="142"/>
        <v>0</v>
      </c>
      <c r="BA47" s="19" t="e">
        <f t="shared" si="143"/>
        <v>#DIV/0!</v>
      </c>
      <c r="BB47" s="19">
        <f t="shared" si="144"/>
        <v>0</v>
      </c>
      <c r="BC47" s="19" t="e">
        <f t="shared" si="145"/>
        <v>#DIV/0!</v>
      </c>
      <c r="BD47" s="19">
        <f t="shared" si="146"/>
        <v>0</v>
      </c>
      <c r="BE47" s="19" t="e">
        <f t="shared" si="147"/>
        <v>#DIV/0!</v>
      </c>
    </row>
    <row r="48" spans="1:57">
      <c r="A48" s="17">
        <v>10</v>
      </c>
      <c r="B48" s="17"/>
      <c r="C48" s="18" t="s">
        <v>37</v>
      </c>
      <c r="D48" s="19"/>
      <c r="E48" s="19"/>
      <c r="F48" s="19"/>
      <c r="G48" s="19"/>
      <c r="H48" s="18"/>
      <c r="I48" s="18"/>
      <c r="J48" s="18"/>
      <c r="K48" s="18"/>
      <c r="L48" s="18"/>
      <c r="M48" s="18"/>
      <c r="N48" s="18"/>
      <c r="O48" s="18"/>
      <c r="Q48" s="17">
        <v>10</v>
      </c>
      <c r="R48" s="18" t="s">
        <v>37</v>
      </c>
      <c r="S48" s="19"/>
      <c r="T48" s="19"/>
      <c r="U48" s="19"/>
      <c r="V48" s="19"/>
      <c r="W48" s="18"/>
      <c r="X48" s="18"/>
      <c r="Y48" s="18"/>
      <c r="Z48" s="18"/>
      <c r="AA48" s="18"/>
      <c r="AB48" s="18"/>
      <c r="AC48" s="18"/>
      <c r="AD48" s="18"/>
      <c r="AF48" s="17">
        <v>10</v>
      </c>
      <c r="AG48" s="18" t="s">
        <v>37</v>
      </c>
      <c r="AH48" s="19">
        <f t="shared" si="124"/>
        <v>0</v>
      </c>
      <c r="AI48" s="19" t="e">
        <f t="shared" si="125"/>
        <v>#DIV/0!</v>
      </c>
      <c r="AJ48" s="19">
        <f t="shared" si="126"/>
        <v>0</v>
      </c>
      <c r="AK48" s="19" t="e">
        <f t="shared" si="127"/>
        <v>#DIV/0!</v>
      </c>
      <c r="AL48" s="19">
        <f t="shared" si="128"/>
        <v>0</v>
      </c>
      <c r="AM48" s="19" t="e">
        <f t="shared" si="129"/>
        <v>#DIV/0!</v>
      </c>
      <c r="AN48" s="19">
        <f t="shared" si="130"/>
        <v>0</v>
      </c>
      <c r="AO48" s="19" t="e">
        <f t="shared" si="131"/>
        <v>#DIV/0!</v>
      </c>
      <c r="AP48" s="19">
        <f t="shared" si="132"/>
        <v>0</v>
      </c>
      <c r="AQ48" s="19" t="e">
        <f t="shared" si="133"/>
        <v>#DIV/0!</v>
      </c>
      <c r="AR48" s="19">
        <f t="shared" si="134"/>
        <v>0</v>
      </c>
      <c r="AS48" s="19" t="e">
        <f t="shared" si="135"/>
        <v>#DIV/0!</v>
      </c>
      <c r="AT48" s="19">
        <f t="shared" si="136"/>
        <v>0</v>
      </c>
      <c r="AU48" s="19" t="e">
        <f t="shared" si="137"/>
        <v>#DIV/0!</v>
      </c>
      <c r="AV48" s="19">
        <f t="shared" si="138"/>
        <v>0</v>
      </c>
      <c r="AW48" s="19" t="e">
        <f t="shared" si="139"/>
        <v>#DIV/0!</v>
      </c>
      <c r="AX48" s="19">
        <f t="shared" si="140"/>
        <v>0</v>
      </c>
      <c r="AY48" s="19" t="e">
        <f t="shared" si="141"/>
        <v>#DIV/0!</v>
      </c>
      <c r="AZ48" s="19">
        <f t="shared" si="142"/>
        <v>0</v>
      </c>
      <c r="BA48" s="19" t="e">
        <f t="shared" si="143"/>
        <v>#DIV/0!</v>
      </c>
      <c r="BB48" s="19">
        <f t="shared" si="144"/>
        <v>0</v>
      </c>
      <c r="BC48" s="19" t="e">
        <f t="shared" si="145"/>
        <v>#DIV/0!</v>
      </c>
      <c r="BD48" s="19">
        <f t="shared" si="146"/>
        <v>0</v>
      </c>
      <c r="BE48" s="19" t="e">
        <f t="shared" si="147"/>
        <v>#DIV/0!</v>
      </c>
    </row>
    <row r="49" spans="1:57">
      <c r="A49" s="17">
        <v>11</v>
      </c>
      <c r="B49" s="17"/>
      <c r="C49" s="18" t="s">
        <v>39</v>
      </c>
      <c r="D49" s="19"/>
      <c r="E49" s="19"/>
      <c r="F49" s="19"/>
      <c r="G49" s="19"/>
      <c r="H49" s="18"/>
      <c r="I49" s="18"/>
      <c r="J49" s="18"/>
      <c r="K49" s="18"/>
      <c r="L49" s="18"/>
      <c r="M49" s="18"/>
      <c r="N49" s="18"/>
      <c r="O49" s="18"/>
      <c r="Q49" s="17">
        <v>11</v>
      </c>
      <c r="R49" s="18" t="s">
        <v>39</v>
      </c>
      <c r="S49" s="19"/>
      <c r="T49" s="19"/>
      <c r="U49" s="19"/>
      <c r="V49" s="19"/>
      <c r="W49" s="18"/>
      <c r="X49" s="18"/>
      <c r="Y49" s="18"/>
      <c r="Z49" s="18"/>
      <c r="AA49" s="18"/>
      <c r="AB49" s="18"/>
      <c r="AC49" s="18"/>
      <c r="AD49" s="18"/>
      <c r="AF49" s="17">
        <v>11</v>
      </c>
      <c r="AG49" s="18" t="s">
        <v>39</v>
      </c>
      <c r="AH49" s="19">
        <f t="shared" si="124"/>
        <v>0</v>
      </c>
      <c r="AI49" s="19" t="e">
        <f t="shared" si="125"/>
        <v>#DIV/0!</v>
      </c>
      <c r="AJ49" s="19">
        <f t="shared" si="126"/>
        <v>0</v>
      </c>
      <c r="AK49" s="19" t="e">
        <f t="shared" si="127"/>
        <v>#DIV/0!</v>
      </c>
      <c r="AL49" s="19">
        <f t="shared" si="128"/>
        <v>0</v>
      </c>
      <c r="AM49" s="19" t="e">
        <f t="shared" si="129"/>
        <v>#DIV/0!</v>
      </c>
      <c r="AN49" s="19">
        <f t="shared" si="130"/>
        <v>0</v>
      </c>
      <c r="AO49" s="19" t="e">
        <f t="shared" si="131"/>
        <v>#DIV/0!</v>
      </c>
      <c r="AP49" s="19">
        <f t="shared" si="132"/>
        <v>0</v>
      </c>
      <c r="AQ49" s="19" t="e">
        <f t="shared" si="133"/>
        <v>#DIV/0!</v>
      </c>
      <c r="AR49" s="19">
        <f t="shared" si="134"/>
        <v>0</v>
      </c>
      <c r="AS49" s="19" t="e">
        <f t="shared" si="135"/>
        <v>#DIV/0!</v>
      </c>
      <c r="AT49" s="19">
        <f t="shared" si="136"/>
        <v>0</v>
      </c>
      <c r="AU49" s="19" t="e">
        <f t="shared" si="137"/>
        <v>#DIV/0!</v>
      </c>
      <c r="AV49" s="19">
        <f t="shared" si="138"/>
        <v>0</v>
      </c>
      <c r="AW49" s="19" t="e">
        <f t="shared" si="139"/>
        <v>#DIV/0!</v>
      </c>
      <c r="AX49" s="19">
        <f t="shared" si="140"/>
        <v>0</v>
      </c>
      <c r="AY49" s="19" t="e">
        <f t="shared" si="141"/>
        <v>#DIV/0!</v>
      </c>
      <c r="AZ49" s="19">
        <f t="shared" si="142"/>
        <v>0</v>
      </c>
      <c r="BA49" s="19" t="e">
        <f t="shared" si="143"/>
        <v>#DIV/0!</v>
      </c>
      <c r="BB49" s="19">
        <f t="shared" si="144"/>
        <v>0</v>
      </c>
      <c r="BC49" s="19" t="e">
        <f t="shared" si="145"/>
        <v>#DIV/0!</v>
      </c>
      <c r="BD49" s="19">
        <f t="shared" si="146"/>
        <v>0</v>
      </c>
      <c r="BE49" s="19" t="e">
        <f t="shared" si="147"/>
        <v>#DIV/0!</v>
      </c>
    </row>
    <row r="50" spans="1:57">
      <c r="A50" s="17">
        <v>12</v>
      </c>
      <c r="B50" s="17"/>
      <c r="C50" s="18" t="s">
        <v>41</v>
      </c>
      <c r="D50" s="19"/>
      <c r="E50" s="19"/>
      <c r="F50" s="19"/>
      <c r="G50" s="19"/>
      <c r="H50" s="18"/>
      <c r="I50" s="18"/>
      <c r="J50" s="18"/>
      <c r="K50" s="18"/>
      <c r="L50" s="18"/>
      <c r="M50" s="18"/>
      <c r="N50" s="18"/>
      <c r="O50" s="18"/>
      <c r="Q50" s="17">
        <v>12</v>
      </c>
      <c r="R50" s="18" t="s">
        <v>41</v>
      </c>
      <c r="S50" s="19"/>
      <c r="T50" s="19"/>
      <c r="U50" s="19"/>
      <c r="V50" s="19"/>
      <c r="W50" s="18"/>
      <c r="X50" s="18"/>
      <c r="Y50" s="18"/>
      <c r="Z50" s="18"/>
      <c r="AA50" s="18"/>
      <c r="AB50" s="18"/>
      <c r="AC50" s="18"/>
      <c r="AD50" s="18"/>
      <c r="AF50" s="17">
        <v>12</v>
      </c>
      <c r="AG50" s="18" t="s">
        <v>41</v>
      </c>
      <c r="AH50" s="19">
        <f t="shared" si="124"/>
        <v>0</v>
      </c>
      <c r="AI50" s="19" t="e">
        <f t="shared" si="125"/>
        <v>#DIV/0!</v>
      </c>
      <c r="AJ50" s="19">
        <f t="shared" si="126"/>
        <v>0</v>
      </c>
      <c r="AK50" s="19" t="e">
        <f t="shared" si="127"/>
        <v>#DIV/0!</v>
      </c>
      <c r="AL50" s="19">
        <f t="shared" si="128"/>
        <v>0</v>
      </c>
      <c r="AM50" s="19" t="e">
        <f t="shared" si="129"/>
        <v>#DIV/0!</v>
      </c>
      <c r="AN50" s="19">
        <f t="shared" si="130"/>
        <v>0</v>
      </c>
      <c r="AO50" s="19" t="e">
        <f t="shared" si="131"/>
        <v>#DIV/0!</v>
      </c>
      <c r="AP50" s="19">
        <f t="shared" si="132"/>
        <v>0</v>
      </c>
      <c r="AQ50" s="19" t="e">
        <f t="shared" si="133"/>
        <v>#DIV/0!</v>
      </c>
      <c r="AR50" s="19">
        <f t="shared" si="134"/>
        <v>0</v>
      </c>
      <c r="AS50" s="19" t="e">
        <f t="shared" si="135"/>
        <v>#DIV/0!</v>
      </c>
      <c r="AT50" s="19">
        <f t="shared" si="136"/>
        <v>0</v>
      </c>
      <c r="AU50" s="19" t="e">
        <f t="shared" si="137"/>
        <v>#DIV/0!</v>
      </c>
      <c r="AV50" s="19">
        <f t="shared" si="138"/>
        <v>0</v>
      </c>
      <c r="AW50" s="19" t="e">
        <f t="shared" si="139"/>
        <v>#DIV/0!</v>
      </c>
      <c r="AX50" s="19">
        <f t="shared" si="140"/>
        <v>0</v>
      </c>
      <c r="AY50" s="19" t="e">
        <f t="shared" si="141"/>
        <v>#DIV/0!</v>
      </c>
      <c r="AZ50" s="19">
        <f t="shared" si="142"/>
        <v>0</v>
      </c>
      <c r="BA50" s="19" t="e">
        <f t="shared" si="143"/>
        <v>#DIV/0!</v>
      </c>
      <c r="BB50" s="19">
        <f t="shared" si="144"/>
        <v>0</v>
      </c>
      <c r="BC50" s="19" t="e">
        <f t="shared" si="145"/>
        <v>#DIV/0!</v>
      </c>
      <c r="BD50" s="19">
        <f t="shared" si="146"/>
        <v>0</v>
      </c>
      <c r="BE50" s="19" t="e">
        <f t="shared" si="147"/>
        <v>#DIV/0!</v>
      </c>
    </row>
    <row r="51" spans="1:57">
      <c r="A51" s="17">
        <v>13</v>
      </c>
      <c r="B51" s="17"/>
      <c r="C51" s="18" t="s">
        <v>43</v>
      </c>
      <c r="D51" s="19"/>
      <c r="E51" s="19"/>
      <c r="F51" s="19"/>
      <c r="G51" s="19"/>
      <c r="H51" s="18"/>
      <c r="I51" s="18"/>
      <c r="J51" s="18"/>
      <c r="K51" s="18"/>
      <c r="L51" s="18"/>
      <c r="M51" s="18"/>
      <c r="N51" s="18"/>
      <c r="O51" s="18"/>
      <c r="Q51" s="17">
        <v>13</v>
      </c>
      <c r="R51" s="18" t="s">
        <v>43</v>
      </c>
      <c r="S51" s="19">
        <v>5499</v>
      </c>
      <c r="T51" s="19">
        <v>5499</v>
      </c>
      <c r="U51" s="19">
        <v>5499</v>
      </c>
      <c r="V51" s="19"/>
      <c r="W51" s="18"/>
      <c r="X51" s="18"/>
      <c r="Y51" s="18"/>
      <c r="Z51" s="18"/>
      <c r="AA51" s="18"/>
      <c r="AB51" s="18"/>
      <c r="AC51" s="18"/>
      <c r="AD51" s="18"/>
      <c r="AF51" s="17">
        <v>13</v>
      </c>
      <c r="AG51" s="18" t="s">
        <v>43</v>
      </c>
      <c r="AH51" s="19">
        <f t="shared" si="124"/>
        <v>-5499</v>
      </c>
      <c r="AI51" s="19" t="e">
        <f t="shared" si="125"/>
        <v>#DIV/0!</v>
      </c>
      <c r="AJ51" s="19">
        <f t="shared" si="126"/>
        <v>-5499</v>
      </c>
      <c r="AK51" s="19" t="e">
        <f t="shared" si="127"/>
        <v>#DIV/0!</v>
      </c>
      <c r="AL51" s="19">
        <f t="shared" si="128"/>
        <v>-5499</v>
      </c>
      <c r="AM51" s="19" t="e">
        <f t="shared" si="129"/>
        <v>#DIV/0!</v>
      </c>
      <c r="AN51" s="19">
        <f t="shared" si="130"/>
        <v>0</v>
      </c>
      <c r="AO51" s="19" t="e">
        <f t="shared" si="131"/>
        <v>#DIV/0!</v>
      </c>
      <c r="AP51" s="19">
        <f t="shared" si="132"/>
        <v>0</v>
      </c>
      <c r="AQ51" s="19" t="e">
        <f t="shared" si="133"/>
        <v>#DIV/0!</v>
      </c>
      <c r="AR51" s="19">
        <f t="shared" si="134"/>
        <v>0</v>
      </c>
      <c r="AS51" s="19" t="e">
        <f t="shared" si="135"/>
        <v>#DIV/0!</v>
      </c>
      <c r="AT51" s="19">
        <f t="shared" si="136"/>
        <v>0</v>
      </c>
      <c r="AU51" s="19" t="e">
        <f t="shared" si="137"/>
        <v>#DIV/0!</v>
      </c>
      <c r="AV51" s="19">
        <f t="shared" si="138"/>
        <v>0</v>
      </c>
      <c r="AW51" s="19" t="e">
        <f t="shared" si="139"/>
        <v>#DIV/0!</v>
      </c>
      <c r="AX51" s="19">
        <f t="shared" si="140"/>
        <v>0</v>
      </c>
      <c r="AY51" s="19" t="e">
        <f t="shared" si="141"/>
        <v>#DIV/0!</v>
      </c>
      <c r="AZ51" s="19">
        <f t="shared" si="142"/>
        <v>0</v>
      </c>
      <c r="BA51" s="19" t="e">
        <f t="shared" si="143"/>
        <v>#DIV/0!</v>
      </c>
      <c r="BB51" s="19">
        <f t="shared" si="144"/>
        <v>0</v>
      </c>
      <c r="BC51" s="19" t="e">
        <f t="shared" si="145"/>
        <v>#DIV/0!</v>
      </c>
      <c r="BD51" s="19">
        <f t="shared" si="146"/>
        <v>0</v>
      </c>
      <c r="BE51" s="19" t="e">
        <f t="shared" si="147"/>
        <v>#DIV/0!</v>
      </c>
    </row>
    <row r="52" spans="1:57">
      <c r="A52" s="17">
        <v>14</v>
      </c>
      <c r="B52" s="17"/>
      <c r="C52" s="18" t="s">
        <v>44</v>
      </c>
      <c r="D52" s="19"/>
      <c r="E52" s="19"/>
      <c r="F52" s="19"/>
      <c r="G52" s="19"/>
      <c r="H52" s="18"/>
      <c r="I52" s="18"/>
      <c r="J52" s="18"/>
      <c r="K52" s="18"/>
      <c r="L52" s="18"/>
      <c r="M52" s="18"/>
      <c r="N52" s="18"/>
      <c r="O52" s="18"/>
      <c r="Q52" s="17">
        <v>14</v>
      </c>
      <c r="R52" s="18" t="s">
        <v>44</v>
      </c>
      <c r="S52" s="19"/>
      <c r="T52" s="19"/>
      <c r="U52" s="19"/>
      <c r="V52" s="19"/>
      <c r="W52" s="18"/>
      <c r="X52" s="18"/>
      <c r="Y52" s="18"/>
      <c r="Z52" s="18"/>
      <c r="AA52" s="18"/>
      <c r="AB52" s="18"/>
      <c r="AC52" s="18"/>
      <c r="AD52" s="18"/>
      <c r="AF52" s="17">
        <v>14</v>
      </c>
      <c r="AG52" s="18" t="s">
        <v>44</v>
      </c>
      <c r="AH52" s="19">
        <f t="shared" si="124"/>
        <v>0</v>
      </c>
      <c r="AI52" s="19" t="e">
        <f t="shared" si="125"/>
        <v>#DIV/0!</v>
      </c>
      <c r="AJ52" s="19">
        <f t="shared" si="126"/>
        <v>0</v>
      </c>
      <c r="AK52" s="19" t="e">
        <f t="shared" si="127"/>
        <v>#DIV/0!</v>
      </c>
      <c r="AL52" s="19">
        <f t="shared" si="128"/>
        <v>0</v>
      </c>
      <c r="AM52" s="19" t="e">
        <f t="shared" si="129"/>
        <v>#DIV/0!</v>
      </c>
      <c r="AN52" s="19">
        <f t="shared" si="130"/>
        <v>0</v>
      </c>
      <c r="AO52" s="19" t="e">
        <f t="shared" si="131"/>
        <v>#DIV/0!</v>
      </c>
      <c r="AP52" s="19">
        <f t="shared" si="132"/>
        <v>0</v>
      </c>
      <c r="AQ52" s="19" t="e">
        <f t="shared" si="133"/>
        <v>#DIV/0!</v>
      </c>
      <c r="AR52" s="19">
        <f t="shared" si="134"/>
        <v>0</v>
      </c>
      <c r="AS52" s="19" t="e">
        <f t="shared" si="135"/>
        <v>#DIV/0!</v>
      </c>
      <c r="AT52" s="19">
        <f t="shared" si="136"/>
        <v>0</v>
      </c>
      <c r="AU52" s="19" t="e">
        <f t="shared" si="137"/>
        <v>#DIV/0!</v>
      </c>
      <c r="AV52" s="19">
        <f t="shared" si="138"/>
        <v>0</v>
      </c>
      <c r="AW52" s="19" t="e">
        <f t="shared" si="139"/>
        <v>#DIV/0!</v>
      </c>
      <c r="AX52" s="19">
        <f t="shared" si="140"/>
        <v>0</v>
      </c>
      <c r="AY52" s="19" t="e">
        <f t="shared" si="141"/>
        <v>#DIV/0!</v>
      </c>
      <c r="AZ52" s="19">
        <f t="shared" si="142"/>
        <v>0</v>
      </c>
      <c r="BA52" s="19" t="e">
        <f t="shared" si="143"/>
        <v>#DIV/0!</v>
      </c>
      <c r="BB52" s="19">
        <f t="shared" si="144"/>
        <v>0</v>
      </c>
      <c r="BC52" s="19" t="e">
        <f t="shared" si="145"/>
        <v>#DIV/0!</v>
      </c>
      <c r="BD52" s="19">
        <f t="shared" si="146"/>
        <v>0</v>
      </c>
      <c r="BE52" s="19" t="e">
        <f t="shared" si="147"/>
        <v>#DIV/0!</v>
      </c>
    </row>
    <row r="53" spans="1:57" ht="25.2" thickBot="1">
      <c r="A53" s="17"/>
      <c r="B53" s="17"/>
      <c r="C53" s="20" t="s">
        <v>17</v>
      </c>
      <c r="D53" s="27">
        <f>SUM(D39:D52)</f>
        <v>8409708.3699999992</v>
      </c>
      <c r="E53" s="27">
        <f t="shared" ref="E53:O53" si="148">SUM(E39:E52)</f>
        <v>8612648.9700000007</v>
      </c>
      <c r="F53" s="27">
        <f t="shared" si="148"/>
        <v>-8822354.2699999996</v>
      </c>
      <c r="G53" s="27">
        <f t="shared" si="148"/>
        <v>0</v>
      </c>
      <c r="H53" s="27">
        <f t="shared" si="148"/>
        <v>0</v>
      </c>
      <c r="I53" s="27">
        <f t="shared" si="148"/>
        <v>0</v>
      </c>
      <c r="J53" s="27">
        <f t="shared" si="148"/>
        <v>0</v>
      </c>
      <c r="K53" s="27">
        <f t="shared" si="148"/>
        <v>0</v>
      </c>
      <c r="L53" s="27">
        <f t="shared" si="148"/>
        <v>0</v>
      </c>
      <c r="M53" s="27">
        <f t="shared" si="148"/>
        <v>0</v>
      </c>
      <c r="N53" s="27">
        <f t="shared" si="148"/>
        <v>0</v>
      </c>
      <c r="O53" s="27">
        <f t="shared" si="148"/>
        <v>0</v>
      </c>
      <c r="Q53" s="17"/>
      <c r="R53" s="20" t="s">
        <v>17</v>
      </c>
      <c r="S53" s="27">
        <f>SUM(S39:S52)</f>
        <v>27345759.829999998</v>
      </c>
      <c r="T53" s="27">
        <f t="shared" ref="T53:AD53" si="149">SUM(T39:T52)</f>
        <v>27561564.030000001</v>
      </c>
      <c r="U53" s="27">
        <f t="shared" si="149"/>
        <v>27777368.23</v>
      </c>
      <c r="V53" s="27">
        <f t="shared" si="149"/>
        <v>0</v>
      </c>
      <c r="W53" s="27">
        <f t="shared" si="149"/>
        <v>0</v>
      </c>
      <c r="X53" s="27">
        <f t="shared" si="149"/>
        <v>0</v>
      </c>
      <c r="Y53" s="27">
        <f t="shared" si="149"/>
        <v>0</v>
      </c>
      <c r="Z53" s="27">
        <f t="shared" si="149"/>
        <v>0</v>
      </c>
      <c r="AA53" s="27">
        <f t="shared" si="149"/>
        <v>0</v>
      </c>
      <c r="AB53" s="27">
        <f t="shared" si="149"/>
        <v>0</v>
      </c>
      <c r="AC53" s="27">
        <f t="shared" si="149"/>
        <v>0</v>
      </c>
      <c r="AD53" s="27">
        <f t="shared" si="149"/>
        <v>0</v>
      </c>
      <c r="AF53" s="17"/>
      <c r="AG53" s="20" t="s">
        <v>17</v>
      </c>
      <c r="AH53" s="23">
        <f t="shared" ref="AH53" si="150">+D53-S53</f>
        <v>-18936051.460000001</v>
      </c>
      <c r="AI53" s="23">
        <f t="shared" ref="AI53" si="151">+AH53/D53*100</f>
        <v>-225.16894316514811</v>
      </c>
      <c r="AJ53" s="23">
        <f t="shared" ref="AJ53" si="152">+E53-T53</f>
        <v>-18948915.060000002</v>
      </c>
      <c r="AK53" s="23">
        <f t="shared" ref="AK53" si="153">+AJ53/E53*100</f>
        <v>-220.01262475695677</v>
      </c>
      <c r="AL53" s="23">
        <f t="shared" ref="AL53" si="154">+F53-U53</f>
        <v>-36599722.5</v>
      </c>
      <c r="AM53" s="23">
        <f t="shared" ref="AM53" si="155">+AL53/F53*100</f>
        <v>414.85210613742447</v>
      </c>
      <c r="AN53" s="23">
        <f t="shared" ref="AN53" si="156">+G53-V53</f>
        <v>0</v>
      </c>
      <c r="AO53" s="23" t="e">
        <f t="shared" ref="AO53" si="157">+AN53/G53*100</f>
        <v>#DIV/0!</v>
      </c>
      <c r="AP53" s="23">
        <f t="shared" ref="AP53" si="158">+H53-W53</f>
        <v>0</v>
      </c>
      <c r="AQ53" s="23" t="e">
        <f t="shared" ref="AQ53" si="159">+AP53/H53*100</f>
        <v>#DIV/0!</v>
      </c>
      <c r="AR53" s="23">
        <f t="shared" ref="AR53" si="160">+I53-X53</f>
        <v>0</v>
      </c>
      <c r="AS53" s="23" t="e">
        <f t="shared" ref="AS53" si="161">+AR53/I53*100</f>
        <v>#DIV/0!</v>
      </c>
      <c r="AT53" s="23">
        <f t="shared" ref="AT53" si="162">+J53-Y53</f>
        <v>0</v>
      </c>
      <c r="AU53" s="23" t="e">
        <f t="shared" ref="AU53" si="163">+AT53/J53*100</f>
        <v>#DIV/0!</v>
      </c>
      <c r="AV53" s="23">
        <f t="shared" ref="AV53" si="164">+K53-Z53</f>
        <v>0</v>
      </c>
      <c r="AW53" s="23" t="e">
        <f t="shared" ref="AW53" si="165">+AV53/K53*100</f>
        <v>#DIV/0!</v>
      </c>
      <c r="AX53" s="23">
        <f t="shared" ref="AX53" si="166">+L53-AA53</f>
        <v>0</v>
      </c>
      <c r="AY53" s="23" t="e">
        <f t="shared" ref="AY53" si="167">+AX53/L53*100</f>
        <v>#DIV/0!</v>
      </c>
      <c r="AZ53" s="23">
        <f t="shared" ref="AZ53" si="168">+M53-AB53</f>
        <v>0</v>
      </c>
      <c r="BA53" s="23" t="e">
        <f t="shared" ref="BA53" si="169">+AZ53/M53*100</f>
        <v>#DIV/0!</v>
      </c>
      <c r="BB53" s="23">
        <f t="shared" ref="BB53" si="170">+N53-AC53</f>
        <v>0</v>
      </c>
      <c r="BC53" s="23" t="e">
        <f t="shared" ref="BC53" si="171">+BB53/N53*100</f>
        <v>#DIV/0!</v>
      </c>
      <c r="BD53" s="23">
        <f t="shared" ref="BD53" si="172">+O53-AD53</f>
        <v>0</v>
      </c>
      <c r="BE53" s="23" t="e">
        <f t="shared" ref="BE53" si="173">+BD53/O53*100</f>
        <v>#DIV/0!</v>
      </c>
    </row>
    <row r="54" spans="1:57" ht="25.2" thickTop="1"/>
    <row r="55" spans="1:57">
      <c r="A55" s="32" t="s">
        <v>1942</v>
      </c>
      <c r="B55" s="32"/>
      <c r="C55" s="32"/>
      <c r="D55" s="32"/>
      <c r="E55" s="32"/>
      <c r="F55" s="32"/>
      <c r="G55" s="32"/>
      <c r="H55" s="32"/>
      <c r="I55" s="32"/>
      <c r="J55" s="32"/>
    </row>
    <row r="56" spans="1:57" customFormat="1" ht="21">
      <c r="A56" s="28" t="s">
        <v>659</v>
      </c>
      <c r="B56" s="28"/>
      <c r="C56" s="28" t="s">
        <v>660</v>
      </c>
      <c r="D56" s="28" t="s">
        <v>661</v>
      </c>
      <c r="E56" s="28" t="s">
        <v>662</v>
      </c>
      <c r="F56" s="28" t="s">
        <v>663</v>
      </c>
      <c r="G56" s="28" t="s">
        <v>664</v>
      </c>
      <c r="H56" s="28" t="s">
        <v>665</v>
      </c>
    </row>
    <row r="57" spans="1:57" customFormat="1" ht="21">
      <c r="A57" s="28" t="s">
        <v>167</v>
      </c>
      <c r="B57" s="28"/>
      <c r="C57" s="28" t="s">
        <v>91</v>
      </c>
      <c r="D57" s="28" t="s">
        <v>92</v>
      </c>
      <c r="E57" s="28" t="s">
        <v>168</v>
      </c>
      <c r="F57" s="29">
        <v>440414</v>
      </c>
      <c r="G57" s="29">
        <v>-440413</v>
      </c>
      <c r="H57" s="29">
        <v>1</v>
      </c>
      <c r="I57" t="s">
        <v>929</v>
      </c>
      <c r="J57" t="s">
        <v>11</v>
      </c>
    </row>
    <row r="58" spans="1:57" customFormat="1" ht="21">
      <c r="A58" s="28" t="s">
        <v>169</v>
      </c>
      <c r="B58" s="28"/>
      <c r="C58" s="28" t="s">
        <v>91</v>
      </c>
      <c r="D58" s="28" t="s">
        <v>92</v>
      </c>
      <c r="E58" s="28" t="s">
        <v>170</v>
      </c>
      <c r="F58" s="29">
        <v>365000</v>
      </c>
      <c r="G58" s="29">
        <v>-364999</v>
      </c>
      <c r="H58" s="29">
        <v>1</v>
      </c>
      <c r="I58" t="s">
        <v>929</v>
      </c>
      <c r="J58" t="s">
        <v>11</v>
      </c>
    </row>
    <row r="59" spans="1:57" customFormat="1" ht="21">
      <c r="A59" s="28" t="s">
        <v>171</v>
      </c>
      <c r="B59" s="28"/>
      <c r="C59" s="28" t="s">
        <v>91</v>
      </c>
      <c r="D59" s="28" t="s">
        <v>92</v>
      </c>
      <c r="E59" s="28" t="s">
        <v>172</v>
      </c>
      <c r="F59" s="29">
        <v>459000</v>
      </c>
      <c r="G59" s="29">
        <v>-458999</v>
      </c>
      <c r="H59" s="29">
        <v>1</v>
      </c>
      <c r="I59" t="s">
        <v>929</v>
      </c>
      <c r="J59" t="s">
        <v>11</v>
      </c>
    </row>
    <row r="60" spans="1:57" customFormat="1" ht="21">
      <c r="A60" s="28" t="s">
        <v>173</v>
      </c>
      <c r="B60" s="28"/>
      <c r="C60" s="28" t="s">
        <v>91</v>
      </c>
      <c r="D60" s="28" t="s">
        <v>92</v>
      </c>
      <c r="E60" s="28" t="s">
        <v>174</v>
      </c>
      <c r="F60" s="29">
        <v>159000</v>
      </c>
      <c r="G60" s="29">
        <v>-158999</v>
      </c>
      <c r="H60" s="29">
        <v>1</v>
      </c>
      <c r="I60" t="s">
        <v>929</v>
      </c>
      <c r="J60" t="s">
        <v>11</v>
      </c>
    </row>
    <row r="61" spans="1:57" customFormat="1" ht="21">
      <c r="A61" s="28" t="s">
        <v>175</v>
      </c>
      <c r="B61" s="28"/>
      <c r="C61" s="28" t="s">
        <v>91</v>
      </c>
      <c r="D61" s="28" t="s">
        <v>92</v>
      </c>
      <c r="E61" s="28" t="s">
        <v>176</v>
      </c>
      <c r="F61" s="29">
        <v>323729</v>
      </c>
      <c r="G61" s="29">
        <v>-323728</v>
      </c>
      <c r="H61" s="29">
        <v>1</v>
      </c>
      <c r="I61" t="s">
        <v>929</v>
      </c>
      <c r="J61" t="s">
        <v>11</v>
      </c>
    </row>
    <row r="62" spans="1:57" customFormat="1" ht="21">
      <c r="A62" s="28" t="s">
        <v>177</v>
      </c>
      <c r="B62" s="28"/>
      <c r="C62" s="28" t="s">
        <v>91</v>
      </c>
      <c r="D62" s="28" t="s">
        <v>92</v>
      </c>
      <c r="E62" s="28" t="s">
        <v>178</v>
      </c>
      <c r="F62" s="29">
        <v>260500</v>
      </c>
      <c r="G62" s="29">
        <v>-260499</v>
      </c>
      <c r="H62" s="29">
        <v>1</v>
      </c>
      <c r="I62" t="s">
        <v>929</v>
      </c>
      <c r="J62" t="s">
        <v>11</v>
      </c>
    </row>
    <row r="63" spans="1:57" customFormat="1" ht="21">
      <c r="A63" s="28" t="s">
        <v>179</v>
      </c>
      <c r="B63" s="28"/>
      <c r="C63" s="28" t="s">
        <v>91</v>
      </c>
      <c r="D63" s="28" t="s">
        <v>92</v>
      </c>
      <c r="E63" s="28" t="s">
        <v>178</v>
      </c>
      <c r="F63" s="29">
        <v>521000</v>
      </c>
      <c r="G63" s="29">
        <v>-520999</v>
      </c>
      <c r="H63" s="29">
        <v>1</v>
      </c>
      <c r="I63" t="s">
        <v>929</v>
      </c>
      <c r="J63" t="s">
        <v>11</v>
      </c>
    </row>
    <row r="64" spans="1:57" customFormat="1" ht="21">
      <c r="A64" s="28" t="s">
        <v>180</v>
      </c>
      <c r="B64" s="28"/>
      <c r="C64" s="28" t="s">
        <v>91</v>
      </c>
      <c r="D64" s="28" t="s">
        <v>92</v>
      </c>
      <c r="E64" s="28" t="s">
        <v>176</v>
      </c>
      <c r="F64" s="29">
        <v>647458</v>
      </c>
      <c r="G64" s="29">
        <v>-647457</v>
      </c>
      <c r="H64" s="29">
        <v>1</v>
      </c>
      <c r="I64" t="s">
        <v>929</v>
      </c>
      <c r="J64" t="s">
        <v>11</v>
      </c>
    </row>
    <row r="65" spans="1:10" customFormat="1" ht="21">
      <c r="A65" s="28" t="s">
        <v>181</v>
      </c>
      <c r="B65" s="28"/>
      <c r="C65" s="28" t="s">
        <v>91</v>
      </c>
      <c r="D65" s="28" t="s">
        <v>92</v>
      </c>
      <c r="E65" s="28" t="s">
        <v>182</v>
      </c>
      <c r="F65" s="29">
        <v>518135</v>
      </c>
      <c r="G65" s="29">
        <v>-518134</v>
      </c>
      <c r="H65" s="29">
        <v>1</v>
      </c>
      <c r="I65" t="s">
        <v>929</v>
      </c>
      <c r="J65" t="s">
        <v>11</v>
      </c>
    </row>
    <row r="66" spans="1:10" customFormat="1" ht="21">
      <c r="A66" s="28" t="s">
        <v>183</v>
      </c>
      <c r="B66" s="28"/>
      <c r="C66" s="28" t="s">
        <v>91</v>
      </c>
      <c r="D66" s="28" t="s">
        <v>92</v>
      </c>
      <c r="E66" s="28" t="s">
        <v>182</v>
      </c>
      <c r="F66" s="29">
        <v>518135</v>
      </c>
      <c r="G66" s="29">
        <v>-518134</v>
      </c>
      <c r="H66" s="29">
        <v>1</v>
      </c>
      <c r="I66" t="s">
        <v>929</v>
      </c>
      <c r="J66" t="s">
        <v>11</v>
      </c>
    </row>
    <row r="67" spans="1:10" customFormat="1" ht="21">
      <c r="A67" s="28" t="s">
        <v>184</v>
      </c>
      <c r="B67" s="28"/>
      <c r="C67" s="28" t="s">
        <v>91</v>
      </c>
      <c r="D67" s="28" t="s">
        <v>92</v>
      </c>
      <c r="E67" s="28" t="s">
        <v>185</v>
      </c>
      <c r="F67" s="29">
        <v>4184871</v>
      </c>
      <c r="G67" s="29">
        <v>-4184870</v>
      </c>
      <c r="H67" s="29">
        <v>1</v>
      </c>
      <c r="I67" t="s">
        <v>929</v>
      </c>
      <c r="J67" t="s">
        <v>11</v>
      </c>
    </row>
    <row r="68" spans="1:10" customFormat="1" ht="21">
      <c r="A68" s="28" t="s">
        <v>186</v>
      </c>
      <c r="B68" s="28"/>
      <c r="C68" s="28" t="s">
        <v>91</v>
      </c>
      <c r="D68" s="28" t="s">
        <v>92</v>
      </c>
      <c r="E68" s="28" t="s">
        <v>187</v>
      </c>
      <c r="F68" s="29">
        <v>1886136</v>
      </c>
      <c r="G68" s="29">
        <v>-470242.12</v>
      </c>
      <c r="H68" s="29">
        <v>1415893.88</v>
      </c>
      <c r="I68" t="s">
        <v>929</v>
      </c>
      <c r="J68" t="s">
        <v>11</v>
      </c>
    </row>
    <row r="69" spans="1:10" customFormat="1" ht="21">
      <c r="A69" s="28" t="s">
        <v>186</v>
      </c>
      <c r="B69" s="28"/>
      <c r="C69" s="28" t="s">
        <v>108</v>
      </c>
      <c r="D69" s="28" t="s">
        <v>92</v>
      </c>
      <c r="E69" s="28" t="s">
        <v>187</v>
      </c>
      <c r="F69" s="29">
        <v>5972764</v>
      </c>
      <c r="G69" s="29">
        <v>-5972763</v>
      </c>
      <c r="H69" s="29">
        <v>1</v>
      </c>
      <c r="I69" t="s">
        <v>929</v>
      </c>
      <c r="J69" t="s">
        <v>11</v>
      </c>
    </row>
    <row r="70" spans="1:10" customFormat="1" ht="21">
      <c r="A70" s="28" t="s">
        <v>188</v>
      </c>
      <c r="B70" s="28"/>
      <c r="C70" s="28" t="s">
        <v>91</v>
      </c>
      <c r="D70" s="28" t="s">
        <v>92</v>
      </c>
      <c r="E70" s="28" t="s">
        <v>189</v>
      </c>
      <c r="F70" s="29">
        <v>3757080</v>
      </c>
      <c r="G70" s="29">
        <v>-562018</v>
      </c>
      <c r="H70" s="29">
        <v>3195062</v>
      </c>
      <c r="I70" t="s">
        <v>929</v>
      </c>
      <c r="J70" t="s">
        <v>11</v>
      </c>
    </row>
    <row r="71" spans="1:10" customFormat="1" ht="21">
      <c r="A71" s="28" t="s">
        <v>188</v>
      </c>
      <c r="B71" s="28"/>
      <c r="C71" s="28" t="s">
        <v>108</v>
      </c>
      <c r="D71" s="28" t="s">
        <v>92</v>
      </c>
      <c r="E71" s="28" t="s">
        <v>189</v>
      </c>
      <c r="F71" s="29">
        <v>5635620</v>
      </c>
      <c r="G71" s="29">
        <v>-5635619</v>
      </c>
      <c r="H71" s="29">
        <v>1</v>
      </c>
      <c r="I71" t="s">
        <v>929</v>
      </c>
      <c r="J71" t="s">
        <v>11</v>
      </c>
    </row>
    <row r="72" spans="1:10" customFormat="1" ht="21">
      <c r="A72" s="28" t="s">
        <v>190</v>
      </c>
      <c r="B72" s="28"/>
      <c r="C72" s="28" t="s">
        <v>91</v>
      </c>
      <c r="D72" s="28" t="s">
        <v>92</v>
      </c>
      <c r="E72" s="28" t="s">
        <v>182</v>
      </c>
      <c r="F72" s="29">
        <v>900900</v>
      </c>
      <c r="G72" s="29">
        <v>-900899</v>
      </c>
      <c r="H72" s="29">
        <v>1</v>
      </c>
      <c r="I72" t="s">
        <v>929</v>
      </c>
      <c r="J72" t="s">
        <v>11</v>
      </c>
    </row>
    <row r="73" spans="1:10" customFormat="1" ht="21">
      <c r="A73" s="28" t="s">
        <v>191</v>
      </c>
      <c r="B73" s="28"/>
      <c r="C73" s="28" t="s">
        <v>91</v>
      </c>
      <c r="D73" s="28" t="s">
        <v>92</v>
      </c>
      <c r="E73" s="28" t="s">
        <v>192</v>
      </c>
      <c r="F73" s="29">
        <v>6157251.7599999998</v>
      </c>
      <c r="G73" s="29">
        <v>-541798.46</v>
      </c>
      <c r="H73" s="29">
        <v>5615453.2999999998</v>
      </c>
      <c r="I73" t="s">
        <v>929</v>
      </c>
      <c r="J73" t="s">
        <v>11</v>
      </c>
    </row>
    <row r="74" spans="1:10" customFormat="1" ht="21">
      <c r="A74" s="28" t="s">
        <v>191</v>
      </c>
      <c r="B74" s="28"/>
      <c r="C74" s="28" t="s">
        <v>108</v>
      </c>
      <c r="D74" s="28" t="s">
        <v>92</v>
      </c>
      <c r="E74" s="28" t="s">
        <v>192</v>
      </c>
      <c r="F74" s="29">
        <v>2897530.24</v>
      </c>
      <c r="G74" s="29">
        <v>-2897529.24</v>
      </c>
      <c r="H74" s="29">
        <v>1</v>
      </c>
      <c r="I74" t="s">
        <v>929</v>
      </c>
      <c r="J74" t="s">
        <v>11</v>
      </c>
    </row>
    <row r="75" spans="1:10" customFormat="1" ht="21">
      <c r="A75" s="28" t="s">
        <v>193</v>
      </c>
      <c r="B75" s="28"/>
      <c r="C75" s="28" t="s">
        <v>91</v>
      </c>
      <c r="D75" s="28" t="s">
        <v>92</v>
      </c>
      <c r="E75" s="28" t="s">
        <v>194</v>
      </c>
      <c r="F75" s="29">
        <v>343000</v>
      </c>
      <c r="G75" s="29">
        <v>-342999</v>
      </c>
      <c r="H75" s="29">
        <v>1</v>
      </c>
      <c r="I75" t="s">
        <v>929</v>
      </c>
      <c r="J75" t="s">
        <v>11</v>
      </c>
    </row>
    <row r="76" spans="1:10" customFormat="1" ht="21">
      <c r="A76" s="28" t="s">
        <v>195</v>
      </c>
      <c r="B76" s="28"/>
      <c r="C76" s="28" t="s">
        <v>91</v>
      </c>
      <c r="D76" s="28" t="s">
        <v>92</v>
      </c>
      <c r="E76" s="28" t="s">
        <v>196</v>
      </c>
      <c r="F76" s="29">
        <v>15500</v>
      </c>
      <c r="G76" s="29">
        <v>-2991.52</v>
      </c>
      <c r="H76" s="29">
        <v>12508.48</v>
      </c>
      <c r="I76" t="s">
        <v>929</v>
      </c>
      <c r="J76" t="s">
        <v>11</v>
      </c>
    </row>
    <row r="77" spans="1:10" customFormat="1" ht="21">
      <c r="A77" s="28" t="s">
        <v>195</v>
      </c>
      <c r="B77" s="28"/>
      <c r="C77" s="28" t="s">
        <v>108</v>
      </c>
      <c r="D77" s="28" t="s">
        <v>92</v>
      </c>
      <c r="E77" s="28" t="s">
        <v>196</v>
      </c>
      <c r="F77" s="29">
        <v>34500</v>
      </c>
      <c r="G77" s="29">
        <v>-34499</v>
      </c>
      <c r="H77" s="29">
        <v>1</v>
      </c>
      <c r="I77" t="s">
        <v>929</v>
      </c>
      <c r="J77" t="s">
        <v>11</v>
      </c>
    </row>
    <row r="78" spans="1:10" customFormat="1" ht="21">
      <c r="A78" s="28" t="s">
        <v>930</v>
      </c>
      <c r="B78" s="28"/>
      <c r="C78" s="28" t="s">
        <v>91</v>
      </c>
      <c r="D78" s="28" t="s">
        <v>92</v>
      </c>
      <c r="E78" s="28" t="s">
        <v>931</v>
      </c>
      <c r="F78" s="29">
        <v>866374</v>
      </c>
      <c r="G78" s="29">
        <v>-866373</v>
      </c>
      <c r="H78" s="29">
        <v>1</v>
      </c>
      <c r="I78" t="s">
        <v>929</v>
      </c>
      <c r="J78" t="s">
        <v>9</v>
      </c>
    </row>
    <row r="79" spans="1:10" customFormat="1" ht="21">
      <c r="A79" s="28" t="s">
        <v>932</v>
      </c>
      <c r="B79" s="28"/>
      <c r="C79" s="28" t="s">
        <v>91</v>
      </c>
      <c r="D79" s="28" t="s">
        <v>92</v>
      </c>
      <c r="E79" s="28" t="s">
        <v>933</v>
      </c>
      <c r="F79" s="29">
        <v>353844</v>
      </c>
      <c r="G79" s="29">
        <v>-353843</v>
      </c>
      <c r="H79" s="29">
        <v>1</v>
      </c>
      <c r="I79" t="s">
        <v>929</v>
      </c>
      <c r="J79" t="s">
        <v>9</v>
      </c>
    </row>
    <row r="80" spans="1:10" customFormat="1" ht="21">
      <c r="A80" s="28" t="s">
        <v>934</v>
      </c>
      <c r="B80" s="28"/>
      <c r="C80" s="28" t="s">
        <v>91</v>
      </c>
      <c r="D80" s="28" t="s">
        <v>92</v>
      </c>
      <c r="E80" s="28" t="s">
        <v>935</v>
      </c>
      <c r="F80" s="29">
        <v>700000</v>
      </c>
      <c r="G80" s="29">
        <v>-699999</v>
      </c>
      <c r="H80" s="29">
        <v>1</v>
      </c>
      <c r="I80" t="s">
        <v>929</v>
      </c>
      <c r="J80" t="s">
        <v>9</v>
      </c>
    </row>
    <row r="81" spans="1:10" customFormat="1" ht="21">
      <c r="A81" s="28" t="s">
        <v>936</v>
      </c>
      <c r="B81" s="28"/>
      <c r="C81" s="28" t="s">
        <v>91</v>
      </c>
      <c r="D81" s="28" t="s">
        <v>92</v>
      </c>
      <c r="E81" s="28" t="s">
        <v>937</v>
      </c>
      <c r="F81" s="29">
        <v>6415900</v>
      </c>
      <c r="G81" s="29">
        <v>-6415899</v>
      </c>
      <c r="H81" s="29">
        <v>1</v>
      </c>
      <c r="I81" t="s">
        <v>929</v>
      </c>
      <c r="J81" t="s">
        <v>9</v>
      </c>
    </row>
    <row r="82" spans="1:10" customFormat="1" ht="21">
      <c r="A82" s="28" t="s">
        <v>639</v>
      </c>
      <c r="B82" s="28"/>
      <c r="C82" s="28" t="s">
        <v>91</v>
      </c>
      <c r="D82" s="28" t="s">
        <v>92</v>
      </c>
      <c r="E82" s="28" t="s">
        <v>640</v>
      </c>
      <c r="F82" s="29">
        <v>50000</v>
      </c>
      <c r="G82" s="29">
        <v>-49999</v>
      </c>
      <c r="H82" s="29">
        <v>1</v>
      </c>
      <c r="I82" t="s">
        <v>929</v>
      </c>
      <c r="J82" t="s">
        <v>13</v>
      </c>
    </row>
    <row r="83" spans="1:10" customFormat="1" ht="21">
      <c r="A83" s="28" t="s">
        <v>641</v>
      </c>
      <c r="B83" s="28"/>
      <c r="C83" s="28" t="s">
        <v>91</v>
      </c>
      <c r="D83" s="28" t="s">
        <v>92</v>
      </c>
      <c r="E83" s="28" t="s">
        <v>642</v>
      </c>
      <c r="F83" s="29">
        <v>350000</v>
      </c>
      <c r="G83" s="29">
        <v>-349999</v>
      </c>
      <c r="H83" s="29">
        <v>1</v>
      </c>
      <c r="I83" t="s">
        <v>929</v>
      </c>
      <c r="J83" t="s">
        <v>13</v>
      </c>
    </row>
    <row r="84" spans="1:10" customFormat="1" ht="21">
      <c r="A84" s="28" t="s">
        <v>643</v>
      </c>
      <c r="B84" s="28"/>
      <c r="C84" s="28" t="s">
        <v>91</v>
      </c>
      <c r="D84" s="28" t="s">
        <v>92</v>
      </c>
      <c r="E84" s="28" t="s">
        <v>644</v>
      </c>
      <c r="F84" s="29">
        <v>7764351.3799999999</v>
      </c>
      <c r="G84" s="29">
        <v>-506794.48</v>
      </c>
      <c r="H84" s="29">
        <v>7257556.9000000004</v>
      </c>
      <c r="I84" t="s">
        <v>929</v>
      </c>
      <c r="J84" t="s">
        <v>13</v>
      </c>
    </row>
    <row r="85" spans="1:10" customFormat="1" ht="21">
      <c r="A85" s="28" t="s">
        <v>643</v>
      </c>
      <c r="B85" s="28"/>
      <c r="C85" s="28" t="s">
        <v>108</v>
      </c>
      <c r="D85" s="28" t="s">
        <v>92</v>
      </c>
      <c r="E85" s="28" t="s">
        <v>644</v>
      </c>
      <c r="F85" s="29">
        <v>705850.13</v>
      </c>
      <c r="G85" s="29">
        <v>-705849.13</v>
      </c>
      <c r="H85" s="29">
        <v>1</v>
      </c>
      <c r="I85" t="s">
        <v>929</v>
      </c>
      <c r="J85" t="s">
        <v>13</v>
      </c>
    </row>
    <row r="86" spans="1:10" customFormat="1" ht="21">
      <c r="A86" s="28" t="s">
        <v>938</v>
      </c>
      <c r="B86" s="28"/>
      <c r="C86" s="28" t="s">
        <v>91</v>
      </c>
      <c r="D86" s="28" t="s">
        <v>92</v>
      </c>
      <c r="E86" s="28" t="s">
        <v>939</v>
      </c>
      <c r="F86" s="29">
        <v>50000</v>
      </c>
      <c r="G86" s="29">
        <v>-49999</v>
      </c>
      <c r="H86" s="29">
        <v>1</v>
      </c>
      <c r="I86" t="s">
        <v>929</v>
      </c>
      <c r="J86" t="s">
        <v>15</v>
      </c>
    </row>
    <row r="87" spans="1:10" customFormat="1" ht="21">
      <c r="A87" s="28" t="s">
        <v>940</v>
      </c>
      <c r="B87" s="28"/>
      <c r="C87" s="28" t="s">
        <v>91</v>
      </c>
      <c r="D87" s="28" t="s">
        <v>92</v>
      </c>
      <c r="E87" s="28" t="s">
        <v>941</v>
      </c>
      <c r="F87" s="29">
        <v>305376</v>
      </c>
      <c r="G87" s="29">
        <v>-305375</v>
      </c>
      <c r="H87" s="29">
        <v>1</v>
      </c>
      <c r="I87" t="s">
        <v>929</v>
      </c>
      <c r="J87" t="s">
        <v>15</v>
      </c>
    </row>
    <row r="88" spans="1:10" customFormat="1" ht="21">
      <c r="A88" s="28" t="s">
        <v>942</v>
      </c>
      <c r="B88" s="28"/>
      <c r="C88" s="28" t="s">
        <v>91</v>
      </c>
      <c r="D88" s="28" t="s">
        <v>92</v>
      </c>
      <c r="E88" s="28" t="s">
        <v>943</v>
      </c>
      <c r="F88" s="29">
        <v>772000</v>
      </c>
      <c r="G88" s="29">
        <v>-771999</v>
      </c>
      <c r="H88" s="29">
        <v>1</v>
      </c>
      <c r="I88" t="s">
        <v>929</v>
      </c>
      <c r="J88" t="s">
        <v>15</v>
      </c>
    </row>
    <row r="89" spans="1:10" customFormat="1" ht="21">
      <c r="A89" s="28" t="s">
        <v>944</v>
      </c>
      <c r="B89" s="28"/>
      <c r="C89" s="28" t="s">
        <v>91</v>
      </c>
      <c r="D89" s="28" t="s">
        <v>92</v>
      </c>
      <c r="E89" s="28" t="s">
        <v>945</v>
      </c>
      <c r="F89" s="29">
        <v>231000</v>
      </c>
      <c r="G89" s="29">
        <v>-230999</v>
      </c>
      <c r="H89" s="29">
        <v>1</v>
      </c>
      <c r="I89" t="s">
        <v>929</v>
      </c>
      <c r="J89" t="s">
        <v>15</v>
      </c>
    </row>
    <row r="90" spans="1:10" customFormat="1" ht="21">
      <c r="A90" s="28" t="s">
        <v>946</v>
      </c>
      <c r="B90" s="28"/>
      <c r="C90" s="28" t="s">
        <v>91</v>
      </c>
      <c r="D90" s="28" t="s">
        <v>92</v>
      </c>
      <c r="E90" s="28" t="s">
        <v>947</v>
      </c>
      <c r="F90" s="29">
        <v>50000</v>
      </c>
      <c r="G90" s="29">
        <v>-49999</v>
      </c>
      <c r="H90" s="29">
        <v>1</v>
      </c>
      <c r="I90" t="s">
        <v>929</v>
      </c>
      <c r="J90" t="s">
        <v>15</v>
      </c>
    </row>
    <row r="91" spans="1:10" customFormat="1" ht="21">
      <c r="A91" s="28" t="s">
        <v>948</v>
      </c>
      <c r="B91" s="28"/>
      <c r="C91" s="28" t="s">
        <v>91</v>
      </c>
      <c r="D91" s="28" t="s">
        <v>92</v>
      </c>
      <c r="E91" s="28" t="s">
        <v>949</v>
      </c>
      <c r="F91" s="29">
        <v>99320</v>
      </c>
      <c r="G91" s="29">
        <v>-99319</v>
      </c>
      <c r="H91" s="29">
        <v>1</v>
      </c>
      <c r="I91" t="s">
        <v>929</v>
      </c>
      <c r="J91" t="s">
        <v>15</v>
      </c>
    </row>
    <row r="92" spans="1:10" customFormat="1" ht="21">
      <c r="A92" s="28" t="s">
        <v>950</v>
      </c>
      <c r="B92" s="28"/>
      <c r="C92" s="28" t="s">
        <v>91</v>
      </c>
      <c r="D92" s="28" t="s">
        <v>92</v>
      </c>
      <c r="E92" s="28" t="s">
        <v>943</v>
      </c>
      <c r="F92" s="29">
        <v>154400</v>
      </c>
      <c r="G92" s="29">
        <v>-154399</v>
      </c>
      <c r="H92" s="29">
        <v>1</v>
      </c>
      <c r="I92" t="s">
        <v>929</v>
      </c>
      <c r="J92" t="s">
        <v>15</v>
      </c>
    </row>
    <row r="93" spans="1:10" customFormat="1" ht="21">
      <c r="A93" s="28" t="s">
        <v>951</v>
      </c>
      <c r="B93" s="28"/>
      <c r="C93" s="28" t="s">
        <v>91</v>
      </c>
      <c r="D93" s="28" t="s">
        <v>92</v>
      </c>
      <c r="E93" s="28" t="s">
        <v>952</v>
      </c>
      <c r="F93" s="29">
        <v>55000</v>
      </c>
      <c r="G93" s="29">
        <v>-54999</v>
      </c>
      <c r="H93" s="29">
        <v>1</v>
      </c>
      <c r="I93" t="s">
        <v>929</v>
      </c>
      <c r="J93" t="s">
        <v>15</v>
      </c>
    </row>
    <row r="94" spans="1:10" customFormat="1" ht="21">
      <c r="A94" s="28" t="s">
        <v>953</v>
      </c>
      <c r="B94" s="28"/>
      <c r="C94" s="28" t="s">
        <v>91</v>
      </c>
      <c r="D94" s="28" t="s">
        <v>92</v>
      </c>
      <c r="E94" s="28" t="s">
        <v>954</v>
      </c>
      <c r="F94" s="29">
        <v>422000</v>
      </c>
      <c r="G94" s="29">
        <v>-421999</v>
      </c>
      <c r="H94" s="29">
        <v>1</v>
      </c>
      <c r="I94" t="s">
        <v>929</v>
      </c>
      <c r="J94" t="s">
        <v>15</v>
      </c>
    </row>
    <row r="95" spans="1:10" customFormat="1" ht="21">
      <c r="A95" s="28" t="s">
        <v>955</v>
      </c>
      <c r="B95" s="28"/>
      <c r="C95" s="28" t="s">
        <v>91</v>
      </c>
      <c r="D95" s="28" t="s">
        <v>92</v>
      </c>
      <c r="E95" s="28" t="s">
        <v>956</v>
      </c>
      <c r="F95" s="29">
        <v>199505</v>
      </c>
      <c r="G95" s="29">
        <v>-199504</v>
      </c>
      <c r="H95" s="29">
        <v>1</v>
      </c>
      <c r="I95" t="s">
        <v>929</v>
      </c>
      <c r="J95" t="s">
        <v>15</v>
      </c>
    </row>
    <row r="96" spans="1:10" customFormat="1" ht="21">
      <c r="A96" s="28" t="s">
        <v>957</v>
      </c>
      <c r="B96" s="28"/>
      <c r="C96" s="28" t="s">
        <v>91</v>
      </c>
      <c r="D96" s="28" t="s">
        <v>92</v>
      </c>
      <c r="E96" s="28" t="s">
        <v>958</v>
      </c>
      <c r="F96" s="29">
        <v>720000</v>
      </c>
      <c r="G96" s="29">
        <v>-719999</v>
      </c>
      <c r="H96" s="29">
        <v>1</v>
      </c>
      <c r="I96" t="s">
        <v>929</v>
      </c>
      <c r="J96" t="s">
        <v>15</v>
      </c>
    </row>
    <row r="97" spans="1:10" customFormat="1" ht="21">
      <c r="A97" s="28" t="s">
        <v>959</v>
      </c>
      <c r="B97" s="28"/>
      <c r="C97" s="28" t="s">
        <v>91</v>
      </c>
      <c r="D97" s="28" t="s">
        <v>92</v>
      </c>
      <c r="E97" s="28" t="s">
        <v>960</v>
      </c>
      <c r="F97" s="29">
        <v>199505</v>
      </c>
      <c r="G97" s="29">
        <v>-199504</v>
      </c>
      <c r="H97" s="29">
        <v>1</v>
      </c>
      <c r="I97" t="s">
        <v>929</v>
      </c>
      <c r="J97" t="s">
        <v>15</v>
      </c>
    </row>
    <row r="98" spans="1:10" customFormat="1" ht="21">
      <c r="A98" s="28" t="s">
        <v>961</v>
      </c>
      <c r="B98" s="28"/>
      <c r="C98" s="28" t="s">
        <v>91</v>
      </c>
      <c r="D98" s="28" t="s">
        <v>92</v>
      </c>
      <c r="E98" s="28" t="s">
        <v>962</v>
      </c>
      <c r="F98" s="29">
        <v>180000</v>
      </c>
      <c r="G98" s="29">
        <v>-179999</v>
      </c>
      <c r="H98" s="29">
        <v>1</v>
      </c>
      <c r="I98" t="s">
        <v>929</v>
      </c>
      <c r="J98" t="s">
        <v>15</v>
      </c>
    </row>
    <row r="99" spans="1:10" customFormat="1" ht="21">
      <c r="A99" s="28" t="s">
        <v>963</v>
      </c>
      <c r="B99" s="28"/>
      <c r="C99" s="28" t="s">
        <v>91</v>
      </c>
      <c r="D99" s="28" t="s">
        <v>92</v>
      </c>
      <c r="E99" s="28" t="s">
        <v>964</v>
      </c>
      <c r="F99" s="29">
        <v>50000</v>
      </c>
      <c r="G99" s="29">
        <v>-49999</v>
      </c>
      <c r="H99" s="29">
        <v>1</v>
      </c>
      <c r="I99" t="s">
        <v>929</v>
      </c>
      <c r="J99" t="s">
        <v>15</v>
      </c>
    </row>
    <row r="100" spans="1:10" customFormat="1" ht="21">
      <c r="A100" s="28" t="s">
        <v>965</v>
      </c>
      <c r="B100" s="28"/>
      <c r="C100" s="28" t="s">
        <v>91</v>
      </c>
      <c r="D100" s="28" t="s">
        <v>605</v>
      </c>
      <c r="E100" s="28" t="s">
        <v>966</v>
      </c>
      <c r="F100" s="29">
        <v>2495000</v>
      </c>
      <c r="G100" s="29">
        <v>-2325420.29</v>
      </c>
      <c r="H100" s="29">
        <v>169579.71</v>
      </c>
      <c r="I100" t="s">
        <v>929</v>
      </c>
      <c r="J100" t="s">
        <v>675</v>
      </c>
    </row>
    <row r="101" spans="1:10" customFormat="1" ht="21">
      <c r="A101" s="28" t="s">
        <v>967</v>
      </c>
      <c r="B101" s="28"/>
      <c r="C101" s="28" t="s">
        <v>91</v>
      </c>
      <c r="D101" s="28" t="s">
        <v>605</v>
      </c>
      <c r="E101" s="28" t="s">
        <v>968</v>
      </c>
      <c r="F101" s="29">
        <v>2495000</v>
      </c>
      <c r="G101" s="29">
        <v>-2325420.29</v>
      </c>
      <c r="H101" s="29">
        <v>169579.71</v>
      </c>
      <c r="I101" t="s">
        <v>929</v>
      </c>
      <c r="J101" t="s">
        <v>675</v>
      </c>
    </row>
    <row r="102" spans="1:10" customFormat="1" ht="21">
      <c r="A102" s="28" t="s">
        <v>969</v>
      </c>
      <c r="B102" s="28"/>
      <c r="C102" s="28" t="s">
        <v>91</v>
      </c>
      <c r="D102" s="28" t="s">
        <v>679</v>
      </c>
      <c r="E102" s="28" t="s">
        <v>680</v>
      </c>
      <c r="F102" s="29">
        <v>449663</v>
      </c>
      <c r="G102" s="29">
        <v>-103237.7</v>
      </c>
      <c r="H102" s="29">
        <v>346425.3</v>
      </c>
      <c r="I102" t="s">
        <v>929</v>
      </c>
      <c r="J102" t="s">
        <v>681</v>
      </c>
    </row>
    <row r="103" spans="1:10" customFormat="1" ht="21">
      <c r="A103" s="28" t="s">
        <v>970</v>
      </c>
      <c r="B103" s="28"/>
      <c r="C103" s="28" t="s">
        <v>91</v>
      </c>
      <c r="D103" s="28" t="s">
        <v>679</v>
      </c>
      <c r="E103" s="28" t="s">
        <v>683</v>
      </c>
      <c r="F103" s="29">
        <v>49870</v>
      </c>
      <c r="G103" s="29">
        <v>-11449.61</v>
      </c>
      <c r="H103" s="29">
        <v>38420.39</v>
      </c>
      <c r="I103" t="s">
        <v>929</v>
      </c>
      <c r="J103" t="s">
        <v>681</v>
      </c>
    </row>
    <row r="104" spans="1:10" customFormat="1" ht="21">
      <c r="A104" s="28" t="s">
        <v>971</v>
      </c>
      <c r="B104" s="28"/>
      <c r="C104" s="28" t="s">
        <v>91</v>
      </c>
      <c r="D104" s="28" t="s">
        <v>679</v>
      </c>
      <c r="E104" s="28" t="s">
        <v>683</v>
      </c>
      <c r="F104" s="29">
        <v>49870</v>
      </c>
      <c r="G104" s="29">
        <v>-11449.61</v>
      </c>
      <c r="H104" s="29">
        <v>38420.39</v>
      </c>
      <c r="I104" t="s">
        <v>929</v>
      </c>
      <c r="J104" t="s">
        <v>681</v>
      </c>
    </row>
    <row r="105" spans="1:10" customFormat="1" ht="21">
      <c r="A105" s="28" t="s">
        <v>972</v>
      </c>
      <c r="B105" s="28"/>
      <c r="C105" s="28" t="s">
        <v>91</v>
      </c>
      <c r="D105" s="28" t="s">
        <v>679</v>
      </c>
      <c r="E105" s="28" t="s">
        <v>683</v>
      </c>
      <c r="F105" s="29">
        <v>49870</v>
      </c>
      <c r="G105" s="29">
        <v>-11449.61</v>
      </c>
      <c r="H105" s="29">
        <v>38420.39</v>
      </c>
      <c r="I105" t="s">
        <v>929</v>
      </c>
      <c r="J105" t="s">
        <v>681</v>
      </c>
    </row>
    <row r="106" spans="1:10" customFormat="1" ht="21">
      <c r="A106" s="28" t="s">
        <v>973</v>
      </c>
      <c r="B106" s="28"/>
      <c r="C106" s="28" t="s">
        <v>91</v>
      </c>
      <c r="D106" s="28" t="s">
        <v>679</v>
      </c>
      <c r="E106" s="28" t="s">
        <v>683</v>
      </c>
      <c r="F106" s="29">
        <v>49870</v>
      </c>
      <c r="G106" s="29">
        <v>-11449.61</v>
      </c>
      <c r="H106" s="29">
        <v>38420.39</v>
      </c>
      <c r="I106" t="s">
        <v>929</v>
      </c>
      <c r="J106" t="s">
        <v>681</v>
      </c>
    </row>
    <row r="107" spans="1:10" customFormat="1" ht="21">
      <c r="A107" s="28" t="s">
        <v>974</v>
      </c>
      <c r="B107" s="28"/>
      <c r="C107" s="28" t="s">
        <v>91</v>
      </c>
      <c r="D107" s="28" t="s">
        <v>686</v>
      </c>
      <c r="E107" s="28" t="s">
        <v>687</v>
      </c>
      <c r="F107" s="29">
        <v>349650</v>
      </c>
      <c r="G107" s="29">
        <v>-91004.800000000003</v>
      </c>
      <c r="H107" s="29">
        <v>258645.2</v>
      </c>
      <c r="I107" t="s">
        <v>929</v>
      </c>
      <c r="J107" t="s">
        <v>681</v>
      </c>
    </row>
    <row r="108" spans="1:10" customFormat="1" ht="21">
      <c r="A108" s="28" t="s">
        <v>975</v>
      </c>
      <c r="B108" s="28"/>
      <c r="C108" s="28" t="s">
        <v>91</v>
      </c>
      <c r="D108" s="28" t="s">
        <v>605</v>
      </c>
      <c r="E108" s="28" t="s">
        <v>693</v>
      </c>
      <c r="F108" s="29">
        <v>355000</v>
      </c>
      <c r="G108" s="29">
        <v>-354999</v>
      </c>
      <c r="H108" s="29">
        <v>1</v>
      </c>
      <c r="I108" t="s">
        <v>929</v>
      </c>
      <c r="J108" t="s">
        <v>681</v>
      </c>
    </row>
    <row r="109" spans="1:10" customFormat="1" ht="21">
      <c r="A109" s="28" t="s">
        <v>976</v>
      </c>
      <c r="B109" s="28"/>
      <c r="C109" s="28" t="s">
        <v>91</v>
      </c>
      <c r="D109" s="28" t="s">
        <v>605</v>
      </c>
      <c r="E109" s="28" t="s">
        <v>977</v>
      </c>
      <c r="F109" s="29">
        <v>254800</v>
      </c>
      <c r="G109" s="29">
        <v>-254799</v>
      </c>
      <c r="H109" s="29">
        <v>1</v>
      </c>
      <c r="I109" t="s">
        <v>929</v>
      </c>
      <c r="J109" t="s">
        <v>681</v>
      </c>
    </row>
    <row r="110" spans="1:10" customFormat="1" ht="21">
      <c r="A110" s="28" t="s">
        <v>978</v>
      </c>
      <c r="B110" s="28"/>
      <c r="C110" s="28" t="s">
        <v>91</v>
      </c>
      <c r="D110" s="28" t="s">
        <v>605</v>
      </c>
      <c r="E110" s="28" t="s">
        <v>691</v>
      </c>
      <c r="F110" s="29">
        <v>419400</v>
      </c>
      <c r="G110" s="29">
        <v>-419399</v>
      </c>
      <c r="H110" s="29">
        <v>1</v>
      </c>
      <c r="I110" t="s">
        <v>929</v>
      </c>
      <c r="J110" t="s">
        <v>681</v>
      </c>
    </row>
    <row r="111" spans="1:10" customFormat="1" ht="21">
      <c r="A111" s="28" t="s">
        <v>979</v>
      </c>
      <c r="B111" s="28"/>
      <c r="C111" s="28" t="s">
        <v>91</v>
      </c>
      <c r="D111" s="28" t="s">
        <v>605</v>
      </c>
      <c r="E111" s="28" t="s">
        <v>697</v>
      </c>
      <c r="F111" s="29">
        <v>82692</v>
      </c>
      <c r="G111" s="29">
        <v>-79445.83</v>
      </c>
      <c r="H111" s="29">
        <v>3246.17</v>
      </c>
      <c r="I111" t="s">
        <v>929</v>
      </c>
      <c r="J111" t="s">
        <v>681</v>
      </c>
    </row>
    <row r="112" spans="1:10" customFormat="1" ht="21">
      <c r="A112" s="28" t="s">
        <v>980</v>
      </c>
      <c r="B112" s="28"/>
      <c r="C112" s="28" t="s">
        <v>91</v>
      </c>
      <c r="D112" s="28" t="s">
        <v>605</v>
      </c>
      <c r="E112" s="28" t="s">
        <v>697</v>
      </c>
      <c r="F112" s="29">
        <v>82692</v>
      </c>
      <c r="G112" s="29">
        <v>-79445.83</v>
      </c>
      <c r="H112" s="29">
        <v>3246.17</v>
      </c>
      <c r="I112" t="s">
        <v>929</v>
      </c>
      <c r="J112" t="s">
        <v>681</v>
      </c>
    </row>
    <row r="113" spans="1:10" customFormat="1" ht="21">
      <c r="A113" s="28" t="s">
        <v>981</v>
      </c>
      <c r="B113" s="28"/>
      <c r="C113" s="28" t="s">
        <v>91</v>
      </c>
      <c r="D113" s="28" t="s">
        <v>605</v>
      </c>
      <c r="E113" s="28" t="s">
        <v>982</v>
      </c>
      <c r="F113" s="29">
        <v>31500</v>
      </c>
      <c r="G113" s="29">
        <v>-29868.080000000002</v>
      </c>
      <c r="H113" s="29">
        <v>1631.92</v>
      </c>
      <c r="I113" t="s">
        <v>929</v>
      </c>
      <c r="J113" t="s">
        <v>681</v>
      </c>
    </row>
    <row r="114" spans="1:10" customFormat="1" ht="21">
      <c r="A114" s="28" t="s">
        <v>983</v>
      </c>
      <c r="B114" s="28"/>
      <c r="C114" s="28" t="s">
        <v>91</v>
      </c>
      <c r="D114" s="28" t="s">
        <v>605</v>
      </c>
      <c r="E114" s="28" t="s">
        <v>982</v>
      </c>
      <c r="F114" s="29">
        <v>31500</v>
      </c>
      <c r="G114" s="29">
        <v>-29868.080000000002</v>
      </c>
      <c r="H114" s="29">
        <v>1631.92</v>
      </c>
      <c r="I114" t="s">
        <v>929</v>
      </c>
      <c r="J114" t="s">
        <v>681</v>
      </c>
    </row>
    <row r="115" spans="1:10" customFormat="1" ht="21">
      <c r="A115" s="28" t="s">
        <v>984</v>
      </c>
      <c r="B115" s="28"/>
      <c r="C115" s="28" t="s">
        <v>91</v>
      </c>
      <c r="D115" s="28" t="s">
        <v>605</v>
      </c>
      <c r="E115" s="28" t="s">
        <v>855</v>
      </c>
      <c r="F115" s="29">
        <v>989700</v>
      </c>
      <c r="G115" s="29">
        <v>-775891.16</v>
      </c>
      <c r="H115" s="29">
        <v>213808.84</v>
      </c>
      <c r="I115" t="s">
        <v>929</v>
      </c>
      <c r="J115" t="s">
        <v>681</v>
      </c>
    </row>
    <row r="116" spans="1:10" customFormat="1" ht="21">
      <c r="A116" s="28" t="s">
        <v>985</v>
      </c>
      <c r="B116" s="28"/>
      <c r="C116" s="28" t="s">
        <v>91</v>
      </c>
      <c r="D116" s="28" t="s">
        <v>605</v>
      </c>
      <c r="E116" s="28" t="s">
        <v>855</v>
      </c>
      <c r="F116" s="29">
        <v>989700</v>
      </c>
      <c r="G116" s="29">
        <v>-775891.16</v>
      </c>
      <c r="H116" s="29">
        <v>213808.84</v>
      </c>
      <c r="I116" t="s">
        <v>929</v>
      </c>
      <c r="J116" t="s">
        <v>681</v>
      </c>
    </row>
    <row r="117" spans="1:10" customFormat="1" ht="21">
      <c r="A117" s="28" t="s">
        <v>986</v>
      </c>
      <c r="B117" s="28"/>
      <c r="C117" s="28" t="s">
        <v>91</v>
      </c>
      <c r="D117" s="28" t="s">
        <v>605</v>
      </c>
      <c r="E117" s="28" t="s">
        <v>987</v>
      </c>
      <c r="F117" s="29">
        <v>648000</v>
      </c>
      <c r="G117" s="29">
        <v>-424395.16</v>
      </c>
      <c r="H117" s="29">
        <v>223604.84</v>
      </c>
      <c r="I117" t="s">
        <v>929</v>
      </c>
      <c r="J117" t="s">
        <v>681</v>
      </c>
    </row>
    <row r="118" spans="1:10" customFormat="1" ht="21">
      <c r="A118" s="28" t="s">
        <v>988</v>
      </c>
      <c r="B118" s="28"/>
      <c r="C118" s="28" t="s">
        <v>91</v>
      </c>
      <c r="D118" s="28" t="s">
        <v>605</v>
      </c>
      <c r="E118" s="28" t="s">
        <v>716</v>
      </c>
      <c r="F118" s="29">
        <v>798000</v>
      </c>
      <c r="G118" s="29">
        <v>-522634.77</v>
      </c>
      <c r="H118" s="29">
        <v>275365.23</v>
      </c>
      <c r="I118" t="s">
        <v>929</v>
      </c>
      <c r="J118" t="s">
        <v>681</v>
      </c>
    </row>
    <row r="119" spans="1:10" customFormat="1" ht="21">
      <c r="A119" s="28" t="s">
        <v>989</v>
      </c>
      <c r="B119" s="28"/>
      <c r="C119" s="28" t="s">
        <v>91</v>
      </c>
      <c r="D119" s="28" t="s">
        <v>605</v>
      </c>
      <c r="E119" s="28" t="s">
        <v>855</v>
      </c>
      <c r="F119" s="29">
        <v>998000</v>
      </c>
      <c r="G119" s="29">
        <v>-401671.73</v>
      </c>
      <c r="H119" s="29">
        <v>596328.27</v>
      </c>
      <c r="I119" t="s">
        <v>929</v>
      </c>
      <c r="J119" t="s">
        <v>681</v>
      </c>
    </row>
    <row r="120" spans="1:10" customFormat="1" ht="21">
      <c r="A120" s="28" t="s">
        <v>990</v>
      </c>
      <c r="B120" s="28"/>
      <c r="C120" s="28" t="s">
        <v>91</v>
      </c>
      <c r="D120" s="28" t="s">
        <v>605</v>
      </c>
      <c r="E120" s="28" t="s">
        <v>855</v>
      </c>
      <c r="F120" s="29">
        <v>998000</v>
      </c>
      <c r="G120" s="29">
        <v>-401671.73</v>
      </c>
      <c r="H120" s="29">
        <v>596328.27</v>
      </c>
      <c r="I120" t="s">
        <v>929</v>
      </c>
      <c r="J120" t="s">
        <v>681</v>
      </c>
    </row>
    <row r="121" spans="1:10" customFormat="1" ht="21">
      <c r="A121" s="28" t="s">
        <v>991</v>
      </c>
      <c r="B121" s="28"/>
      <c r="C121" s="28" t="s">
        <v>91</v>
      </c>
      <c r="D121" s="28" t="s">
        <v>605</v>
      </c>
      <c r="E121" s="28" t="s">
        <v>840</v>
      </c>
      <c r="F121" s="29">
        <v>995000</v>
      </c>
      <c r="G121" s="29">
        <v>-371360.88</v>
      </c>
      <c r="H121" s="29">
        <v>623639.12</v>
      </c>
      <c r="I121" t="s">
        <v>929</v>
      </c>
      <c r="J121" t="s">
        <v>681</v>
      </c>
    </row>
    <row r="122" spans="1:10" customFormat="1" ht="21">
      <c r="A122" s="28" t="s">
        <v>992</v>
      </c>
      <c r="B122" s="28"/>
      <c r="C122" s="28" t="s">
        <v>91</v>
      </c>
      <c r="D122" s="28" t="s">
        <v>605</v>
      </c>
      <c r="E122" s="28" t="s">
        <v>843</v>
      </c>
      <c r="F122" s="29">
        <v>639500</v>
      </c>
      <c r="G122" s="29">
        <v>-215231.39</v>
      </c>
      <c r="H122" s="29">
        <v>424268.61</v>
      </c>
      <c r="I122" t="s">
        <v>929</v>
      </c>
      <c r="J122" t="s">
        <v>681</v>
      </c>
    </row>
  </sheetData>
  <mergeCells count="53">
    <mergeCell ref="A37:A38"/>
    <mergeCell ref="C37:C38"/>
    <mergeCell ref="D37:O37"/>
    <mergeCell ref="A35:O35"/>
    <mergeCell ref="A36:O36"/>
    <mergeCell ref="D17:O17"/>
    <mergeCell ref="A17:A18"/>
    <mergeCell ref="C17:C18"/>
    <mergeCell ref="A15:O15"/>
    <mergeCell ref="A16:O16"/>
    <mergeCell ref="Q15:AD15"/>
    <mergeCell ref="Q16:AD16"/>
    <mergeCell ref="Q17:Q18"/>
    <mergeCell ref="R17:R18"/>
    <mergeCell ref="S17:AD17"/>
    <mergeCell ref="Q35:AD35"/>
    <mergeCell ref="Q36:AD36"/>
    <mergeCell ref="Q37:Q38"/>
    <mergeCell ref="R37:R38"/>
    <mergeCell ref="S37:AD37"/>
    <mergeCell ref="AG17:AG18"/>
    <mergeCell ref="AF35:BE35"/>
    <mergeCell ref="AF36:BE36"/>
    <mergeCell ref="AF37:AF38"/>
    <mergeCell ref="AG37:AG38"/>
    <mergeCell ref="AH17:AI17"/>
    <mergeCell ref="AJ17:AK17"/>
    <mergeCell ref="AF15:BE15"/>
    <mergeCell ref="AF16:BE16"/>
    <mergeCell ref="A55:J55"/>
    <mergeCell ref="AT37:AU37"/>
    <mergeCell ref="AV37:AW37"/>
    <mergeCell ref="AX37:AY37"/>
    <mergeCell ref="AZ37:BA37"/>
    <mergeCell ref="BB37:BC37"/>
    <mergeCell ref="BD37:BE37"/>
    <mergeCell ref="AX17:AY17"/>
    <mergeCell ref="AZ17:BA17"/>
    <mergeCell ref="BB17:BC17"/>
    <mergeCell ref="BD17:BE17"/>
    <mergeCell ref="AH37:AI37"/>
    <mergeCell ref="AJ37:AK37"/>
    <mergeCell ref="AL37:AM37"/>
    <mergeCell ref="AN37:AO37"/>
    <mergeCell ref="AP37:AQ37"/>
    <mergeCell ref="AR37:AS37"/>
    <mergeCell ref="AL17:AM17"/>
    <mergeCell ref="AN17:AO17"/>
    <mergeCell ref="AP17:AQ17"/>
    <mergeCell ref="AR17:AS17"/>
    <mergeCell ref="AT17:AU17"/>
    <mergeCell ref="AV17:AW17"/>
    <mergeCell ref="AF17:AF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25AB-ECB0-4086-A5FB-964E1A65F6F7}">
  <dimension ref="A1:BD198"/>
  <sheetViews>
    <sheetView topLeftCell="A66" zoomScale="90" zoomScaleNormal="90" workbookViewId="0">
      <selection activeCell="E52" sqref="E52"/>
    </sheetView>
  </sheetViews>
  <sheetFormatPr defaultColWidth="18.75" defaultRowHeight="24.6"/>
  <cols>
    <col min="1" max="1" width="6.75" style="24" bestFit="1" customWidth="1"/>
    <col min="2" max="2" width="53" style="13" bestFit="1" customWidth="1"/>
    <col min="3" max="3" width="19.875" style="13" customWidth="1"/>
    <col min="4" max="4" width="19.625" style="13" customWidth="1"/>
    <col min="5" max="5" width="19.75" style="13" customWidth="1"/>
    <col min="6" max="15" width="18.75" style="13"/>
    <col min="16" max="16" width="6.75" style="24" bestFit="1" customWidth="1"/>
    <col min="17" max="17" width="53" style="13" bestFit="1" customWidth="1"/>
    <col min="18" max="20" width="19.5" style="13" bestFit="1" customWidth="1"/>
    <col min="21" max="30" width="18.75" style="13"/>
    <col min="31" max="31" width="6.75" style="24" bestFit="1" customWidth="1"/>
    <col min="32" max="32" width="53" style="13" bestFit="1" customWidth="1"/>
    <col min="33" max="16384" width="18.75" style="13"/>
  </cols>
  <sheetData>
    <row r="1" spans="1:56">
      <c r="A1" s="37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2"/>
      <c r="P1" s="37" t="s">
        <v>49</v>
      </c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E1" s="37" t="s">
        <v>0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</row>
    <row r="2" spans="1:56">
      <c r="A2" s="37" t="s">
        <v>1944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2"/>
      <c r="P2" s="37" t="s">
        <v>1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E2" s="37" t="s">
        <v>1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</row>
    <row r="3" spans="1:56" s="15" customFormat="1">
      <c r="A3" s="35" t="s">
        <v>2</v>
      </c>
      <c r="B3" s="35" t="s">
        <v>3</v>
      </c>
      <c r="C3" s="38" t="s">
        <v>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  <c r="O3" s="14"/>
      <c r="P3" s="35" t="s">
        <v>2</v>
      </c>
      <c r="Q3" s="35" t="s">
        <v>3</v>
      </c>
      <c r="R3" s="38" t="s">
        <v>5</v>
      </c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E3" s="35" t="s">
        <v>2</v>
      </c>
      <c r="AF3" s="35" t="s">
        <v>3</v>
      </c>
      <c r="AG3" s="33">
        <v>25112</v>
      </c>
      <c r="AH3" s="34"/>
      <c r="AI3" s="33">
        <v>25143</v>
      </c>
      <c r="AJ3" s="34"/>
      <c r="AK3" s="33">
        <v>25173</v>
      </c>
      <c r="AL3" s="34"/>
      <c r="AM3" s="33">
        <v>25204</v>
      </c>
      <c r="AN3" s="34"/>
      <c r="AO3" s="33">
        <v>25235</v>
      </c>
      <c r="AP3" s="34"/>
      <c r="AQ3" s="33">
        <v>25263</v>
      </c>
      <c r="AR3" s="34"/>
      <c r="AS3" s="33">
        <v>25294</v>
      </c>
      <c r="AT3" s="34"/>
      <c r="AU3" s="33">
        <v>25324</v>
      </c>
      <c r="AV3" s="34"/>
      <c r="AW3" s="33">
        <v>25355</v>
      </c>
      <c r="AX3" s="34"/>
      <c r="AY3" s="33">
        <v>25385</v>
      </c>
      <c r="AZ3" s="34"/>
      <c r="BA3" s="33">
        <v>25416</v>
      </c>
      <c r="BB3" s="34"/>
      <c r="BC3" s="33">
        <v>25447</v>
      </c>
      <c r="BD3" s="34"/>
    </row>
    <row r="4" spans="1:56" s="15" customFormat="1">
      <c r="A4" s="36"/>
      <c r="B4" s="36"/>
      <c r="C4" s="16">
        <v>25112</v>
      </c>
      <c r="D4" s="16">
        <v>25143</v>
      </c>
      <c r="E4" s="16">
        <v>25173</v>
      </c>
      <c r="F4" s="16">
        <v>25204</v>
      </c>
      <c r="G4" s="16">
        <v>25235</v>
      </c>
      <c r="H4" s="16">
        <v>25263</v>
      </c>
      <c r="I4" s="16">
        <v>25294</v>
      </c>
      <c r="J4" s="16">
        <v>25324</v>
      </c>
      <c r="K4" s="16">
        <v>25355</v>
      </c>
      <c r="L4" s="16">
        <v>25385</v>
      </c>
      <c r="M4" s="16">
        <v>25416</v>
      </c>
      <c r="N4" s="16">
        <v>25447</v>
      </c>
      <c r="P4" s="36"/>
      <c r="Q4" s="36"/>
      <c r="R4" s="16">
        <v>25112</v>
      </c>
      <c r="S4" s="16">
        <v>25143</v>
      </c>
      <c r="T4" s="16">
        <v>25173</v>
      </c>
      <c r="U4" s="16">
        <v>25204</v>
      </c>
      <c r="V4" s="16">
        <v>25235</v>
      </c>
      <c r="W4" s="16">
        <v>25263</v>
      </c>
      <c r="X4" s="16">
        <v>25294</v>
      </c>
      <c r="Y4" s="16">
        <v>25324</v>
      </c>
      <c r="Z4" s="16">
        <v>25355</v>
      </c>
      <c r="AA4" s="16">
        <v>25385</v>
      </c>
      <c r="AB4" s="16">
        <v>25416</v>
      </c>
      <c r="AC4" s="16">
        <v>25447</v>
      </c>
      <c r="AE4" s="36"/>
      <c r="AF4" s="36"/>
      <c r="AG4" s="16" t="s">
        <v>85</v>
      </c>
      <c r="AH4" s="16" t="s">
        <v>86</v>
      </c>
      <c r="AI4" s="16" t="s">
        <v>85</v>
      </c>
      <c r="AJ4" s="16" t="s">
        <v>86</v>
      </c>
      <c r="AK4" s="16" t="s">
        <v>85</v>
      </c>
      <c r="AL4" s="16" t="s">
        <v>86</v>
      </c>
      <c r="AM4" s="16" t="s">
        <v>85</v>
      </c>
      <c r="AN4" s="16" t="s">
        <v>86</v>
      </c>
      <c r="AO4" s="16" t="s">
        <v>85</v>
      </c>
      <c r="AP4" s="16" t="s">
        <v>86</v>
      </c>
      <c r="AQ4" s="16" t="s">
        <v>85</v>
      </c>
      <c r="AR4" s="16" t="s">
        <v>86</v>
      </c>
      <c r="AS4" s="16" t="s">
        <v>85</v>
      </c>
      <c r="AT4" s="16" t="s">
        <v>86</v>
      </c>
      <c r="AU4" s="16" t="s">
        <v>85</v>
      </c>
      <c r="AV4" s="16" t="s">
        <v>86</v>
      </c>
      <c r="AW4" s="16" t="s">
        <v>85</v>
      </c>
      <c r="AX4" s="16" t="s">
        <v>86</v>
      </c>
      <c r="AY4" s="16" t="s">
        <v>85</v>
      </c>
      <c r="AZ4" s="16" t="s">
        <v>86</v>
      </c>
      <c r="BA4" s="16" t="s">
        <v>85</v>
      </c>
      <c r="BB4" s="16" t="s">
        <v>86</v>
      </c>
      <c r="BC4" s="16" t="s">
        <v>85</v>
      </c>
      <c r="BD4" s="16" t="s">
        <v>86</v>
      </c>
    </row>
    <row r="5" spans="1:56">
      <c r="A5" s="17">
        <v>1</v>
      </c>
      <c r="B5" s="18" t="s">
        <v>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P5" s="17">
        <v>1</v>
      </c>
      <c r="Q5" s="18" t="s">
        <v>8</v>
      </c>
      <c r="R5" s="19">
        <v>25906771.5</v>
      </c>
      <c r="S5" s="19">
        <v>31807637</v>
      </c>
      <c r="T5" s="19">
        <v>37932586</v>
      </c>
      <c r="U5" s="19"/>
      <c r="V5" s="19"/>
      <c r="W5" s="19"/>
      <c r="X5" s="19"/>
      <c r="Y5" s="19"/>
      <c r="Z5" s="19"/>
      <c r="AA5" s="19"/>
      <c r="AB5" s="19"/>
      <c r="AC5" s="19"/>
      <c r="AE5" s="17">
        <v>1</v>
      </c>
      <c r="AF5" s="18" t="s">
        <v>8</v>
      </c>
      <c r="AG5" s="19">
        <f>+C5-R5</f>
        <v>-25906771.5</v>
      </c>
      <c r="AH5" s="19" t="e">
        <f>+AG5/C5*100</f>
        <v>#DIV/0!</v>
      </c>
      <c r="AI5" s="19">
        <f>+D5-S5</f>
        <v>-31807637</v>
      </c>
      <c r="AJ5" s="19" t="e">
        <f>+AI5/D5*100</f>
        <v>#DIV/0!</v>
      </c>
      <c r="AK5" s="19">
        <f>+E5-T5</f>
        <v>-37932586</v>
      </c>
      <c r="AL5" s="19" t="e">
        <f>+AK5/E5*100</f>
        <v>#DIV/0!</v>
      </c>
      <c r="AM5" s="19">
        <f>+F5-U5</f>
        <v>0</v>
      </c>
      <c r="AN5" s="19" t="e">
        <f>+AM5/F5*100</f>
        <v>#DIV/0!</v>
      </c>
      <c r="AO5" s="19">
        <f>+G5-V5</f>
        <v>0</v>
      </c>
      <c r="AP5" s="19" t="e">
        <f>+AO5/G5*100</f>
        <v>#DIV/0!</v>
      </c>
      <c r="AQ5" s="19">
        <f>+H5-W5</f>
        <v>0</v>
      </c>
      <c r="AR5" s="19" t="e">
        <f>+AQ5/H5*100</f>
        <v>#DIV/0!</v>
      </c>
      <c r="AS5" s="19">
        <f>+I5-X5</f>
        <v>0</v>
      </c>
      <c r="AT5" s="19" t="e">
        <f>+AS5/I5*100</f>
        <v>#DIV/0!</v>
      </c>
      <c r="AU5" s="19">
        <f>+J5-Y5</f>
        <v>0</v>
      </c>
      <c r="AV5" s="19" t="e">
        <f>+AU5/J5*100</f>
        <v>#DIV/0!</v>
      </c>
      <c r="AW5" s="19">
        <f>+K5-Z5</f>
        <v>0</v>
      </c>
      <c r="AX5" s="19" t="e">
        <f>+AW5/K5*100</f>
        <v>#DIV/0!</v>
      </c>
      <c r="AY5" s="19">
        <f>+L5-AA5</f>
        <v>0</v>
      </c>
      <c r="AZ5" s="19" t="e">
        <f>+AY5/L5*100</f>
        <v>#DIV/0!</v>
      </c>
      <c r="BA5" s="19">
        <f>+M5-AB5</f>
        <v>0</v>
      </c>
      <c r="BB5" s="19" t="e">
        <f>+BA5/M5*100</f>
        <v>#DIV/0!</v>
      </c>
      <c r="BC5" s="19">
        <f>+N5-AC5</f>
        <v>0</v>
      </c>
      <c r="BD5" s="19" t="e">
        <f>+BC5/N5*100</f>
        <v>#DIV/0!</v>
      </c>
    </row>
    <row r="6" spans="1:56">
      <c r="A6" s="17">
        <v>2</v>
      </c>
      <c r="B6" s="18" t="s">
        <v>9</v>
      </c>
      <c r="C6" s="19">
        <v>65637193</v>
      </c>
      <c r="D6" s="19">
        <v>65637193</v>
      </c>
      <c r="E6" s="19">
        <v>65637193</v>
      </c>
      <c r="F6" s="19"/>
      <c r="G6" s="19"/>
      <c r="H6" s="19"/>
      <c r="I6" s="19"/>
      <c r="J6" s="19"/>
      <c r="K6" s="19"/>
      <c r="L6" s="19"/>
      <c r="M6" s="19"/>
      <c r="N6" s="19"/>
      <c r="P6" s="17">
        <v>2</v>
      </c>
      <c r="Q6" s="18" t="s">
        <v>9</v>
      </c>
      <c r="R6" s="19">
        <v>65637193</v>
      </c>
      <c r="S6" s="19">
        <v>65637193</v>
      </c>
      <c r="T6" s="19">
        <v>65637193</v>
      </c>
      <c r="U6" s="19"/>
      <c r="V6" s="19"/>
      <c r="W6" s="19"/>
      <c r="X6" s="19"/>
      <c r="Y6" s="19"/>
      <c r="Z6" s="19"/>
      <c r="AA6" s="19"/>
      <c r="AB6" s="19"/>
      <c r="AC6" s="19"/>
      <c r="AE6" s="17">
        <v>2</v>
      </c>
      <c r="AF6" s="18" t="s">
        <v>9</v>
      </c>
      <c r="AG6" s="19">
        <f t="shared" ref="AG6:AG10" si="0">+C6-R6</f>
        <v>0</v>
      </c>
      <c r="AH6" s="19">
        <f t="shared" ref="AH6:AH10" si="1">+AG6/C6*100</f>
        <v>0</v>
      </c>
      <c r="AI6" s="19">
        <f t="shared" ref="AI6:AI10" si="2">+D6-S6</f>
        <v>0</v>
      </c>
      <c r="AJ6" s="19">
        <f t="shared" ref="AJ6:AJ10" si="3">+AI6/D6*100</f>
        <v>0</v>
      </c>
      <c r="AK6" s="19">
        <f t="shared" ref="AK6:AK10" si="4">+E6-T6</f>
        <v>0</v>
      </c>
      <c r="AL6" s="19">
        <f t="shared" ref="AL6:AL10" si="5">+AK6/E6*100</f>
        <v>0</v>
      </c>
      <c r="AM6" s="19">
        <f t="shared" ref="AM6:AM10" si="6">+F6-U6</f>
        <v>0</v>
      </c>
      <c r="AN6" s="19" t="e">
        <f t="shared" ref="AN6:AN10" si="7">+AM6/F6*100</f>
        <v>#DIV/0!</v>
      </c>
      <c r="AO6" s="19">
        <f t="shared" ref="AO6:AO10" si="8">+G6-V6</f>
        <v>0</v>
      </c>
      <c r="AP6" s="19" t="e">
        <f t="shared" ref="AP6:AP10" si="9">+AO6/G6*100</f>
        <v>#DIV/0!</v>
      </c>
      <c r="AQ6" s="19">
        <f t="shared" ref="AQ6:AQ10" si="10">+H6-W6</f>
        <v>0</v>
      </c>
      <c r="AR6" s="19" t="e">
        <f t="shared" ref="AR6:AR10" si="11">+AQ6/H6*100</f>
        <v>#DIV/0!</v>
      </c>
      <c r="AS6" s="19">
        <f t="shared" ref="AS6:AS10" si="12">+I6-X6</f>
        <v>0</v>
      </c>
      <c r="AT6" s="19" t="e">
        <f t="shared" ref="AT6:AT10" si="13">+AS6/I6*100</f>
        <v>#DIV/0!</v>
      </c>
      <c r="AU6" s="19">
        <f t="shared" ref="AU6:AU10" si="14">+J6-Y6</f>
        <v>0</v>
      </c>
      <c r="AV6" s="19" t="e">
        <f t="shared" ref="AV6:AV10" si="15">+AU6/J6*100</f>
        <v>#DIV/0!</v>
      </c>
      <c r="AW6" s="19">
        <f t="shared" ref="AW6:AW10" si="16">+K6-Z6</f>
        <v>0</v>
      </c>
      <c r="AX6" s="19" t="e">
        <f t="shared" ref="AX6:AX10" si="17">+AW6/K6*100</f>
        <v>#DIV/0!</v>
      </c>
      <c r="AY6" s="19">
        <f t="shared" ref="AY6:AY10" si="18">+L6-AA6</f>
        <v>0</v>
      </c>
      <c r="AZ6" s="19" t="e">
        <f t="shared" ref="AZ6:AZ10" si="19">+AY6/L6*100</f>
        <v>#DIV/0!</v>
      </c>
      <c r="BA6" s="19">
        <f t="shared" ref="BA6:BA10" si="20">+M6-AB6</f>
        <v>0</v>
      </c>
      <c r="BB6" s="19" t="e">
        <f t="shared" ref="BB6:BB10" si="21">+BA6/M6*100</f>
        <v>#DIV/0!</v>
      </c>
      <c r="BC6" s="19">
        <f t="shared" ref="BC6:BC10" si="22">+N6-AC6</f>
        <v>0</v>
      </c>
      <c r="BD6" s="19" t="e">
        <f t="shared" ref="BD6:BD10" si="23">+BC6/N6*100</f>
        <v>#DIV/0!</v>
      </c>
    </row>
    <row r="7" spans="1:56">
      <c r="A7" s="17">
        <v>3</v>
      </c>
      <c r="B7" s="18" t="s">
        <v>11</v>
      </c>
      <c r="C7" s="19">
        <v>29380844.739999998</v>
      </c>
      <c r="D7" s="19">
        <v>29380844.739999998</v>
      </c>
      <c r="E7" s="19">
        <v>29380844.739999998</v>
      </c>
      <c r="F7" s="19"/>
      <c r="G7" s="19"/>
      <c r="H7" s="19"/>
      <c r="I7" s="19"/>
      <c r="J7" s="19"/>
      <c r="K7" s="19"/>
      <c r="L7" s="19"/>
      <c r="M7" s="19"/>
      <c r="N7" s="19"/>
      <c r="P7" s="17">
        <v>3</v>
      </c>
      <c r="Q7" s="18" t="s">
        <v>11</v>
      </c>
      <c r="R7" s="19">
        <v>29380844.739999998</v>
      </c>
      <c r="S7" s="19">
        <v>29380844.739999998</v>
      </c>
      <c r="T7" s="19">
        <v>29380844.739999998</v>
      </c>
      <c r="U7" s="19"/>
      <c r="V7" s="19"/>
      <c r="W7" s="19"/>
      <c r="X7" s="19"/>
      <c r="Y7" s="19"/>
      <c r="Z7" s="19"/>
      <c r="AA7" s="19"/>
      <c r="AB7" s="19"/>
      <c r="AC7" s="19"/>
      <c r="AE7" s="17">
        <v>3</v>
      </c>
      <c r="AF7" s="18" t="s">
        <v>11</v>
      </c>
      <c r="AG7" s="19">
        <f t="shared" si="0"/>
        <v>0</v>
      </c>
      <c r="AH7" s="19">
        <f t="shared" si="1"/>
        <v>0</v>
      </c>
      <c r="AI7" s="19">
        <f t="shared" si="2"/>
        <v>0</v>
      </c>
      <c r="AJ7" s="19">
        <f t="shared" si="3"/>
        <v>0</v>
      </c>
      <c r="AK7" s="19">
        <f t="shared" si="4"/>
        <v>0</v>
      </c>
      <c r="AL7" s="19">
        <f t="shared" si="5"/>
        <v>0</v>
      </c>
      <c r="AM7" s="19">
        <f t="shared" si="6"/>
        <v>0</v>
      </c>
      <c r="AN7" s="19" t="e">
        <f t="shared" si="7"/>
        <v>#DIV/0!</v>
      </c>
      <c r="AO7" s="19">
        <f t="shared" si="8"/>
        <v>0</v>
      </c>
      <c r="AP7" s="19" t="e">
        <f t="shared" si="9"/>
        <v>#DIV/0!</v>
      </c>
      <c r="AQ7" s="19">
        <f t="shared" si="10"/>
        <v>0</v>
      </c>
      <c r="AR7" s="19" t="e">
        <f t="shared" si="11"/>
        <v>#DIV/0!</v>
      </c>
      <c r="AS7" s="19">
        <f t="shared" si="12"/>
        <v>0</v>
      </c>
      <c r="AT7" s="19" t="e">
        <f t="shared" si="13"/>
        <v>#DIV/0!</v>
      </c>
      <c r="AU7" s="19">
        <f t="shared" si="14"/>
        <v>0</v>
      </c>
      <c r="AV7" s="19" t="e">
        <f t="shared" si="15"/>
        <v>#DIV/0!</v>
      </c>
      <c r="AW7" s="19">
        <f t="shared" si="16"/>
        <v>0</v>
      </c>
      <c r="AX7" s="19" t="e">
        <f t="shared" si="17"/>
        <v>#DIV/0!</v>
      </c>
      <c r="AY7" s="19">
        <f t="shared" si="18"/>
        <v>0</v>
      </c>
      <c r="AZ7" s="19" t="e">
        <f t="shared" si="19"/>
        <v>#DIV/0!</v>
      </c>
      <c r="BA7" s="19">
        <f t="shared" si="20"/>
        <v>0</v>
      </c>
      <c r="BB7" s="19" t="e">
        <f t="shared" si="21"/>
        <v>#DIV/0!</v>
      </c>
      <c r="BC7" s="19">
        <f t="shared" si="22"/>
        <v>0</v>
      </c>
      <c r="BD7" s="19" t="e">
        <f t="shared" si="23"/>
        <v>#DIV/0!</v>
      </c>
    </row>
    <row r="8" spans="1:56">
      <c r="A8" s="17">
        <v>4</v>
      </c>
      <c r="B8" s="18" t="s">
        <v>13</v>
      </c>
      <c r="C8" s="19">
        <v>8711897</v>
      </c>
      <c r="D8" s="19">
        <v>8711897</v>
      </c>
      <c r="E8" s="19">
        <v>8711897</v>
      </c>
      <c r="F8" s="19"/>
      <c r="G8" s="19"/>
      <c r="H8" s="19"/>
      <c r="I8" s="19"/>
      <c r="J8" s="19"/>
      <c r="K8" s="19"/>
      <c r="L8" s="19"/>
      <c r="M8" s="19"/>
      <c r="N8" s="19"/>
      <c r="P8" s="17">
        <v>4</v>
      </c>
      <c r="Q8" s="18" t="s">
        <v>13</v>
      </c>
      <c r="R8" s="19">
        <v>8711897</v>
      </c>
      <c r="S8" s="19">
        <v>8711897</v>
      </c>
      <c r="T8" s="19">
        <v>8711897</v>
      </c>
      <c r="U8" s="19"/>
      <c r="V8" s="19"/>
      <c r="W8" s="19"/>
      <c r="X8" s="19"/>
      <c r="Y8" s="19"/>
      <c r="Z8" s="19"/>
      <c r="AA8" s="19"/>
      <c r="AB8" s="19"/>
      <c r="AC8" s="19"/>
      <c r="AE8" s="17">
        <v>4</v>
      </c>
      <c r="AF8" s="18" t="s">
        <v>13</v>
      </c>
      <c r="AG8" s="19">
        <f t="shared" si="0"/>
        <v>0</v>
      </c>
      <c r="AH8" s="19">
        <f t="shared" si="1"/>
        <v>0</v>
      </c>
      <c r="AI8" s="19">
        <f t="shared" si="2"/>
        <v>0</v>
      </c>
      <c r="AJ8" s="19">
        <f t="shared" si="3"/>
        <v>0</v>
      </c>
      <c r="AK8" s="19">
        <f t="shared" si="4"/>
        <v>0</v>
      </c>
      <c r="AL8" s="19">
        <f t="shared" si="5"/>
        <v>0</v>
      </c>
      <c r="AM8" s="19">
        <f t="shared" si="6"/>
        <v>0</v>
      </c>
      <c r="AN8" s="19" t="e">
        <f t="shared" si="7"/>
        <v>#DIV/0!</v>
      </c>
      <c r="AO8" s="19">
        <f t="shared" si="8"/>
        <v>0</v>
      </c>
      <c r="AP8" s="19" t="e">
        <f t="shared" si="9"/>
        <v>#DIV/0!</v>
      </c>
      <c r="AQ8" s="19">
        <f t="shared" si="10"/>
        <v>0</v>
      </c>
      <c r="AR8" s="19" t="e">
        <f t="shared" si="11"/>
        <v>#DIV/0!</v>
      </c>
      <c r="AS8" s="19">
        <f t="shared" si="12"/>
        <v>0</v>
      </c>
      <c r="AT8" s="19" t="e">
        <f t="shared" si="13"/>
        <v>#DIV/0!</v>
      </c>
      <c r="AU8" s="19">
        <f t="shared" si="14"/>
        <v>0</v>
      </c>
      <c r="AV8" s="19" t="e">
        <f t="shared" si="15"/>
        <v>#DIV/0!</v>
      </c>
      <c r="AW8" s="19">
        <f t="shared" si="16"/>
        <v>0</v>
      </c>
      <c r="AX8" s="19" t="e">
        <f t="shared" si="17"/>
        <v>#DIV/0!</v>
      </c>
      <c r="AY8" s="19">
        <f t="shared" si="18"/>
        <v>0</v>
      </c>
      <c r="AZ8" s="19" t="e">
        <f t="shared" si="19"/>
        <v>#DIV/0!</v>
      </c>
      <c r="BA8" s="19">
        <f t="shared" si="20"/>
        <v>0</v>
      </c>
      <c r="BB8" s="19" t="e">
        <f t="shared" si="21"/>
        <v>#DIV/0!</v>
      </c>
      <c r="BC8" s="19">
        <f t="shared" si="22"/>
        <v>0</v>
      </c>
      <c r="BD8" s="19" t="e">
        <f t="shared" si="23"/>
        <v>#DIV/0!</v>
      </c>
    </row>
    <row r="9" spans="1:56">
      <c r="A9" s="17">
        <v>5</v>
      </c>
      <c r="B9" s="18" t="s">
        <v>15</v>
      </c>
      <c r="C9" s="19">
        <v>6523203</v>
      </c>
      <c r="D9" s="19">
        <v>6523203</v>
      </c>
      <c r="E9" s="19">
        <v>6523203</v>
      </c>
      <c r="F9" s="19"/>
      <c r="G9" s="19"/>
      <c r="H9" s="19"/>
      <c r="I9" s="19"/>
      <c r="J9" s="19"/>
      <c r="K9" s="19"/>
      <c r="L9" s="19"/>
      <c r="M9" s="19"/>
      <c r="N9" s="19"/>
      <c r="P9" s="17">
        <v>5</v>
      </c>
      <c r="Q9" s="18" t="s">
        <v>15</v>
      </c>
      <c r="R9" s="19">
        <v>7497979.5</v>
      </c>
      <c r="S9" s="19">
        <v>7497979.5</v>
      </c>
      <c r="T9" s="19">
        <v>7497979.5</v>
      </c>
      <c r="U9" s="19"/>
      <c r="V9" s="19"/>
      <c r="W9" s="19"/>
      <c r="X9" s="19"/>
      <c r="Y9" s="19"/>
      <c r="Z9" s="19"/>
      <c r="AA9" s="19"/>
      <c r="AB9" s="19"/>
      <c r="AC9" s="19"/>
      <c r="AE9" s="17">
        <v>5</v>
      </c>
      <c r="AF9" s="18" t="s">
        <v>15</v>
      </c>
      <c r="AG9" s="19">
        <f t="shared" si="0"/>
        <v>-974776.5</v>
      </c>
      <c r="AH9" s="19">
        <f t="shared" si="1"/>
        <v>-14.943218845098031</v>
      </c>
      <c r="AI9" s="19">
        <f t="shared" si="2"/>
        <v>-974776.5</v>
      </c>
      <c r="AJ9" s="19">
        <f t="shared" si="3"/>
        <v>-14.943218845098031</v>
      </c>
      <c r="AK9" s="19">
        <f t="shared" si="4"/>
        <v>-974776.5</v>
      </c>
      <c r="AL9" s="19">
        <f t="shared" si="5"/>
        <v>-14.943218845098031</v>
      </c>
      <c r="AM9" s="19">
        <f t="shared" si="6"/>
        <v>0</v>
      </c>
      <c r="AN9" s="19" t="e">
        <f t="shared" si="7"/>
        <v>#DIV/0!</v>
      </c>
      <c r="AO9" s="19">
        <f t="shared" si="8"/>
        <v>0</v>
      </c>
      <c r="AP9" s="19" t="e">
        <f t="shared" si="9"/>
        <v>#DIV/0!</v>
      </c>
      <c r="AQ9" s="19">
        <f t="shared" si="10"/>
        <v>0</v>
      </c>
      <c r="AR9" s="19" t="e">
        <f t="shared" si="11"/>
        <v>#DIV/0!</v>
      </c>
      <c r="AS9" s="19">
        <f t="shared" si="12"/>
        <v>0</v>
      </c>
      <c r="AT9" s="19" t="e">
        <f t="shared" si="13"/>
        <v>#DIV/0!</v>
      </c>
      <c r="AU9" s="19">
        <f t="shared" si="14"/>
        <v>0</v>
      </c>
      <c r="AV9" s="19" t="e">
        <f t="shared" si="15"/>
        <v>#DIV/0!</v>
      </c>
      <c r="AW9" s="19">
        <f t="shared" si="16"/>
        <v>0</v>
      </c>
      <c r="AX9" s="19" t="e">
        <f t="shared" si="17"/>
        <v>#DIV/0!</v>
      </c>
      <c r="AY9" s="19">
        <f t="shared" si="18"/>
        <v>0</v>
      </c>
      <c r="AZ9" s="19" t="e">
        <f t="shared" si="19"/>
        <v>#DIV/0!</v>
      </c>
      <c r="BA9" s="19">
        <f t="shared" si="20"/>
        <v>0</v>
      </c>
      <c r="BB9" s="19" t="e">
        <f t="shared" si="21"/>
        <v>#DIV/0!</v>
      </c>
      <c r="BC9" s="19">
        <f t="shared" si="22"/>
        <v>0</v>
      </c>
      <c r="BD9" s="19" t="e">
        <f t="shared" si="23"/>
        <v>#DIV/0!</v>
      </c>
    </row>
    <row r="10" spans="1:56" s="22" customFormat="1" ht="25.2" thickBot="1">
      <c r="A10" s="20"/>
      <c r="B10" s="20" t="s">
        <v>17</v>
      </c>
      <c r="C10" s="21">
        <f>SUM(C5:C9)</f>
        <v>110253137.73999999</v>
      </c>
      <c r="D10" s="21">
        <f t="shared" ref="D10:N10" si="24">SUM(D5:D9)</f>
        <v>110253137.73999999</v>
      </c>
      <c r="E10" s="21">
        <f t="shared" si="24"/>
        <v>110253137.73999999</v>
      </c>
      <c r="F10" s="21">
        <f t="shared" si="24"/>
        <v>0</v>
      </c>
      <c r="G10" s="21">
        <f t="shared" si="24"/>
        <v>0</v>
      </c>
      <c r="H10" s="21">
        <f t="shared" si="24"/>
        <v>0</v>
      </c>
      <c r="I10" s="21">
        <f t="shared" si="24"/>
        <v>0</v>
      </c>
      <c r="J10" s="21">
        <f t="shared" si="24"/>
        <v>0</v>
      </c>
      <c r="K10" s="21">
        <f t="shared" si="24"/>
        <v>0</v>
      </c>
      <c r="L10" s="21">
        <f t="shared" si="24"/>
        <v>0</v>
      </c>
      <c r="M10" s="21">
        <f t="shared" si="24"/>
        <v>0</v>
      </c>
      <c r="N10" s="21">
        <f t="shared" si="24"/>
        <v>0</v>
      </c>
      <c r="P10" s="20"/>
      <c r="Q10" s="20" t="s">
        <v>17</v>
      </c>
      <c r="R10" s="21">
        <f>SUM(R5:R9)</f>
        <v>137134685.74000001</v>
      </c>
      <c r="S10" s="21">
        <f t="shared" ref="S10:AC10" si="25">SUM(S5:S9)</f>
        <v>143035551.24000001</v>
      </c>
      <c r="T10" s="21">
        <f t="shared" si="25"/>
        <v>149160500.24000001</v>
      </c>
      <c r="U10" s="21">
        <f t="shared" si="25"/>
        <v>0</v>
      </c>
      <c r="V10" s="21">
        <f t="shared" si="25"/>
        <v>0</v>
      </c>
      <c r="W10" s="21">
        <f t="shared" si="25"/>
        <v>0</v>
      </c>
      <c r="X10" s="21">
        <f t="shared" si="25"/>
        <v>0</v>
      </c>
      <c r="Y10" s="21">
        <f t="shared" si="25"/>
        <v>0</v>
      </c>
      <c r="Z10" s="21">
        <f t="shared" si="25"/>
        <v>0</v>
      </c>
      <c r="AA10" s="21">
        <f t="shared" si="25"/>
        <v>0</v>
      </c>
      <c r="AB10" s="21">
        <f t="shared" si="25"/>
        <v>0</v>
      </c>
      <c r="AC10" s="21">
        <f t="shared" si="25"/>
        <v>0</v>
      </c>
      <c r="AE10" s="20"/>
      <c r="AF10" s="20" t="s">
        <v>17</v>
      </c>
      <c r="AG10" s="23">
        <f t="shared" si="0"/>
        <v>-26881548.000000015</v>
      </c>
      <c r="AH10" s="23">
        <f t="shared" si="1"/>
        <v>-24.381662554940014</v>
      </c>
      <c r="AI10" s="23">
        <f t="shared" si="2"/>
        <v>-32782413.500000015</v>
      </c>
      <c r="AJ10" s="23">
        <f t="shared" si="3"/>
        <v>-29.73376918968766</v>
      </c>
      <c r="AK10" s="23">
        <f t="shared" si="4"/>
        <v>-38907362.500000015</v>
      </c>
      <c r="AL10" s="23">
        <f t="shared" si="5"/>
        <v>-35.28912038018521</v>
      </c>
      <c r="AM10" s="23">
        <f t="shared" si="6"/>
        <v>0</v>
      </c>
      <c r="AN10" s="23" t="e">
        <f t="shared" si="7"/>
        <v>#DIV/0!</v>
      </c>
      <c r="AO10" s="23">
        <f t="shared" si="8"/>
        <v>0</v>
      </c>
      <c r="AP10" s="23" t="e">
        <f t="shared" si="9"/>
        <v>#DIV/0!</v>
      </c>
      <c r="AQ10" s="23">
        <f t="shared" si="10"/>
        <v>0</v>
      </c>
      <c r="AR10" s="23" t="e">
        <f t="shared" si="11"/>
        <v>#DIV/0!</v>
      </c>
      <c r="AS10" s="23">
        <f t="shared" si="12"/>
        <v>0</v>
      </c>
      <c r="AT10" s="23" t="e">
        <f t="shared" si="13"/>
        <v>#DIV/0!</v>
      </c>
      <c r="AU10" s="23">
        <f t="shared" si="14"/>
        <v>0</v>
      </c>
      <c r="AV10" s="23" t="e">
        <f t="shared" si="15"/>
        <v>#DIV/0!</v>
      </c>
      <c r="AW10" s="23">
        <f t="shared" si="16"/>
        <v>0</v>
      </c>
      <c r="AX10" s="23" t="e">
        <f t="shared" si="17"/>
        <v>#DIV/0!</v>
      </c>
      <c r="AY10" s="23">
        <f t="shared" si="18"/>
        <v>0</v>
      </c>
      <c r="AZ10" s="23" t="e">
        <f t="shared" si="19"/>
        <v>#DIV/0!</v>
      </c>
      <c r="BA10" s="23">
        <f t="shared" si="20"/>
        <v>0</v>
      </c>
      <c r="BB10" s="23" t="e">
        <f t="shared" si="21"/>
        <v>#DIV/0!</v>
      </c>
      <c r="BC10" s="23">
        <f t="shared" si="22"/>
        <v>0</v>
      </c>
      <c r="BD10" s="23" t="e">
        <f t="shared" si="23"/>
        <v>#DIV/0!</v>
      </c>
    </row>
    <row r="11" spans="1:56" ht="25.2" thickTop="1"/>
    <row r="12" spans="1:56">
      <c r="A12" s="37" t="s">
        <v>46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P12" s="37" t="s">
        <v>50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E12" s="37" t="s">
        <v>87</v>
      </c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</row>
    <row r="13" spans="1:56">
      <c r="A13" s="37" t="s">
        <v>1944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P13" s="37" t="s">
        <v>1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E13" s="37" t="s">
        <v>1</v>
      </c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</row>
    <row r="14" spans="1:56" s="15" customFormat="1">
      <c r="A14" s="35" t="s">
        <v>2</v>
      </c>
      <c r="B14" s="35" t="s">
        <v>3</v>
      </c>
      <c r="C14" s="38" t="s">
        <v>4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0"/>
      <c r="P14" s="35" t="s">
        <v>2</v>
      </c>
      <c r="Q14" s="35" t="s">
        <v>3</v>
      </c>
      <c r="R14" s="38" t="s">
        <v>5</v>
      </c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40"/>
      <c r="AE14" s="35" t="s">
        <v>2</v>
      </c>
      <c r="AF14" s="35" t="s">
        <v>3</v>
      </c>
      <c r="AG14" s="33">
        <v>25112</v>
      </c>
      <c r="AH14" s="34"/>
      <c r="AI14" s="33">
        <v>25143</v>
      </c>
      <c r="AJ14" s="34"/>
      <c r="AK14" s="33">
        <v>25173</v>
      </c>
      <c r="AL14" s="34"/>
      <c r="AM14" s="33">
        <v>25204</v>
      </c>
      <c r="AN14" s="34"/>
      <c r="AO14" s="33">
        <v>25235</v>
      </c>
      <c r="AP14" s="34"/>
      <c r="AQ14" s="33">
        <v>25263</v>
      </c>
      <c r="AR14" s="34"/>
      <c r="AS14" s="33">
        <v>25294</v>
      </c>
      <c r="AT14" s="34"/>
      <c r="AU14" s="33">
        <v>25324</v>
      </c>
      <c r="AV14" s="34"/>
      <c r="AW14" s="33">
        <v>25355</v>
      </c>
      <c r="AX14" s="34"/>
      <c r="AY14" s="33">
        <v>25385</v>
      </c>
      <c r="AZ14" s="34"/>
      <c r="BA14" s="33">
        <v>25416</v>
      </c>
      <c r="BB14" s="34"/>
      <c r="BC14" s="33">
        <v>25447</v>
      </c>
      <c r="BD14" s="34"/>
    </row>
    <row r="15" spans="1:56" s="15" customFormat="1">
      <c r="A15" s="36"/>
      <c r="B15" s="36"/>
      <c r="C15" s="16">
        <v>25112</v>
      </c>
      <c r="D15" s="16">
        <v>25143</v>
      </c>
      <c r="E15" s="16">
        <v>25173</v>
      </c>
      <c r="F15" s="16">
        <v>25204</v>
      </c>
      <c r="G15" s="16">
        <v>25235</v>
      </c>
      <c r="H15" s="16">
        <v>25263</v>
      </c>
      <c r="I15" s="16">
        <v>25294</v>
      </c>
      <c r="J15" s="16">
        <v>25324</v>
      </c>
      <c r="K15" s="16">
        <v>25355</v>
      </c>
      <c r="L15" s="16">
        <v>25385</v>
      </c>
      <c r="M15" s="16">
        <v>25416</v>
      </c>
      <c r="N15" s="16">
        <v>25447</v>
      </c>
      <c r="P15" s="36"/>
      <c r="Q15" s="36"/>
      <c r="R15" s="16">
        <v>25112</v>
      </c>
      <c r="S15" s="16">
        <v>25143</v>
      </c>
      <c r="T15" s="16">
        <v>25173</v>
      </c>
      <c r="U15" s="16">
        <v>25204</v>
      </c>
      <c r="V15" s="16">
        <v>25235</v>
      </c>
      <c r="W15" s="16">
        <v>25263</v>
      </c>
      <c r="X15" s="16">
        <v>25294</v>
      </c>
      <c r="Y15" s="16">
        <v>25324</v>
      </c>
      <c r="Z15" s="16">
        <v>25355</v>
      </c>
      <c r="AA15" s="16">
        <v>25385</v>
      </c>
      <c r="AB15" s="16">
        <v>25416</v>
      </c>
      <c r="AC15" s="16">
        <v>25447</v>
      </c>
      <c r="AE15" s="36"/>
      <c r="AF15" s="36"/>
      <c r="AG15" s="16" t="s">
        <v>85</v>
      </c>
      <c r="AH15" s="16" t="s">
        <v>86</v>
      </c>
      <c r="AI15" s="16" t="s">
        <v>85</v>
      </c>
      <c r="AJ15" s="16" t="s">
        <v>86</v>
      </c>
      <c r="AK15" s="16" t="s">
        <v>85</v>
      </c>
      <c r="AL15" s="16" t="s">
        <v>86</v>
      </c>
      <c r="AM15" s="16" t="s">
        <v>85</v>
      </c>
      <c r="AN15" s="16" t="s">
        <v>86</v>
      </c>
      <c r="AO15" s="16" t="s">
        <v>85</v>
      </c>
      <c r="AP15" s="16" t="s">
        <v>86</v>
      </c>
      <c r="AQ15" s="16" t="s">
        <v>85</v>
      </c>
      <c r="AR15" s="16" t="s">
        <v>86</v>
      </c>
      <c r="AS15" s="16" t="s">
        <v>85</v>
      </c>
      <c r="AT15" s="16" t="s">
        <v>86</v>
      </c>
      <c r="AU15" s="16" t="s">
        <v>85</v>
      </c>
      <c r="AV15" s="16" t="s">
        <v>86</v>
      </c>
      <c r="AW15" s="16" t="s">
        <v>85</v>
      </c>
      <c r="AX15" s="16" t="s">
        <v>86</v>
      </c>
      <c r="AY15" s="16" t="s">
        <v>85</v>
      </c>
      <c r="AZ15" s="16" t="s">
        <v>86</v>
      </c>
      <c r="BA15" s="16" t="s">
        <v>85</v>
      </c>
      <c r="BB15" s="16" t="s">
        <v>86</v>
      </c>
      <c r="BC15" s="16" t="s">
        <v>85</v>
      </c>
      <c r="BD15" s="16" t="s">
        <v>86</v>
      </c>
    </row>
    <row r="16" spans="1:56">
      <c r="A16" s="17"/>
      <c r="B16" s="18"/>
      <c r="C16" s="19"/>
      <c r="D16" s="19"/>
      <c r="E16" s="19"/>
      <c r="F16" s="19"/>
      <c r="G16" s="18"/>
      <c r="H16" s="18"/>
      <c r="I16" s="18"/>
      <c r="J16" s="18"/>
      <c r="K16" s="18"/>
      <c r="L16" s="18"/>
      <c r="M16" s="18"/>
      <c r="N16" s="18"/>
      <c r="P16" s="17"/>
      <c r="Q16" s="18"/>
      <c r="R16" s="19"/>
      <c r="S16" s="19"/>
      <c r="T16" s="19"/>
      <c r="U16" s="19"/>
      <c r="V16" s="18"/>
      <c r="W16" s="18"/>
      <c r="X16" s="18"/>
      <c r="Y16" s="18"/>
      <c r="Z16" s="18"/>
      <c r="AA16" s="18"/>
      <c r="AB16" s="18"/>
      <c r="AC16" s="18"/>
      <c r="AE16" s="17"/>
      <c r="AF16" s="18"/>
      <c r="AG16" s="19"/>
      <c r="AH16" s="19"/>
      <c r="AI16" s="19"/>
      <c r="AJ16" s="19"/>
      <c r="AK16" s="19"/>
      <c r="AL16" s="19"/>
      <c r="AM16" s="19"/>
      <c r="AN16" s="19"/>
      <c r="AO16" s="18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</row>
    <row r="17" spans="1:56">
      <c r="A17" s="17">
        <v>1</v>
      </c>
      <c r="B17" s="18" t="s">
        <v>10</v>
      </c>
      <c r="C17" s="19">
        <v>61328638.060000002</v>
      </c>
      <c r="D17" s="19">
        <v>61367268.200000003</v>
      </c>
      <c r="E17" s="19">
        <v>-61407186</v>
      </c>
      <c r="F17" s="19"/>
      <c r="G17" s="18"/>
      <c r="H17" s="18"/>
      <c r="I17" s="18"/>
      <c r="J17" s="18"/>
      <c r="K17" s="18"/>
      <c r="L17" s="18"/>
      <c r="M17" s="18"/>
      <c r="N17" s="18"/>
      <c r="P17" s="17">
        <v>1</v>
      </c>
      <c r="Q17" s="18" t="s">
        <v>10</v>
      </c>
      <c r="R17" s="19">
        <v>61327554.740000002</v>
      </c>
      <c r="S17" s="19">
        <v>61366721.409999996</v>
      </c>
      <c r="T17" s="19">
        <v>61405888.079999998</v>
      </c>
      <c r="U17" s="19"/>
      <c r="V17" s="18"/>
      <c r="W17" s="18"/>
      <c r="X17" s="18"/>
      <c r="Y17" s="18"/>
      <c r="Z17" s="18"/>
      <c r="AA17" s="18"/>
      <c r="AB17" s="18"/>
      <c r="AC17" s="18"/>
      <c r="AE17" s="17">
        <v>1</v>
      </c>
      <c r="AF17" s="18" t="s">
        <v>10</v>
      </c>
      <c r="AG17" s="19">
        <f t="shared" ref="AG17:AG21" si="26">+C17-R17</f>
        <v>1083.320000000298</v>
      </c>
      <c r="AH17" s="19">
        <f t="shared" ref="AH17:AH21" si="27">+AG17/C17*100</f>
        <v>1.7664178339333856E-3</v>
      </c>
      <c r="AI17" s="19">
        <f t="shared" ref="AI17:AI21" si="28">+D17-S17</f>
        <v>546.79000000655651</v>
      </c>
      <c r="AJ17" s="19">
        <f t="shared" ref="AJ17:AJ21" si="29">+AI17/D17*100</f>
        <v>8.9101245019499896E-4</v>
      </c>
      <c r="AK17" s="19">
        <f t="shared" ref="AK17:AK21" si="30">+E17-T17</f>
        <v>-122813074.08</v>
      </c>
      <c r="AL17" s="19">
        <f t="shared" ref="AL17:AL21" si="31">+AK17/E17*100</f>
        <v>199.99788637114881</v>
      </c>
      <c r="AM17" s="19">
        <f t="shared" ref="AM17:AM21" si="32">+F17-U17</f>
        <v>0</v>
      </c>
      <c r="AN17" s="19" t="e">
        <f t="shared" ref="AN17:AN21" si="33">+AM17/F17*100</f>
        <v>#DIV/0!</v>
      </c>
      <c r="AO17" s="19">
        <f t="shared" ref="AO17:AO21" si="34">+G17-V17</f>
        <v>0</v>
      </c>
      <c r="AP17" s="19" t="e">
        <f t="shared" ref="AP17:AP21" si="35">+AO17/G17*100</f>
        <v>#DIV/0!</v>
      </c>
      <c r="AQ17" s="19">
        <f t="shared" ref="AQ17:AQ21" si="36">+H17-W17</f>
        <v>0</v>
      </c>
      <c r="AR17" s="19" t="e">
        <f t="shared" ref="AR17:AR21" si="37">+AQ17/H17*100</f>
        <v>#DIV/0!</v>
      </c>
      <c r="AS17" s="19">
        <f t="shared" ref="AS17:AS21" si="38">+I17-X17</f>
        <v>0</v>
      </c>
      <c r="AT17" s="19" t="e">
        <f t="shared" ref="AT17:AT21" si="39">+AS17/I17*100</f>
        <v>#DIV/0!</v>
      </c>
      <c r="AU17" s="19">
        <f t="shared" ref="AU17:AU21" si="40">+J17-Y17</f>
        <v>0</v>
      </c>
      <c r="AV17" s="19" t="e">
        <f t="shared" ref="AV17:AV21" si="41">+AU17/J17*100</f>
        <v>#DIV/0!</v>
      </c>
      <c r="AW17" s="19">
        <f t="shared" ref="AW17:AW21" si="42">+K17-Z17</f>
        <v>0</v>
      </c>
      <c r="AX17" s="19" t="e">
        <f t="shared" ref="AX17:AX21" si="43">+AW17/K17*100</f>
        <v>#DIV/0!</v>
      </c>
      <c r="AY17" s="19">
        <f t="shared" ref="AY17:AY21" si="44">+L17-AA17</f>
        <v>0</v>
      </c>
      <c r="AZ17" s="19" t="e">
        <f t="shared" ref="AZ17:AZ21" si="45">+AY17/L17*100</f>
        <v>#DIV/0!</v>
      </c>
      <c r="BA17" s="19">
        <f t="shared" ref="BA17:BA21" si="46">+M17-AB17</f>
        <v>0</v>
      </c>
      <c r="BB17" s="19" t="e">
        <f t="shared" ref="BB17:BB21" si="47">+BA17/M17*100</f>
        <v>#DIV/0!</v>
      </c>
      <c r="BC17" s="19">
        <f t="shared" ref="BC17:BC21" si="48">+N17-AC17</f>
        <v>0</v>
      </c>
      <c r="BD17" s="19" t="e">
        <f t="shared" ref="BD17:BD21" si="49">+BC17/N17*100</f>
        <v>#DIV/0!</v>
      </c>
    </row>
    <row r="18" spans="1:56">
      <c r="A18" s="17">
        <v>2</v>
      </c>
      <c r="B18" s="18" t="s">
        <v>12</v>
      </c>
      <c r="C18" s="19">
        <v>19501544.73</v>
      </c>
      <c r="D18" s="19">
        <v>19558233.510000002</v>
      </c>
      <c r="E18" s="19">
        <v>-19616811.899999999</v>
      </c>
      <c r="F18" s="19"/>
      <c r="G18" s="18"/>
      <c r="H18" s="18"/>
      <c r="I18" s="18"/>
      <c r="J18" s="18"/>
      <c r="K18" s="18"/>
      <c r="L18" s="18"/>
      <c r="M18" s="18"/>
      <c r="N18" s="18"/>
      <c r="P18" s="17">
        <v>2</v>
      </c>
      <c r="Q18" s="18" t="s">
        <v>12</v>
      </c>
      <c r="R18" s="19">
        <v>18899219.670000002</v>
      </c>
      <c r="S18" s="19">
        <v>18964704.350000001</v>
      </c>
      <c r="T18" s="19">
        <v>19030189.030000001</v>
      </c>
      <c r="U18" s="19"/>
      <c r="V18" s="18"/>
      <c r="W18" s="18"/>
      <c r="X18" s="18"/>
      <c r="Y18" s="18"/>
      <c r="Z18" s="18"/>
      <c r="AA18" s="18"/>
      <c r="AB18" s="18"/>
      <c r="AC18" s="18"/>
      <c r="AE18" s="17">
        <v>2</v>
      </c>
      <c r="AF18" s="18" t="s">
        <v>12</v>
      </c>
      <c r="AG18" s="19">
        <f t="shared" si="26"/>
        <v>602325.05999999866</v>
      </c>
      <c r="AH18" s="19">
        <f t="shared" si="27"/>
        <v>3.0886017920078817</v>
      </c>
      <c r="AI18" s="19">
        <f t="shared" si="28"/>
        <v>593529.16000000015</v>
      </c>
      <c r="AJ18" s="19">
        <f t="shared" si="29"/>
        <v>3.0346767242375567</v>
      </c>
      <c r="AK18" s="19">
        <f t="shared" si="30"/>
        <v>-38647000.93</v>
      </c>
      <c r="AL18" s="19">
        <f t="shared" si="31"/>
        <v>197.00959119662051</v>
      </c>
      <c r="AM18" s="19">
        <f t="shared" si="32"/>
        <v>0</v>
      </c>
      <c r="AN18" s="19" t="e">
        <f t="shared" si="33"/>
        <v>#DIV/0!</v>
      </c>
      <c r="AO18" s="19">
        <f t="shared" si="34"/>
        <v>0</v>
      </c>
      <c r="AP18" s="19" t="e">
        <f t="shared" si="35"/>
        <v>#DIV/0!</v>
      </c>
      <c r="AQ18" s="19">
        <f t="shared" si="36"/>
        <v>0</v>
      </c>
      <c r="AR18" s="19" t="e">
        <f t="shared" si="37"/>
        <v>#DIV/0!</v>
      </c>
      <c r="AS18" s="19">
        <f t="shared" si="38"/>
        <v>0</v>
      </c>
      <c r="AT18" s="19" t="e">
        <f t="shared" si="39"/>
        <v>#DIV/0!</v>
      </c>
      <c r="AU18" s="19">
        <f t="shared" si="40"/>
        <v>0</v>
      </c>
      <c r="AV18" s="19" t="e">
        <f t="shared" si="41"/>
        <v>#DIV/0!</v>
      </c>
      <c r="AW18" s="19">
        <f t="shared" si="42"/>
        <v>0</v>
      </c>
      <c r="AX18" s="19" t="e">
        <f t="shared" si="43"/>
        <v>#DIV/0!</v>
      </c>
      <c r="AY18" s="19">
        <f t="shared" si="44"/>
        <v>0</v>
      </c>
      <c r="AZ18" s="19" t="e">
        <f t="shared" si="45"/>
        <v>#DIV/0!</v>
      </c>
      <c r="BA18" s="19">
        <f t="shared" si="46"/>
        <v>0</v>
      </c>
      <c r="BB18" s="19" t="e">
        <f t="shared" si="47"/>
        <v>#DIV/0!</v>
      </c>
      <c r="BC18" s="19">
        <f t="shared" si="48"/>
        <v>0</v>
      </c>
      <c r="BD18" s="19" t="e">
        <f t="shared" si="49"/>
        <v>#DIV/0!</v>
      </c>
    </row>
    <row r="19" spans="1:56">
      <c r="A19" s="17">
        <v>3</v>
      </c>
      <c r="B19" s="18" t="s">
        <v>14</v>
      </c>
      <c r="C19" s="19">
        <v>7960185.8899999997</v>
      </c>
      <c r="D19" s="19">
        <v>7966925.6200000001</v>
      </c>
      <c r="E19" s="19">
        <v>-7973890</v>
      </c>
      <c r="F19" s="19"/>
      <c r="G19" s="18"/>
      <c r="H19" s="18"/>
      <c r="I19" s="18"/>
      <c r="J19" s="18"/>
      <c r="K19" s="18"/>
      <c r="L19" s="18"/>
      <c r="M19" s="18"/>
      <c r="N19" s="18"/>
      <c r="P19" s="17">
        <v>3</v>
      </c>
      <c r="Q19" s="18" t="s">
        <v>14</v>
      </c>
      <c r="R19" s="19">
        <v>7960001.9299999997</v>
      </c>
      <c r="S19" s="19">
        <v>7966835.2599999998</v>
      </c>
      <c r="T19" s="19">
        <v>7973668.5899999999</v>
      </c>
      <c r="U19" s="19"/>
      <c r="V19" s="18"/>
      <c r="W19" s="18"/>
      <c r="X19" s="18"/>
      <c r="Y19" s="18"/>
      <c r="Z19" s="18"/>
      <c r="AA19" s="18"/>
      <c r="AB19" s="18"/>
      <c r="AC19" s="18"/>
      <c r="AE19" s="17">
        <v>3</v>
      </c>
      <c r="AF19" s="18" t="s">
        <v>14</v>
      </c>
      <c r="AG19" s="19">
        <f t="shared" si="26"/>
        <v>183.95999999996275</v>
      </c>
      <c r="AH19" s="19">
        <f t="shared" si="27"/>
        <v>2.3110013075330676E-3</v>
      </c>
      <c r="AI19" s="19">
        <f t="shared" si="28"/>
        <v>90.360000000335276</v>
      </c>
      <c r="AJ19" s="19">
        <f t="shared" si="29"/>
        <v>1.134189075061746E-3</v>
      </c>
      <c r="AK19" s="19">
        <f t="shared" si="30"/>
        <v>-15947558.59</v>
      </c>
      <c r="AL19" s="19">
        <f t="shared" si="31"/>
        <v>199.99722331258644</v>
      </c>
      <c r="AM19" s="19">
        <f t="shared" si="32"/>
        <v>0</v>
      </c>
      <c r="AN19" s="19" t="e">
        <f t="shared" si="33"/>
        <v>#DIV/0!</v>
      </c>
      <c r="AO19" s="19">
        <f t="shared" si="34"/>
        <v>0</v>
      </c>
      <c r="AP19" s="19" t="e">
        <f t="shared" si="35"/>
        <v>#DIV/0!</v>
      </c>
      <c r="AQ19" s="19">
        <f t="shared" si="36"/>
        <v>0</v>
      </c>
      <c r="AR19" s="19" t="e">
        <f t="shared" si="37"/>
        <v>#DIV/0!</v>
      </c>
      <c r="AS19" s="19">
        <f t="shared" si="38"/>
        <v>0</v>
      </c>
      <c r="AT19" s="19" t="e">
        <f t="shared" si="39"/>
        <v>#DIV/0!</v>
      </c>
      <c r="AU19" s="19">
        <f t="shared" si="40"/>
        <v>0</v>
      </c>
      <c r="AV19" s="19" t="e">
        <f t="shared" si="41"/>
        <v>#DIV/0!</v>
      </c>
      <c r="AW19" s="19">
        <f t="shared" si="42"/>
        <v>0</v>
      </c>
      <c r="AX19" s="19" t="e">
        <f t="shared" si="43"/>
        <v>#DIV/0!</v>
      </c>
      <c r="AY19" s="19">
        <f t="shared" si="44"/>
        <v>0</v>
      </c>
      <c r="AZ19" s="19" t="e">
        <f t="shared" si="45"/>
        <v>#DIV/0!</v>
      </c>
      <c r="BA19" s="19">
        <f t="shared" si="46"/>
        <v>0</v>
      </c>
      <c r="BB19" s="19" t="e">
        <f t="shared" si="47"/>
        <v>#DIV/0!</v>
      </c>
      <c r="BC19" s="19">
        <f t="shared" si="48"/>
        <v>0</v>
      </c>
      <c r="BD19" s="19" t="e">
        <f t="shared" si="49"/>
        <v>#DIV/0!</v>
      </c>
    </row>
    <row r="20" spans="1:56">
      <c r="A20" s="17">
        <v>4</v>
      </c>
      <c r="B20" s="18" t="s">
        <v>16</v>
      </c>
      <c r="C20" s="19">
        <v>6515530.6900000004</v>
      </c>
      <c r="D20" s="19">
        <v>6519300.0300000003</v>
      </c>
      <c r="E20" s="19">
        <v>-6523194</v>
      </c>
      <c r="F20" s="19"/>
      <c r="G20" s="18"/>
      <c r="H20" s="18"/>
      <c r="I20" s="18"/>
      <c r="J20" s="18"/>
      <c r="K20" s="18"/>
      <c r="L20" s="18"/>
      <c r="M20" s="18"/>
      <c r="N20" s="18"/>
      <c r="P20" s="17">
        <v>4</v>
      </c>
      <c r="Q20" s="18" t="s">
        <v>16</v>
      </c>
      <c r="R20" s="19">
        <v>7490206.1500000004</v>
      </c>
      <c r="S20" s="19">
        <v>7494027.8300000001</v>
      </c>
      <c r="T20" s="19">
        <v>7497849.5099999998</v>
      </c>
      <c r="U20" s="19"/>
      <c r="V20" s="18"/>
      <c r="W20" s="18"/>
      <c r="X20" s="18"/>
      <c r="Y20" s="18"/>
      <c r="Z20" s="18"/>
      <c r="AA20" s="18"/>
      <c r="AB20" s="18"/>
      <c r="AC20" s="18"/>
      <c r="AE20" s="17">
        <v>4</v>
      </c>
      <c r="AF20" s="18" t="s">
        <v>16</v>
      </c>
      <c r="AG20" s="19">
        <f t="shared" si="26"/>
        <v>-974675.46</v>
      </c>
      <c r="AH20" s="19">
        <f t="shared" si="27"/>
        <v>-14.959264354259375</v>
      </c>
      <c r="AI20" s="19">
        <f t="shared" si="28"/>
        <v>-974727.79999999981</v>
      </c>
      <c r="AJ20" s="19">
        <f t="shared" si="29"/>
        <v>-14.951418028232698</v>
      </c>
      <c r="AK20" s="19">
        <f t="shared" si="30"/>
        <v>-14021043.51</v>
      </c>
      <c r="AL20" s="19">
        <f t="shared" si="31"/>
        <v>214.94138469590203</v>
      </c>
      <c r="AM20" s="19">
        <f t="shared" si="32"/>
        <v>0</v>
      </c>
      <c r="AN20" s="19" t="e">
        <f t="shared" si="33"/>
        <v>#DIV/0!</v>
      </c>
      <c r="AO20" s="19">
        <f t="shared" si="34"/>
        <v>0</v>
      </c>
      <c r="AP20" s="19" t="e">
        <f t="shared" si="35"/>
        <v>#DIV/0!</v>
      </c>
      <c r="AQ20" s="19">
        <f t="shared" si="36"/>
        <v>0</v>
      </c>
      <c r="AR20" s="19" t="e">
        <f t="shared" si="37"/>
        <v>#DIV/0!</v>
      </c>
      <c r="AS20" s="19">
        <f t="shared" si="38"/>
        <v>0</v>
      </c>
      <c r="AT20" s="19" t="e">
        <f t="shared" si="39"/>
        <v>#DIV/0!</v>
      </c>
      <c r="AU20" s="19">
        <f t="shared" si="40"/>
        <v>0</v>
      </c>
      <c r="AV20" s="19" t="e">
        <f t="shared" si="41"/>
        <v>#DIV/0!</v>
      </c>
      <c r="AW20" s="19">
        <f t="shared" si="42"/>
        <v>0</v>
      </c>
      <c r="AX20" s="19" t="e">
        <f t="shared" si="43"/>
        <v>#DIV/0!</v>
      </c>
      <c r="AY20" s="19">
        <f t="shared" si="44"/>
        <v>0</v>
      </c>
      <c r="AZ20" s="19" t="e">
        <f t="shared" si="45"/>
        <v>#DIV/0!</v>
      </c>
      <c r="BA20" s="19">
        <f t="shared" si="46"/>
        <v>0</v>
      </c>
      <c r="BB20" s="19" t="e">
        <f t="shared" si="47"/>
        <v>#DIV/0!</v>
      </c>
      <c r="BC20" s="19">
        <f t="shared" si="48"/>
        <v>0</v>
      </c>
      <c r="BD20" s="19" t="e">
        <f t="shared" si="49"/>
        <v>#DIV/0!</v>
      </c>
    </row>
    <row r="21" spans="1:56" ht="25.2" thickBot="1">
      <c r="A21" s="20"/>
      <c r="B21" s="20" t="s">
        <v>17</v>
      </c>
      <c r="C21" s="21">
        <f>SUM(C16:C20)</f>
        <v>95305899.370000005</v>
      </c>
      <c r="D21" s="21">
        <f t="shared" ref="D21:N21" si="50">SUM(D16:D20)</f>
        <v>95411727.360000014</v>
      </c>
      <c r="E21" s="21">
        <f t="shared" si="50"/>
        <v>-95521081.900000006</v>
      </c>
      <c r="F21" s="21">
        <f t="shared" si="50"/>
        <v>0</v>
      </c>
      <c r="G21" s="21">
        <f t="shared" si="50"/>
        <v>0</v>
      </c>
      <c r="H21" s="21">
        <f t="shared" si="50"/>
        <v>0</v>
      </c>
      <c r="I21" s="21">
        <f t="shared" si="50"/>
        <v>0</v>
      </c>
      <c r="J21" s="21">
        <f t="shared" si="50"/>
        <v>0</v>
      </c>
      <c r="K21" s="21">
        <f t="shared" si="50"/>
        <v>0</v>
      </c>
      <c r="L21" s="21">
        <f t="shared" si="50"/>
        <v>0</v>
      </c>
      <c r="M21" s="21">
        <f t="shared" si="50"/>
        <v>0</v>
      </c>
      <c r="N21" s="21">
        <f t="shared" si="50"/>
        <v>0</v>
      </c>
      <c r="P21" s="20"/>
      <c r="Q21" s="20" t="s">
        <v>17</v>
      </c>
      <c r="R21" s="21">
        <f>SUM(R16:R20)</f>
        <v>95676982.49000001</v>
      </c>
      <c r="S21" s="21">
        <f t="shared" ref="S21:AC21" si="51">SUM(S16:S20)</f>
        <v>95792288.849999994</v>
      </c>
      <c r="T21" s="21">
        <f t="shared" si="51"/>
        <v>95907595.210000008</v>
      </c>
      <c r="U21" s="21">
        <f t="shared" si="51"/>
        <v>0</v>
      </c>
      <c r="V21" s="21">
        <f t="shared" si="51"/>
        <v>0</v>
      </c>
      <c r="W21" s="21">
        <f t="shared" si="51"/>
        <v>0</v>
      </c>
      <c r="X21" s="21">
        <f t="shared" si="51"/>
        <v>0</v>
      </c>
      <c r="Y21" s="21">
        <f t="shared" si="51"/>
        <v>0</v>
      </c>
      <c r="Z21" s="21">
        <f t="shared" si="51"/>
        <v>0</v>
      </c>
      <c r="AA21" s="21">
        <f t="shared" si="51"/>
        <v>0</v>
      </c>
      <c r="AB21" s="21">
        <f t="shared" si="51"/>
        <v>0</v>
      </c>
      <c r="AC21" s="21">
        <f t="shared" si="51"/>
        <v>0</v>
      </c>
      <c r="AE21" s="20"/>
      <c r="AF21" s="20" t="s">
        <v>17</v>
      </c>
      <c r="AG21" s="23">
        <f t="shared" si="26"/>
        <v>-371083.12000000477</v>
      </c>
      <c r="AH21" s="23">
        <f t="shared" si="27"/>
        <v>-0.3893600736711717</v>
      </c>
      <c r="AI21" s="23">
        <f t="shared" si="28"/>
        <v>-380561.48999997973</v>
      </c>
      <c r="AJ21" s="23">
        <f t="shared" si="29"/>
        <v>-0.39886238361881354</v>
      </c>
      <c r="AK21" s="23">
        <f t="shared" si="30"/>
        <v>-191428677.11000001</v>
      </c>
      <c r="AL21" s="23">
        <f t="shared" si="31"/>
        <v>200.40463665435095</v>
      </c>
      <c r="AM21" s="23">
        <f t="shared" si="32"/>
        <v>0</v>
      </c>
      <c r="AN21" s="23" t="e">
        <f t="shared" si="33"/>
        <v>#DIV/0!</v>
      </c>
      <c r="AO21" s="23">
        <f t="shared" si="34"/>
        <v>0</v>
      </c>
      <c r="AP21" s="23" t="e">
        <f t="shared" si="35"/>
        <v>#DIV/0!</v>
      </c>
      <c r="AQ21" s="23">
        <f t="shared" si="36"/>
        <v>0</v>
      </c>
      <c r="AR21" s="23" t="e">
        <f t="shared" si="37"/>
        <v>#DIV/0!</v>
      </c>
      <c r="AS21" s="23">
        <f t="shared" si="38"/>
        <v>0</v>
      </c>
      <c r="AT21" s="23" t="e">
        <f t="shared" si="39"/>
        <v>#DIV/0!</v>
      </c>
      <c r="AU21" s="23">
        <f t="shared" si="40"/>
        <v>0</v>
      </c>
      <c r="AV21" s="23" t="e">
        <f t="shared" si="41"/>
        <v>#DIV/0!</v>
      </c>
      <c r="AW21" s="23">
        <f t="shared" si="42"/>
        <v>0</v>
      </c>
      <c r="AX21" s="23" t="e">
        <f t="shared" si="43"/>
        <v>#DIV/0!</v>
      </c>
      <c r="AY21" s="23">
        <f t="shared" si="44"/>
        <v>0</v>
      </c>
      <c r="AZ21" s="23" t="e">
        <f t="shared" si="45"/>
        <v>#DIV/0!</v>
      </c>
      <c r="BA21" s="23">
        <f t="shared" si="46"/>
        <v>0</v>
      </c>
      <c r="BB21" s="23" t="e">
        <f t="shared" si="47"/>
        <v>#DIV/0!</v>
      </c>
      <c r="BC21" s="23">
        <f t="shared" si="48"/>
        <v>0</v>
      </c>
      <c r="BD21" s="23" t="e">
        <f t="shared" si="49"/>
        <v>#DIV/0!</v>
      </c>
    </row>
    <row r="22" spans="1:56" ht="25.2" thickTop="1"/>
    <row r="23" spans="1:56">
      <c r="A23" s="37" t="s">
        <v>47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P23" s="37" t="s">
        <v>51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E23" s="37" t="s">
        <v>88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</row>
    <row r="24" spans="1:56">
      <c r="A24" s="37" t="s">
        <v>1944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P24" s="37" t="s">
        <v>1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E24" s="37" t="s">
        <v>1</v>
      </c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</row>
    <row r="25" spans="1:56" s="25" customFormat="1">
      <c r="A25" s="35" t="s">
        <v>2</v>
      </c>
      <c r="B25" s="35" t="s">
        <v>3</v>
      </c>
      <c r="C25" s="38" t="s">
        <v>4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P25" s="35" t="s">
        <v>2</v>
      </c>
      <c r="Q25" s="35" t="s">
        <v>3</v>
      </c>
      <c r="R25" s="38" t="s">
        <v>5</v>
      </c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/>
      <c r="AE25" s="35" t="s">
        <v>2</v>
      </c>
      <c r="AF25" s="35" t="s">
        <v>3</v>
      </c>
      <c r="AG25" s="33">
        <v>25112</v>
      </c>
      <c r="AH25" s="34"/>
      <c r="AI25" s="33">
        <v>25143</v>
      </c>
      <c r="AJ25" s="34"/>
      <c r="AK25" s="33">
        <v>25173</v>
      </c>
      <c r="AL25" s="34"/>
      <c r="AM25" s="33">
        <v>25204</v>
      </c>
      <c r="AN25" s="34"/>
      <c r="AO25" s="33">
        <v>25235</v>
      </c>
      <c r="AP25" s="34"/>
      <c r="AQ25" s="33">
        <v>25263</v>
      </c>
      <c r="AR25" s="34"/>
      <c r="AS25" s="33">
        <v>25294</v>
      </c>
      <c r="AT25" s="34"/>
      <c r="AU25" s="33">
        <v>25324</v>
      </c>
      <c r="AV25" s="34"/>
      <c r="AW25" s="33">
        <v>25355</v>
      </c>
      <c r="AX25" s="34"/>
      <c r="AY25" s="33">
        <v>25385</v>
      </c>
      <c r="AZ25" s="34"/>
      <c r="BA25" s="33">
        <v>25416</v>
      </c>
      <c r="BB25" s="34"/>
      <c r="BC25" s="33">
        <v>25447</v>
      </c>
      <c r="BD25" s="34"/>
    </row>
    <row r="26" spans="1:56" s="25" customFormat="1">
      <c r="A26" s="36"/>
      <c r="B26" s="36"/>
      <c r="C26" s="16">
        <v>25112</v>
      </c>
      <c r="D26" s="16">
        <v>25143</v>
      </c>
      <c r="E26" s="16">
        <v>25173</v>
      </c>
      <c r="F26" s="16">
        <v>25204</v>
      </c>
      <c r="G26" s="16">
        <v>25235</v>
      </c>
      <c r="H26" s="16">
        <v>25263</v>
      </c>
      <c r="I26" s="16">
        <v>25294</v>
      </c>
      <c r="J26" s="16">
        <v>25324</v>
      </c>
      <c r="K26" s="16">
        <v>25355</v>
      </c>
      <c r="L26" s="16">
        <v>25385</v>
      </c>
      <c r="M26" s="16">
        <v>25416</v>
      </c>
      <c r="N26" s="16">
        <v>25447</v>
      </c>
      <c r="P26" s="36"/>
      <c r="Q26" s="36"/>
      <c r="R26" s="16">
        <v>25112</v>
      </c>
      <c r="S26" s="16">
        <v>25143</v>
      </c>
      <c r="T26" s="16">
        <v>25173</v>
      </c>
      <c r="U26" s="16">
        <v>25204</v>
      </c>
      <c r="V26" s="16">
        <v>25235</v>
      </c>
      <c r="W26" s="16">
        <v>25263</v>
      </c>
      <c r="X26" s="16">
        <v>25294</v>
      </c>
      <c r="Y26" s="16">
        <v>25324</v>
      </c>
      <c r="Z26" s="16">
        <v>25355</v>
      </c>
      <c r="AA26" s="16">
        <v>25385</v>
      </c>
      <c r="AB26" s="16">
        <v>25416</v>
      </c>
      <c r="AC26" s="16">
        <v>25447</v>
      </c>
      <c r="AE26" s="36"/>
      <c r="AF26" s="36"/>
      <c r="AG26" s="16" t="s">
        <v>85</v>
      </c>
      <c r="AH26" s="16" t="s">
        <v>86</v>
      </c>
      <c r="AI26" s="16" t="s">
        <v>85</v>
      </c>
      <c r="AJ26" s="16" t="s">
        <v>86</v>
      </c>
      <c r="AK26" s="16" t="s">
        <v>85</v>
      </c>
      <c r="AL26" s="16" t="s">
        <v>86</v>
      </c>
      <c r="AM26" s="16" t="s">
        <v>85</v>
      </c>
      <c r="AN26" s="16" t="s">
        <v>86</v>
      </c>
      <c r="AO26" s="16" t="s">
        <v>85</v>
      </c>
      <c r="AP26" s="16" t="s">
        <v>86</v>
      </c>
      <c r="AQ26" s="16" t="s">
        <v>85</v>
      </c>
      <c r="AR26" s="16" t="s">
        <v>86</v>
      </c>
      <c r="AS26" s="16" t="s">
        <v>85</v>
      </c>
      <c r="AT26" s="16" t="s">
        <v>86</v>
      </c>
      <c r="AU26" s="16" t="s">
        <v>85</v>
      </c>
      <c r="AV26" s="16" t="s">
        <v>86</v>
      </c>
      <c r="AW26" s="16" t="s">
        <v>85</v>
      </c>
      <c r="AX26" s="16" t="s">
        <v>86</v>
      </c>
      <c r="AY26" s="16" t="s">
        <v>85</v>
      </c>
      <c r="AZ26" s="16" t="s">
        <v>86</v>
      </c>
      <c r="BA26" s="16" t="s">
        <v>85</v>
      </c>
      <c r="BB26" s="16" t="s">
        <v>86</v>
      </c>
      <c r="BC26" s="16" t="s">
        <v>85</v>
      </c>
      <c r="BD26" s="16" t="s">
        <v>86</v>
      </c>
    </row>
    <row r="27" spans="1:56">
      <c r="A27" s="17">
        <v>1</v>
      </c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>
        <v>104270</v>
      </c>
      <c r="M27" s="19"/>
      <c r="N27" s="19"/>
      <c r="O27" s="26"/>
      <c r="P27" s="17">
        <v>1</v>
      </c>
      <c r="Q27" s="18" t="s">
        <v>18</v>
      </c>
      <c r="R27" s="19">
        <v>20628845.859999999</v>
      </c>
      <c r="S27" s="19">
        <v>20628845.859999999</v>
      </c>
      <c r="T27" s="19">
        <v>20628845.859999999</v>
      </c>
      <c r="U27" s="19"/>
      <c r="V27" s="19"/>
      <c r="W27" s="19"/>
      <c r="X27" s="19"/>
      <c r="Y27" s="19"/>
      <c r="Z27" s="19"/>
      <c r="AA27" s="19">
        <v>104270</v>
      </c>
      <c r="AB27" s="19"/>
      <c r="AC27" s="19"/>
      <c r="AE27" s="17">
        <v>1</v>
      </c>
      <c r="AF27" s="18" t="s">
        <v>18</v>
      </c>
      <c r="AG27" s="19">
        <f t="shared" ref="AG27:AG41" si="52">+C27-R27</f>
        <v>-20628845.859999999</v>
      </c>
      <c r="AH27" s="19" t="e">
        <f t="shared" ref="AH27:AH41" si="53">+AG27/C27*100</f>
        <v>#DIV/0!</v>
      </c>
      <c r="AI27" s="19">
        <f t="shared" ref="AI27:AI41" si="54">+D27-S27</f>
        <v>-20628845.859999999</v>
      </c>
      <c r="AJ27" s="19" t="e">
        <f t="shared" ref="AJ27:AJ41" si="55">+AI27/D27*100</f>
        <v>#DIV/0!</v>
      </c>
      <c r="AK27" s="19">
        <f t="shared" ref="AK27:AK41" si="56">+E27-T27</f>
        <v>-20628845.859999999</v>
      </c>
      <c r="AL27" s="19" t="e">
        <f t="shared" ref="AL27:AL41" si="57">+AK27/E27*100</f>
        <v>#DIV/0!</v>
      </c>
      <c r="AM27" s="19">
        <f t="shared" ref="AM27:AM41" si="58">+F27-U27</f>
        <v>0</v>
      </c>
      <c r="AN27" s="19" t="e">
        <f t="shared" ref="AN27:AN41" si="59">+AM27/F27*100</f>
        <v>#DIV/0!</v>
      </c>
      <c r="AO27" s="19">
        <f t="shared" ref="AO27:AO41" si="60">+G27-V27</f>
        <v>0</v>
      </c>
      <c r="AP27" s="19" t="e">
        <f t="shared" ref="AP27:AP41" si="61">+AO27/G27*100</f>
        <v>#DIV/0!</v>
      </c>
      <c r="AQ27" s="19">
        <f t="shared" ref="AQ27:AQ41" si="62">+H27-W27</f>
        <v>0</v>
      </c>
      <c r="AR27" s="19" t="e">
        <f t="shared" ref="AR27:AR41" si="63">+AQ27/H27*100</f>
        <v>#DIV/0!</v>
      </c>
      <c r="AS27" s="19">
        <f t="shared" ref="AS27:AS41" si="64">+I27-X27</f>
        <v>0</v>
      </c>
      <c r="AT27" s="19" t="e">
        <f t="shared" ref="AT27:AT41" si="65">+AS27/I27*100</f>
        <v>#DIV/0!</v>
      </c>
      <c r="AU27" s="19">
        <f t="shared" ref="AU27:AU41" si="66">+J27-Y27</f>
        <v>0</v>
      </c>
      <c r="AV27" s="19" t="e">
        <f t="shared" ref="AV27:AV41" si="67">+AU27/J27*100</f>
        <v>#DIV/0!</v>
      </c>
      <c r="AW27" s="19">
        <f t="shared" ref="AW27:AW41" si="68">+K27-Z27</f>
        <v>0</v>
      </c>
      <c r="AX27" s="19" t="e">
        <f t="shared" ref="AX27:AX41" si="69">+AW27/K27*100</f>
        <v>#DIV/0!</v>
      </c>
      <c r="AY27" s="19">
        <f t="shared" ref="AY27:AY41" si="70">+L27-AA27</f>
        <v>0</v>
      </c>
      <c r="AZ27" s="19">
        <f t="shared" ref="AZ27:AZ41" si="71">+AY27/L27*100</f>
        <v>0</v>
      </c>
      <c r="BA27" s="19">
        <f t="shared" ref="BA27:BA41" si="72">+M27-AB27</f>
        <v>0</v>
      </c>
      <c r="BB27" s="19" t="e">
        <f t="shared" ref="BB27:BB41" si="73">+BA27/M27*100</f>
        <v>#DIV/0!</v>
      </c>
      <c r="BC27" s="19">
        <f t="shared" ref="BC27:BC41" si="74">+N27-AC27</f>
        <v>0</v>
      </c>
      <c r="BD27" s="19" t="e">
        <f t="shared" ref="BD27:BD41" si="75">+BC27/N27*100</f>
        <v>#DIV/0!</v>
      </c>
    </row>
    <row r="28" spans="1:56">
      <c r="A28" s="17">
        <v>2</v>
      </c>
      <c r="B28" s="18" t="s">
        <v>20</v>
      </c>
      <c r="C28" s="19">
        <v>4975000</v>
      </c>
      <c r="D28" s="19">
        <v>4975000</v>
      </c>
      <c r="E28" s="19">
        <v>4975000</v>
      </c>
      <c r="F28" s="19"/>
      <c r="G28" s="19"/>
      <c r="H28" s="19"/>
      <c r="I28" s="19"/>
      <c r="J28" s="19"/>
      <c r="K28" s="19"/>
      <c r="L28" s="19">
        <v>1645000</v>
      </c>
      <c r="M28" s="19"/>
      <c r="N28" s="19"/>
      <c r="O28" s="26"/>
      <c r="P28" s="17">
        <v>2</v>
      </c>
      <c r="Q28" s="18" t="s">
        <v>20</v>
      </c>
      <c r="R28" s="19">
        <v>4975000</v>
      </c>
      <c r="S28" s="19">
        <v>4975000</v>
      </c>
      <c r="T28" s="19">
        <v>4975000</v>
      </c>
      <c r="U28" s="19"/>
      <c r="V28" s="19"/>
      <c r="W28" s="19"/>
      <c r="X28" s="19"/>
      <c r="Y28" s="19"/>
      <c r="Z28" s="19"/>
      <c r="AA28" s="19">
        <v>1645000</v>
      </c>
      <c r="AB28" s="19"/>
      <c r="AC28" s="19"/>
      <c r="AE28" s="17">
        <v>2</v>
      </c>
      <c r="AF28" s="18" t="s">
        <v>20</v>
      </c>
      <c r="AG28" s="19">
        <f t="shared" si="52"/>
        <v>0</v>
      </c>
      <c r="AH28" s="19">
        <f t="shared" si="53"/>
        <v>0</v>
      </c>
      <c r="AI28" s="19">
        <f t="shared" si="54"/>
        <v>0</v>
      </c>
      <c r="AJ28" s="19">
        <f t="shared" si="55"/>
        <v>0</v>
      </c>
      <c r="AK28" s="19">
        <f t="shared" si="56"/>
        <v>0</v>
      </c>
      <c r="AL28" s="19">
        <f t="shared" si="57"/>
        <v>0</v>
      </c>
      <c r="AM28" s="19">
        <f t="shared" si="58"/>
        <v>0</v>
      </c>
      <c r="AN28" s="19" t="e">
        <f t="shared" si="59"/>
        <v>#DIV/0!</v>
      </c>
      <c r="AO28" s="19">
        <f t="shared" si="60"/>
        <v>0</v>
      </c>
      <c r="AP28" s="19" t="e">
        <f t="shared" si="61"/>
        <v>#DIV/0!</v>
      </c>
      <c r="AQ28" s="19">
        <f t="shared" si="62"/>
        <v>0</v>
      </c>
      <c r="AR28" s="19" t="e">
        <f t="shared" si="63"/>
        <v>#DIV/0!</v>
      </c>
      <c r="AS28" s="19">
        <f t="shared" si="64"/>
        <v>0</v>
      </c>
      <c r="AT28" s="19" t="e">
        <f t="shared" si="65"/>
        <v>#DIV/0!</v>
      </c>
      <c r="AU28" s="19">
        <f t="shared" si="66"/>
        <v>0</v>
      </c>
      <c r="AV28" s="19" t="e">
        <f t="shared" si="67"/>
        <v>#DIV/0!</v>
      </c>
      <c r="AW28" s="19">
        <f t="shared" si="68"/>
        <v>0</v>
      </c>
      <c r="AX28" s="19" t="e">
        <f t="shared" si="69"/>
        <v>#DIV/0!</v>
      </c>
      <c r="AY28" s="19">
        <f t="shared" si="70"/>
        <v>0</v>
      </c>
      <c r="AZ28" s="19">
        <f t="shared" si="71"/>
        <v>0</v>
      </c>
      <c r="BA28" s="19">
        <f t="shared" si="72"/>
        <v>0</v>
      </c>
      <c r="BB28" s="19" t="e">
        <f t="shared" si="73"/>
        <v>#DIV/0!</v>
      </c>
      <c r="BC28" s="19">
        <f t="shared" si="74"/>
        <v>0</v>
      </c>
      <c r="BD28" s="19" t="e">
        <f t="shared" si="75"/>
        <v>#DIV/0!</v>
      </c>
    </row>
    <row r="29" spans="1:56">
      <c r="A29" s="17">
        <v>3</v>
      </c>
      <c r="B29" s="18" t="s">
        <v>22</v>
      </c>
      <c r="C29" s="19"/>
      <c r="D29" s="19"/>
      <c r="E29" s="19"/>
      <c r="F29" s="19"/>
      <c r="G29" s="19"/>
      <c r="H29" s="19"/>
      <c r="I29" s="19"/>
      <c r="J29" s="19"/>
      <c r="K29" s="19"/>
      <c r="L29" s="19">
        <v>745000</v>
      </c>
      <c r="M29" s="19"/>
      <c r="N29" s="19"/>
      <c r="O29" s="26"/>
      <c r="P29" s="17">
        <v>3</v>
      </c>
      <c r="Q29" s="18" t="s">
        <v>22</v>
      </c>
      <c r="R29" s="19">
        <v>762040</v>
      </c>
      <c r="S29" s="19">
        <v>762040</v>
      </c>
      <c r="T29" s="19">
        <v>762040</v>
      </c>
      <c r="U29" s="19"/>
      <c r="V29" s="19"/>
      <c r="W29" s="19"/>
      <c r="X29" s="19"/>
      <c r="Y29" s="19"/>
      <c r="Z29" s="19"/>
      <c r="AA29" s="19">
        <v>745000</v>
      </c>
      <c r="AB29" s="19"/>
      <c r="AC29" s="19"/>
      <c r="AE29" s="17">
        <v>3</v>
      </c>
      <c r="AF29" s="18" t="s">
        <v>22</v>
      </c>
      <c r="AG29" s="19">
        <f t="shared" si="52"/>
        <v>-762040</v>
      </c>
      <c r="AH29" s="19" t="e">
        <f t="shared" si="53"/>
        <v>#DIV/0!</v>
      </c>
      <c r="AI29" s="19">
        <f t="shared" si="54"/>
        <v>-762040</v>
      </c>
      <c r="AJ29" s="19" t="e">
        <f t="shared" si="55"/>
        <v>#DIV/0!</v>
      </c>
      <c r="AK29" s="19">
        <f t="shared" si="56"/>
        <v>-762040</v>
      </c>
      <c r="AL29" s="19" t="e">
        <f t="shared" si="57"/>
        <v>#DIV/0!</v>
      </c>
      <c r="AM29" s="19">
        <f t="shared" si="58"/>
        <v>0</v>
      </c>
      <c r="AN29" s="19" t="e">
        <f t="shared" si="59"/>
        <v>#DIV/0!</v>
      </c>
      <c r="AO29" s="19">
        <f t="shared" si="60"/>
        <v>0</v>
      </c>
      <c r="AP29" s="19" t="e">
        <f t="shared" si="61"/>
        <v>#DIV/0!</v>
      </c>
      <c r="AQ29" s="19">
        <f t="shared" si="62"/>
        <v>0</v>
      </c>
      <c r="AR29" s="19" t="e">
        <f t="shared" si="63"/>
        <v>#DIV/0!</v>
      </c>
      <c r="AS29" s="19">
        <f t="shared" si="64"/>
        <v>0</v>
      </c>
      <c r="AT29" s="19" t="e">
        <f t="shared" si="65"/>
        <v>#DIV/0!</v>
      </c>
      <c r="AU29" s="19">
        <f t="shared" si="66"/>
        <v>0</v>
      </c>
      <c r="AV29" s="19" t="e">
        <f t="shared" si="67"/>
        <v>#DIV/0!</v>
      </c>
      <c r="AW29" s="19">
        <f t="shared" si="68"/>
        <v>0</v>
      </c>
      <c r="AX29" s="19" t="e">
        <f t="shared" si="69"/>
        <v>#DIV/0!</v>
      </c>
      <c r="AY29" s="19">
        <f t="shared" si="70"/>
        <v>0</v>
      </c>
      <c r="AZ29" s="19">
        <f t="shared" si="71"/>
        <v>0</v>
      </c>
      <c r="BA29" s="19">
        <f t="shared" si="72"/>
        <v>0</v>
      </c>
      <c r="BB29" s="19" t="e">
        <f t="shared" si="73"/>
        <v>#DIV/0!</v>
      </c>
      <c r="BC29" s="19">
        <f t="shared" si="74"/>
        <v>0</v>
      </c>
      <c r="BD29" s="19" t="e">
        <f t="shared" si="75"/>
        <v>#DIV/0!</v>
      </c>
    </row>
    <row r="30" spans="1:56">
      <c r="A30" s="17">
        <v>4</v>
      </c>
      <c r="B30" s="18" t="s">
        <v>24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6"/>
      <c r="P30" s="17">
        <v>4</v>
      </c>
      <c r="Q30" s="18" t="s">
        <v>24</v>
      </c>
      <c r="R30" s="19">
        <v>203570</v>
      </c>
      <c r="S30" s="19">
        <v>203570</v>
      </c>
      <c r="T30" s="19">
        <v>203570</v>
      </c>
      <c r="U30" s="19"/>
      <c r="V30" s="19"/>
      <c r="W30" s="19"/>
      <c r="X30" s="19"/>
      <c r="Y30" s="19"/>
      <c r="Z30" s="19"/>
      <c r="AA30" s="19"/>
      <c r="AB30" s="19"/>
      <c r="AC30" s="19"/>
      <c r="AE30" s="17">
        <v>4</v>
      </c>
      <c r="AF30" s="18" t="s">
        <v>24</v>
      </c>
      <c r="AG30" s="19">
        <f t="shared" si="52"/>
        <v>-203570</v>
      </c>
      <c r="AH30" s="19" t="e">
        <f t="shared" si="53"/>
        <v>#DIV/0!</v>
      </c>
      <c r="AI30" s="19">
        <f t="shared" si="54"/>
        <v>-203570</v>
      </c>
      <c r="AJ30" s="19" t="e">
        <f t="shared" si="55"/>
        <v>#DIV/0!</v>
      </c>
      <c r="AK30" s="19">
        <f t="shared" si="56"/>
        <v>-203570</v>
      </c>
      <c r="AL30" s="19" t="e">
        <f t="shared" si="57"/>
        <v>#DIV/0!</v>
      </c>
      <c r="AM30" s="19">
        <f t="shared" si="58"/>
        <v>0</v>
      </c>
      <c r="AN30" s="19" t="e">
        <f t="shared" si="59"/>
        <v>#DIV/0!</v>
      </c>
      <c r="AO30" s="19">
        <f t="shared" si="60"/>
        <v>0</v>
      </c>
      <c r="AP30" s="19" t="e">
        <f t="shared" si="61"/>
        <v>#DIV/0!</v>
      </c>
      <c r="AQ30" s="19">
        <f t="shared" si="62"/>
        <v>0</v>
      </c>
      <c r="AR30" s="19" t="e">
        <f t="shared" si="63"/>
        <v>#DIV/0!</v>
      </c>
      <c r="AS30" s="19">
        <f t="shared" si="64"/>
        <v>0</v>
      </c>
      <c r="AT30" s="19" t="e">
        <f t="shared" si="65"/>
        <v>#DIV/0!</v>
      </c>
      <c r="AU30" s="19">
        <f t="shared" si="66"/>
        <v>0</v>
      </c>
      <c r="AV30" s="19" t="e">
        <f t="shared" si="67"/>
        <v>#DIV/0!</v>
      </c>
      <c r="AW30" s="19">
        <f t="shared" si="68"/>
        <v>0</v>
      </c>
      <c r="AX30" s="19" t="e">
        <f t="shared" si="69"/>
        <v>#DIV/0!</v>
      </c>
      <c r="AY30" s="19">
        <f t="shared" si="70"/>
        <v>0</v>
      </c>
      <c r="AZ30" s="19" t="e">
        <f t="shared" si="71"/>
        <v>#DIV/0!</v>
      </c>
      <c r="BA30" s="19">
        <f t="shared" si="72"/>
        <v>0</v>
      </c>
      <c r="BB30" s="19" t="e">
        <f t="shared" si="73"/>
        <v>#DIV/0!</v>
      </c>
      <c r="BC30" s="19">
        <f t="shared" si="74"/>
        <v>0</v>
      </c>
      <c r="BD30" s="19" t="e">
        <f t="shared" si="75"/>
        <v>#DIV/0!</v>
      </c>
    </row>
    <row r="31" spans="1:56">
      <c r="A31" s="17">
        <v>5</v>
      </c>
      <c r="B31" s="18" t="s">
        <v>26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6"/>
      <c r="P31" s="17">
        <v>5</v>
      </c>
      <c r="Q31" s="18" t="s">
        <v>26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E31" s="17">
        <v>5</v>
      </c>
      <c r="AF31" s="18" t="s">
        <v>26</v>
      </c>
      <c r="AG31" s="19">
        <f t="shared" si="52"/>
        <v>0</v>
      </c>
      <c r="AH31" s="19" t="e">
        <f t="shared" si="53"/>
        <v>#DIV/0!</v>
      </c>
      <c r="AI31" s="19">
        <f t="shared" si="54"/>
        <v>0</v>
      </c>
      <c r="AJ31" s="19" t="e">
        <f t="shared" si="55"/>
        <v>#DIV/0!</v>
      </c>
      <c r="AK31" s="19">
        <f t="shared" si="56"/>
        <v>0</v>
      </c>
      <c r="AL31" s="19" t="e">
        <f t="shared" si="57"/>
        <v>#DIV/0!</v>
      </c>
      <c r="AM31" s="19">
        <f t="shared" si="58"/>
        <v>0</v>
      </c>
      <c r="AN31" s="19" t="e">
        <f t="shared" si="59"/>
        <v>#DIV/0!</v>
      </c>
      <c r="AO31" s="19">
        <f t="shared" si="60"/>
        <v>0</v>
      </c>
      <c r="AP31" s="19" t="e">
        <f t="shared" si="61"/>
        <v>#DIV/0!</v>
      </c>
      <c r="AQ31" s="19">
        <f t="shared" si="62"/>
        <v>0</v>
      </c>
      <c r="AR31" s="19" t="e">
        <f t="shared" si="63"/>
        <v>#DIV/0!</v>
      </c>
      <c r="AS31" s="19">
        <f t="shared" si="64"/>
        <v>0</v>
      </c>
      <c r="AT31" s="19" t="e">
        <f t="shared" si="65"/>
        <v>#DIV/0!</v>
      </c>
      <c r="AU31" s="19">
        <f t="shared" si="66"/>
        <v>0</v>
      </c>
      <c r="AV31" s="19" t="e">
        <f t="shared" si="67"/>
        <v>#DIV/0!</v>
      </c>
      <c r="AW31" s="19">
        <f t="shared" si="68"/>
        <v>0</v>
      </c>
      <c r="AX31" s="19" t="e">
        <f t="shared" si="69"/>
        <v>#DIV/0!</v>
      </c>
      <c r="AY31" s="19">
        <f t="shared" si="70"/>
        <v>0</v>
      </c>
      <c r="AZ31" s="19" t="e">
        <f t="shared" si="71"/>
        <v>#DIV/0!</v>
      </c>
      <c r="BA31" s="19">
        <f t="shared" si="72"/>
        <v>0</v>
      </c>
      <c r="BB31" s="19" t="e">
        <f t="shared" si="73"/>
        <v>#DIV/0!</v>
      </c>
      <c r="BC31" s="19">
        <f t="shared" si="74"/>
        <v>0</v>
      </c>
      <c r="BD31" s="19" t="e">
        <f t="shared" si="75"/>
        <v>#DIV/0!</v>
      </c>
    </row>
    <row r="32" spans="1:56">
      <c r="A32" s="17">
        <v>6</v>
      </c>
      <c r="B32" s="18" t="s">
        <v>28</v>
      </c>
      <c r="C32" s="19">
        <v>31927707</v>
      </c>
      <c r="D32" s="19">
        <v>31927707</v>
      </c>
      <c r="E32" s="19">
        <v>31927707</v>
      </c>
      <c r="F32" s="19"/>
      <c r="G32" s="19"/>
      <c r="H32" s="19"/>
      <c r="I32" s="19"/>
      <c r="J32" s="19"/>
      <c r="K32" s="19"/>
      <c r="L32" s="19">
        <v>7908423</v>
      </c>
      <c r="M32" s="19"/>
      <c r="N32" s="19"/>
      <c r="O32" s="26"/>
      <c r="P32" s="17">
        <v>6</v>
      </c>
      <c r="Q32" s="18" t="s">
        <v>28</v>
      </c>
      <c r="R32" s="19">
        <v>38104705</v>
      </c>
      <c r="S32" s="19">
        <v>38104705</v>
      </c>
      <c r="T32" s="19">
        <v>38104705</v>
      </c>
      <c r="U32" s="19"/>
      <c r="V32" s="19"/>
      <c r="W32" s="19"/>
      <c r="X32" s="19"/>
      <c r="Y32" s="19"/>
      <c r="Z32" s="19"/>
      <c r="AA32" s="19">
        <v>7908423</v>
      </c>
      <c r="AB32" s="19"/>
      <c r="AC32" s="19"/>
      <c r="AE32" s="17">
        <v>6</v>
      </c>
      <c r="AF32" s="18" t="s">
        <v>28</v>
      </c>
      <c r="AG32" s="19">
        <f t="shared" si="52"/>
        <v>-6176998</v>
      </c>
      <c r="AH32" s="19">
        <f t="shared" si="53"/>
        <v>-19.346826253448139</v>
      </c>
      <c r="AI32" s="19">
        <f t="shared" si="54"/>
        <v>-6176998</v>
      </c>
      <c r="AJ32" s="19">
        <f t="shared" si="55"/>
        <v>-19.346826253448139</v>
      </c>
      <c r="AK32" s="19">
        <f t="shared" si="56"/>
        <v>-6176998</v>
      </c>
      <c r="AL32" s="19">
        <f t="shared" si="57"/>
        <v>-19.346826253448139</v>
      </c>
      <c r="AM32" s="19">
        <f t="shared" si="58"/>
        <v>0</v>
      </c>
      <c r="AN32" s="19" t="e">
        <f t="shared" si="59"/>
        <v>#DIV/0!</v>
      </c>
      <c r="AO32" s="19">
        <f t="shared" si="60"/>
        <v>0</v>
      </c>
      <c r="AP32" s="19" t="e">
        <f t="shared" si="61"/>
        <v>#DIV/0!</v>
      </c>
      <c r="AQ32" s="19">
        <f t="shared" si="62"/>
        <v>0</v>
      </c>
      <c r="AR32" s="19" t="e">
        <f t="shared" si="63"/>
        <v>#DIV/0!</v>
      </c>
      <c r="AS32" s="19">
        <f t="shared" si="64"/>
        <v>0</v>
      </c>
      <c r="AT32" s="19" t="e">
        <f t="shared" si="65"/>
        <v>#DIV/0!</v>
      </c>
      <c r="AU32" s="19">
        <f t="shared" si="66"/>
        <v>0</v>
      </c>
      <c r="AV32" s="19" t="e">
        <f t="shared" si="67"/>
        <v>#DIV/0!</v>
      </c>
      <c r="AW32" s="19">
        <f t="shared" si="68"/>
        <v>0</v>
      </c>
      <c r="AX32" s="19" t="e">
        <f t="shared" si="69"/>
        <v>#DIV/0!</v>
      </c>
      <c r="AY32" s="19">
        <f t="shared" si="70"/>
        <v>0</v>
      </c>
      <c r="AZ32" s="19">
        <f t="shared" si="71"/>
        <v>0</v>
      </c>
      <c r="BA32" s="19">
        <f t="shared" si="72"/>
        <v>0</v>
      </c>
      <c r="BB32" s="19" t="e">
        <f t="shared" si="73"/>
        <v>#DIV/0!</v>
      </c>
      <c r="BC32" s="19">
        <f t="shared" si="74"/>
        <v>0</v>
      </c>
      <c r="BD32" s="19" t="e">
        <f t="shared" si="75"/>
        <v>#DIV/0!</v>
      </c>
    </row>
    <row r="33" spans="1:56">
      <c r="A33" s="17">
        <v>7</v>
      </c>
      <c r="B33" s="18" t="s">
        <v>30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6"/>
      <c r="P33" s="17">
        <v>7</v>
      </c>
      <c r="Q33" s="18" t="s">
        <v>30</v>
      </c>
      <c r="R33" s="19">
        <v>1069823.5</v>
      </c>
      <c r="S33" s="19">
        <v>1069823.5</v>
      </c>
      <c r="T33" s="19">
        <v>1069823.5</v>
      </c>
      <c r="U33" s="19"/>
      <c r="V33" s="19"/>
      <c r="W33" s="19"/>
      <c r="X33" s="19"/>
      <c r="Y33" s="19"/>
      <c r="Z33" s="19"/>
      <c r="AA33" s="19"/>
      <c r="AB33" s="19"/>
      <c r="AC33" s="19"/>
      <c r="AE33" s="17">
        <v>7</v>
      </c>
      <c r="AF33" s="18" t="s">
        <v>30</v>
      </c>
      <c r="AG33" s="19">
        <f t="shared" si="52"/>
        <v>-1069823.5</v>
      </c>
      <c r="AH33" s="19" t="e">
        <f t="shared" si="53"/>
        <v>#DIV/0!</v>
      </c>
      <c r="AI33" s="19">
        <f t="shared" si="54"/>
        <v>-1069823.5</v>
      </c>
      <c r="AJ33" s="19" t="e">
        <f t="shared" si="55"/>
        <v>#DIV/0!</v>
      </c>
      <c r="AK33" s="19">
        <f t="shared" si="56"/>
        <v>-1069823.5</v>
      </c>
      <c r="AL33" s="19" t="e">
        <f t="shared" si="57"/>
        <v>#DIV/0!</v>
      </c>
      <c r="AM33" s="19">
        <f t="shared" si="58"/>
        <v>0</v>
      </c>
      <c r="AN33" s="19" t="e">
        <f t="shared" si="59"/>
        <v>#DIV/0!</v>
      </c>
      <c r="AO33" s="19">
        <f t="shared" si="60"/>
        <v>0</v>
      </c>
      <c r="AP33" s="19" t="e">
        <f t="shared" si="61"/>
        <v>#DIV/0!</v>
      </c>
      <c r="AQ33" s="19">
        <f t="shared" si="62"/>
        <v>0</v>
      </c>
      <c r="AR33" s="19" t="e">
        <f t="shared" si="63"/>
        <v>#DIV/0!</v>
      </c>
      <c r="AS33" s="19">
        <f t="shared" si="64"/>
        <v>0</v>
      </c>
      <c r="AT33" s="19" t="e">
        <f t="shared" si="65"/>
        <v>#DIV/0!</v>
      </c>
      <c r="AU33" s="19">
        <f t="shared" si="66"/>
        <v>0</v>
      </c>
      <c r="AV33" s="19" t="e">
        <f t="shared" si="67"/>
        <v>#DIV/0!</v>
      </c>
      <c r="AW33" s="19">
        <f t="shared" si="68"/>
        <v>0</v>
      </c>
      <c r="AX33" s="19" t="e">
        <f t="shared" si="69"/>
        <v>#DIV/0!</v>
      </c>
      <c r="AY33" s="19">
        <f t="shared" si="70"/>
        <v>0</v>
      </c>
      <c r="AZ33" s="19" t="e">
        <f t="shared" si="71"/>
        <v>#DIV/0!</v>
      </c>
      <c r="BA33" s="19">
        <f t="shared" si="72"/>
        <v>0</v>
      </c>
      <c r="BB33" s="19" t="e">
        <f t="shared" si="73"/>
        <v>#DIV/0!</v>
      </c>
      <c r="BC33" s="19">
        <f t="shared" si="74"/>
        <v>0</v>
      </c>
      <c r="BD33" s="19" t="e">
        <f t="shared" si="75"/>
        <v>#DIV/0!</v>
      </c>
    </row>
    <row r="34" spans="1:56">
      <c r="A34" s="17">
        <v>8</v>
      </c>
      <c r="B34" s="18" t="s">
        <v>32</v>
      </c>
      <c r="C34" s="19"/>
      <c r="D34" s="19"/>
      <c r="E34" s="19"/>
      <c r="F34" s="19"/>
      <c r="G34" s="19"/>
      <c r="H34" s="19"/>
      <c r="I34" s="19"/>
      <c r="J34" s="19"/>
      <c r="K34" s="19"/>
      <c r="L34" s="19">
        <v>18280</v>
      </c>
      <c r="M34" s="19"/>
      <c r="N34" s="19"/>
      <c r="O34" s="26"/>
      <c r="P34" s="17">
        <v>8</v>
      </c>
      <c r="Q34" s="18" t="s">
        <v>32</v>
      </c>
      <c r="R34" s="19">
        <v>318890</v>
      </c>
      <c r="S34" s="19">
        <v>318890</v>
      </c>
      <c r="T34" s="19">
        <v>318890</v>
      </c>
      <c r="U34" s="19"/>
      <c r="V34" s="19"/>
      <c r="W34" s="19"/>
      <c r="X34" s="19"/>
      <c r="Y34" s="19"/>
      <c r="Z34" s="19"/>
      <c r="AA34" s="19">
        <v>18280</v>
      </c>
      <c r="AB34" s="19"/>
      <c r="AC34" s="19"/>
      <c r="AE34" s="17">
        <v>8</v>
      </c>
      <c r="AF34" s="18" t="s">
        <v>32</v>
      </c>
      <c r="AG34" s="19">
        <f t="shared" si="52"/>
        <v>-318890</v>
      </c>
      <c r="AH34" s="19" t="e">
        <f t="shared" si="53"/>
        <v>#DIV/0!</v>
      </c>
      <c r="AI34" s="19">
        <f t="shared" si="54"/>
        <v>-318890</v>
      </c>
      <c r="AJ34" s="19" t="e">
        <f t="shared" si="55"/>
        <v>#DIV/0!</v>
      </c>
      <c r="AK34" s="19">
        <f t="shared" si="56"/>
        <v>-318890</v>
      </c>
      <c r="AL34" s="19" t="e">
        <f t="shared" si="57"/>
        <v>#DIV/0!</v>
      </c>
      <c r="AM34" s="19">
        <f t="shared" si="58"/>
        <v>0</v>
      </c>
      <c r="AN34" s="19" t="e">
        <f t="shared" si="59"/>
        <v>#DIV/0!</v>
      </c>
      <c r="AO34" s="19">
        <f t="shared" si="60"/>
        <v>0</v>
      </c>
      <c r="AP34" s="19" t="e">
        <f t="shared" si="61"/>
        <v>#DIV/0!</v>
      </c>
      <c r="AQ34" s="19">
        <f t="shared" si="62"/>
        <v>0</v>
      </c>
      <c r="AR34" s="19" t="e">
        <f t="shared" si="63"/>
        <v>#DIV/0!</v>
      </c>
      <c r="AS34" s="19">
        <f t="shared" si="64"/>
        <v>0</v>
      </c>
      <c r="AT34" s="19" t="e">
        <f t="shared" si="65"/>
        <v>#DIV/0!</v>
      </c>
      <c r="AU34" s="19">
        <f t="shared" si="66"/>
        <v>0</v>
      </c>
      <c r="AV34" s="19" t="e">
        <f t="shared" si="67"/>
        <v>#DIV/0!</v>
      </c>
      <c r="AW34" s="19">
        <f t="shared" si="68"/>
        <v>0</v>
      </c>
      <c r="AX34" s="19" t="e">
        <f t="shared" si="69"/>
        <v>#DIV/0!</v>
      </c>
      <c r="AY34" s="19">
        <f t="shared" si="70"/>
        <v>0</v>
      </c>
      <c r="AZ34" s="19">
        <f t="shared" si="71"/>
        <v>0</v>
      </c>
      <c r="BA34" s="19">
        <f t="shared" si="72"/>
        <v>0</v>
      </c>
      <c r="BB34" s="19" t="e">
        <f t="shared" si="73"/>
        <v>#DIV/0!</v>
      </c>
      <c r="BC34" s="19">
        <f t="shared" si="74"/>
        <v>0</v>
      </c>
      <c r="BD34" s="19" t="e">
        <f t="shared" si="75"/>
        <v>#DIV/0!</v>
      </c>
    </row>
    <row r="35" spans="1:56">
      <c r="A35" s="17">
        <v>9</v>
      </c>
      <c r="B35" s="18" t="s">
        <v>34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6"/>
      <c r="P35" s="17">
        <v>9</v>
      </c>
      <c r="Q35" s="18" t="s">
        <v>34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E35" s="17">
        <v>9</v>
      </c>
      <c r="AF35" s="18" t="s">
        <v>34</v>
      </c>
      <c r="AG35" s="19">
        <f t="shared" si="52"/>
        <v>0</v>
      </c>
      <c r="AH35" s="19" t="e">
        <f t="shared" si="53"/>
        <v>#DIV/0!</v>
      </c>
      <c r="AI35" s="19">
        <f t="shared" si="54"/>
        <v>0</v>
      </c>
      <c r="AJ35" s="19" t="e">
        <f t="shared" si="55"/>
        <v>#DIV/0!</v>
      </c>
      <c r="AK35" s="19">
        <f t="shared" si="56"/>
        <v>0</v>
      </c>
      <c r="AL35" s="19" t="e">
        <f t="shared" si="57"/>
        <v>#DIV/0!</v>
      </c>
      <c r="AM35" s="19">
        <f t="shared" si="58"/>
        <v>0</v>
      </c>
      <c r="AN35" s="19" t="e">
        <f t="shared" si="59"/>
        <v>#DIV/0!</v>
      </c>
      <c r="AO35" s="19">
        <f t="shared" si="60"/>
        <v>0</v>
      </c>
      <c r="AP35" s="19" t="e">
        <f t="shared" si="61"/>
        <v>#DIV/0!</v>
      </c>
      <c r="AQ35" s="19">
        <f t="shared" si="62"/>
        <v>0</v>
      </c>
      <c r="AR35" s="19" t="e">
        <f t="shared" si="63"/>
        <v>#DIV/0!</v>
      </c>
      <c r="AS35" s="19">
        <f t="shared" si="64"/>
        <v>0</v>
      </c>
      <c r="AT35" s="19" t="e">
        <f t="shared" si="65"/>
        <v>#DIV/0!</v>
      </c>
      <c r="AU35" s="19">
        <f t="shared" si="66"/>
        <v>0</v>
      </c>
      <c r="AV35" s="19" t="e">
        <f t="shared" si="67"/>
        <v>#DIV/0!</v>
      </c>
      <c r="AW35" s="19">
        <f t="shared" si="68"/>
        <v>0</v>
      </c>
      <c r="AX35" s="19" t="e">
        <f t="shared" si="69"/>
        <v>#DIV/0!</v>
      </c>
      <c r="AY35" s="19">
        <f t="shared" si="70"/>
        <v>0</v>
      </c>
      <c r="AZ35" s="19" t="e">
        <f t="shared" si="71"/>
        <v>#DIV/0!</v>
      </c>
      <c r="BA35" s="19">
        <f t="shared" si="72"/>
        <v>0</v>
      </c>
      <c r="BB35" s="19" t="e">
        <f t="shared" si="73"/>
        <v>#DIV/0!</v>
      </c>
      <c r="BC35" s="19">
        <f t="shared" si="74"/>
        <v>0</v>
      </c>
      <c r="BD35" s="19" t="e">
        <f t="shared" si="75"/>
        <v>#DIV/0!</v>
      </c>
    </row>
    <row r="36" spans="1:56">
      <c r="A36" s="17">
        <v>10</v>
      </c>
      <c r="B36" s="18" t="s">
        <v>36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6"/>
      <c r="P36" s="17">
        <v>10</v>
      </c>
      <c r="Q36" s="18" t="s">
        <v>36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E36" s="17">
        <v>10</v>
      </c>
      <c r="AF36" s="18" t="s">
        <v>36</v>
      </c>
      <c r="AG36" s="19">
        <f t="shared" si="52"/>
        <v>0</v>
      </c>
      <c r="AH36" s="19" t="e">
        <f t="shared" si="53"/>
        <v>#DIV/0!</v>
      </c>
      <c r="AI36" s="19">
        <f t="shared" si="54"/>
        <v>0</v>
      </c>
      <c r="AJ36" s="19" t="e">
        <f t="shared" si="55"/>
        <v>#DIV/0!</v>
      </c>
      <c r="AK36" s="19">
        <f t="shared" si="56"/>
        <v>0</v>
      </c>
      <c r="AL36" s="19" t="e">
        <f t="shared" si="57"/>
        <v>#DIV/0!</v>
      </c>
      <c r="AM36" s="19">
        <f t="shared" si="58"/>
        <v>0</v>
      </c>
      <c r="AN36" s="19" t="e">
        <f t="shared" si="59"/>
        <v>#DIV/0!</v>
      </c>
      <c r="AO36" s="19">
        <f t="shared" si="60"/>
        <v>0</v>
      </c>
      <c r="AP36" s="19" t="e">
        <f t="shared" si="61"/>
        <v>#DIV/0!</v>
      </c>
      <c r="AQ36" s="19">
        <f t="shared" si="62"/>
        <v>0</v>
      </c>
      <c r="AR36" s="19" t="e">
        <f t="shared" si="63"/>
        <v>#DIV/0!</v>
      </c>
      <c r="AS36" s="19">
        <f t="shared" si="64"/>
        <v>0</v>
      </c>
      <c r="AT36" s="19" t="e">
        <f t="shared" si="65"/>
        <v>#DIV/0!</v>
      </c>
      <c r="AU36" s="19">
        <f t="shared" si="66"/>
        <v>0</v>
      </c>
      <c r="AV36" s="19" t="e">
        <f t="shared" si="67"/>
        <v>#DIV/0!</v>
      </c>
      <c r="AW36" s="19">
        <f t="shared" si="68"/>
        <v>0</v>
      </c>
      <c r="AX36" s="19" t="e">
        <f t="shared" si="69"/>
        <v>#DIV/0!</v>
      </c>
      <c r="AY36" s="19">
        <f t="shared" si="70"/>
        <v>0</v>
      </c>
      <c r="AZ36" s="19" t="e">
        <f t="shared" si="71"/>
        <v>#DIV/0!</v>
      </c>
      <c r="BA36" s="19">
        <f t="shared" si="72"/>
        <v>0</v>
      </c>
      <c r="BB36" s="19" t="e">
        <f t="shared" si="73"/>
        <v>#DIV/0!</v>
      </c>
      <c r="BC36" s="19">
        <f t="shared" si="74"/>
        <v>0</v>
      </c>
      <c r="BD36" s="19" t="e">
        <f t="shared" si="75"/>
        <v>#DIV/0!</v>
      </c>
    </row>
    <row r="37" spans="1:56">
      <c r="A37" s="17">
        <v>11</v>
      </c>
      <c r="B37" s="18" t="s">
        <v>38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6"/>
      <c r="P37" s="17">
        <v>11</v>
      </c>
      <c r="Q37" s="18" t="s">
        <v>38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E37" s="17">
        <v>11</v>
      </c>
      <c r="AF37" s="18" t="s">
        <v>38</v>
      </c>
      <c r="AG37" s="19">
        <f t="shared" si="52"/>
        <v>0</v>
      </c>
      <c r="AH37" s="19" t="e">
        <f t="shared" si="53"/>
        <v>#DIV/0!</v>
      </c>
      <c r="AI37" s="19">
        <f t="shared" si="54"/>
        <v>0</v>
      </c>
      <c r="AJ37" s="19" t="e">
        <f t="shared" si="55"/>
        <v>#DIV/0!</v>
      </c>
      <c r="AK37" s="19">
        <f t="shared" si="56"/>
        <v>0</v>
      </c>
      <c r="AL37" s="19" t="e">
        <f t="shared" si="57"/>
        <v>#DIV/0!</v>
      </c>
      <c r="AM37" s="19">
        <f t="shared" si="58"/>
        <v>0</v>
      </c>
      <c r="AN37" s="19" t="e">
        <f t="shared" si="59"/>
        <v>#DIV/0!</v>
      </c>
      <c r="AO37" s="19">
        <f t="shared" si="60"/>
        <v>0</v>
      </c>
      <c r="AP37" s="19" t="e">
        <f t="shared" si="61"/>
        <v>#DIV/0!</v>
      </c>
      <c r="AQ37" s="19">
        <f t="shared" si="62"/>
        <v>0</v>
      </c>
      <c r="AR37" s="19" t="e">
        <f t="shared" si="63"/>
        <v>#DIV/0!</v>
      </c>
      <c r="AS37" s="19">
        <f t="shared" si="64"/>
        <v>0</v>
      </c>
      <c r="AT37" s="19" t="e">
        <f t="shared" si="65"/>
        <v>#DIV/0!</v>
      </c>
      <c r="AU37" s="19">
        <f t="shared" si="66"/>
        <v>0</v>
      </c>
      <c r="AV37" s="19" t="e">
        <f t="shared" si="67"/>
        <v>#DIV/0!</v>
      </c>
      <c r="AW37" s="19">
        <f t="shared" si="68"/>
        <v>0</v>
      </c>
      <c r="AX37" s="19" t="e">
        <f t="shared" si="69"/>
        <v>#DIV/0!</v>
      </c>
      <c r="AY37" s="19">
        <f t="shared" si="70"/>
        <v>0</v>
      </c>
      <c r="AZ37" s="19" t="e">
        <f t="shared" si="71"/>
        <v>#DIV/0!</v>
      </c>
      <c r="BA37" s="19">
        <f t="shared" si="72"/>
        <v>0</v>
      </c>
      <c r="BB37" s="19" t="e">
        <f t="shared" si="73"/>
        <v>#DIV/0!</v>
      </c>
      <c r="BC37" s="19">
        <f t="shared" si="74"/>
        <v>0</v>
      </c>
      <c r="BD37" s="19" t="e">
        <f t="shared" si="75"/>
        <v>#DIV/0!</v>
      </c>
    </row>
    <row r="38" spans="1:56">
      <c r="A38" s="17">
        <v>12</v>
      </c>
      <c r="B38" s="18" t="s">
        <v>40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6"/>
      <c r="P38" s="17">
        <v>12</v>
      </c>
      <c r="Q38" s="18" t="s">
        <v>40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E38" s="17">
        <v>12</v>
      </c>
      <c r="AF38" s="18" t="s">
        <v>40</v>
      </c>
      <c r="AG38" s="19">
        <f t="shared" si="52"/>
        <v>0</v>
      </c>
      <c r="AH38" s="19" t="e">
        <f t="shared" si="53"/>
        <v>#DIV/0!</v>
      </c>
      <c r="AI38" s="19">
        <f t="shared" si="54"/>
        <v>0</v>
      </c>
      <c r="AJ38" s="19" t="e">
        <f t="shared" si="55"/>
        <v>#DIV/0!</v>
      </c>
      <c r="AK38" s="19">
        <f t="shared" si="56"/>
        <v>0</v>
      </c>
      <c r="AL38" s="19" t="e">
        <f t="shared" si="57"/>
        <v>#DIV/0!</v>
      </c>
      <c r="AM38" s="19">
        <f t="shared" si="58"/>
        <v>0</v>
      </c>
      <c r="AN38" s="19" t="e">
        <f t="shared" si="59"/>
        <v>#DIV/0!</v>
      </c>
      <c r="AO38" s="19">
        <f t="shared" si="60"/>
        <v>0</v>
      </c>
      <c r="AP38" s="19" t="e">
        <f t="shared" si="61"/>
        <v>#DIV/0!</v>
      </c>
      <c r="AQ38" s="19">
        <f t="shared" si="62"/>
        <v>0</v>
      </c>
      <c r="AR38" s="19" t="e">
        <f t="shared" si="63"/>
        <v>#DIV/0!</v>
      </c>
      <c r="AS38" s="19">
        <f t="shared" si="64"/>
        <v>0</v>
      </c>
      <c r="AT38" s="19" t="e">
        <f t="shared" si="65"/>
        <v>#DIV/0!</v>
      </c>
      <c r="AU38" s="19">
        <f t="shared" si="66"/>
        <v>0</v>
      </c>
      <c r="AV38" s="19" t="e">
        <f t="shared" si="67"/>
        <v>#DIV/0!</v>
      </c>
      <c r="AW38" s="19">
        <f t="shared" si="68"/>
        <v>0</v>
      </c>
      <c r="AX38" s="19" t="e">
        <f t="shared" si="69"/>
        <v>#DIV/0!</v>
      </c>
      <c r="AY38" s="19">
        <f t="shared" si="70"/>
        <v>0</v>
      </c>
      <c r="AZ38" s="19" t="e">
        <f t="shared" si="71"/>
        <v>#DIV/0!</v>
      </c>
      <c r="BA38" s="19">
        <f t="shared" si="72"/>
        <v>0</v>
      </c>
      <c r="BB38" s="19" t="e">
        <f t="shared" si="73"/>
        <v>#DIV/0!</v>
      </c>
      <c r="BC38" s="19">
        <f t="shared" si="74"/>
        <v>0</v>
      </c>
      <c r="BD38" s="19" t="e">
        <f t="shared" si="75"/>
        <v>#DIV/0!</v>
      </c>
    </row>
    <row r="39" spans="1:56">
      <c r="A39" s="17">
        <v>13</v>
      </c>
      <c r="B39" s="18" t="s">
        <v>42</v>
      </c>
      <c r="C39" s="19"/>
      <c r="D39" s="19"/>
      <c r="E39" s="19"/>
      <c r="F39" s="19"/>
      <c r="G39" s="19"/>
      <c r="H39" s="19"/>
      <c r="I39" s="19"/>
      <c r="J39" s="19"/>
      <c r="K39" s="19"/>
      <c r="L39" s="19">
        <v>172860</v>
      </c>
      <c r="M39" s="19"/>
      <c r="N39" s="19"/>
      <c r="O39" s="26"/>
      <c r="P39" s="17">
        <v>13</v>
      </c>
      <c r="Q39" s="18" t="s">
        <v>42</v>
      </c>
      <c r="R39" s="19">
        <v>43500</v>
      </c>
      <c r="S39" s="19">
        <v>43500</v>
      </c>
      <c r="T39" s="19">
        <v>43500</v>
      </c>
      <c r="U39" s="19"/>
      <c r="V39" s="19"/>
      <c r="W39" s="19"/>
      <c r="X39" s="19"/>
      <c r="Y39" s="19"/>
      <c r="Z39" s="19"/>
      <c r="AA39" s="19">
        <v>172860</v>
      </c>
      <c r="AB39" s="19"/>
      <c r="AC39" s="19"/>
      <c r="AE39" s="17">
        <v>13</v>
      </c>
      <c r="AF39" s="18" t="s">
        <v>42</v>
      </c>
      <c r="AG39" s="19">
        <f t="shared" si="52"/>
        <v>-43500</v>
      </c>
      <c r="AH39" s="19" t="e">
        <f t="shared" si="53"/>
        <v>#DIV/0!</v>
      </c>
      <c r="AI39" s="19">
        <f t="shared" si="54"/>
        <v>-43500</v>
      </c>
      <c r="AJ39" s="19" t="e">
        <f t="shared" si="55"/>
        <v>#DIV/0!</v>
      </c>
      <c r="AK39" s="19">
        <f t="shared" si="56"/>
        <v>-43500</v>
      </c>
      <c r="AL39" s="19" t="e">
        <f t="shared" si="57"/>
        <v>#DIV/0!</v>
      </c>
      <c r="AM39" s="19">
        <f t="shared" si="58"/>
        <v>0</v>
      </c>
      <c r="AN39" s="19" t="e">
        <f t="shared" si="59"/>
        <v>#DIV/0!</v>
      </c>
      <c r="AO39" s="19">
        <f t="shared" si="60"/>
        <v>0</v>
      </c>
      <c r="AP39" s="19" t="e">
        <f t="shared" si="61"/>
        <v>#DIV/0!</v>
      </c>
      <c r="AQ39" s="19">
        <f t="shared" si="62"/>
        <v>0</v>
      </c>
      <c r="AR39" s="19" t="e">
        <f t="shared" si="63"/>
        <v>#DIV/0!</v>
      </c>
      <c r="AS39" s="19">
        <f t="shared" si="64"/>
        <v>0</v>
      </c>
      <c r="AT39" s="19" t="e">
        <f t="shared" si="65"/>
        <v>#DIV/0!</v>
      </c>
      <c r="AU39" s="19">
        <f t="shared" si="66"/>
        <v>0</v>
      </c>
      <c r="AV39" s="19" t="e">
        <f t="shared" si="67"/>
        <v>#DIV/0!</v>
      </c>
      <c r="AW39" s="19">
        <f t="shared" si="68"/>
        <v>0</v>
      </c>
      <c r="AX39" s="19" t="e">
        <f t="shared" si="69"/>
        <v>#DIV/0!</v>
      </c>
      <c r="AY39" s="19">
        <f t="shared" si="70"/>
        <v>0</v>
      </c>
      <c r="AZ39" s="19">
        <f t="shared" si="71"/>
        <v>0</v>
      </c>
      <c r="BA39" s="19">
        <f t="shared" si="72"/>
        <v>0</v>
      </c>
      <c r="BB39" s="19" t="e">
        <f t="shared" si="73"/>
        <v>#DIV/0!</v>
      </c>
      <c r="BC39" s="19">
        <f t="shared" si="74"/>
        <v>0</v>
      </c>
      <c r="BD39" s="19" t="e">
        <f t="shared" si="75"/>
        <v>#DIV/0!</v>
      </c>
    </row>
    <row r="40" spans="1:56">
      <c r="A40" s="17">
        <v>14</v>
      </c>
      <c r="B40" s="18" t="s">
        <v>44</v>
      </c>
      <c r="C40" s="19"/>
      <c r="D40" s="19"/>
      <c r="E40" s="19"/>
      <c r="F40" s="19"/>
      <c r="G40" s="19"/>
      <c r="H40" s="19"/>
      <c r="I40" s="19"/>
      <c r="J40" s="19"/>
      <c r="K40" s="19"/>
      <c r="L40" s="19">
        <v>21400</v>
      </c>
      <c r="M40" s="19"/>
      <c r="N40" s="19"/>
      <c r="O40" s="26"/>
      <c r="P40" s="17">
        <v>14</v>
      </c>
      <c r="Q40" s="18" t="s">
        <v>44</v>
      </c>
      <c r="R40" s="19">
        <v>102000</v>
      </c>
      <c r="S40" s="19">
        <v>102000</v>
      </c>
      <c r="T40" s="19">
        <v>102000</v>
      </c>
      <c r="U40" s="19"/>
      <c r="V40" s="19"/>
      <c r="W40" s="19"/>
      <c r="X40" s="19"/>
      <c r="Y40" s="19"/>
      <c r="Z40" s="19"/>
      <c r="AA40" s="19">
        <v>21400</v>
      </c>
      <c r="AB40" s="19"/>
      <c r="AC40" s="19"/>
      <c r="AE40" s="17">
        <v>14</v>
      </c>
      <c r="AF40" s="18" t="s">
        <v>44</v>
      </c>
      <c r="AG40" s="19">
        <f t="shared" si="52"/>
        <v>-102000</v>
      </c>
      <c r="AH40" s="19" t="e">
        <f t="shared" si="53"/>
        <v>#DIV/0!</v>
      </c>
      <c r="AI40" s="19">
        <f t="shared" si="54"/>
        <v>-102000</v>
      </c>
      <c r="AJ40" s="19" t="e">
        <f t="shared" si="55"/>
        <v>#DIV/0!</v>
      </c>
      <c r="AK40" s="19">
        <f t="shared" si="56"/>
        <v>-102000</v>
      </c>
      <c r="AL40" s="19" t="e">
        <f t="shared" si="57"/>
        <v>#DIV/0!</v>
      </c>
      <c r="AM40" s="19">
        <f t="shared" si="58"/>
        <v>0</v>
      </c>
      <c r="AN40" s="19" t="e">
        <f t="shared" si="59"/>
        <v>#DIV/0!</v>
      </c>
      <c r="AO40" s="19">
        <f t="shared" si="60"/>
        <v>0</v>
      </c>
      <c r="AP40" s="19" t="e">
        <f t="shared" si="61"/>
        <v>#DIV/0!</v>
      </c>
      <c r="AQ40" s="19">
        <f t="shared" si="62"/>
        <v>0</v>
      </c>
      <c r="AR40" s="19" t="e">
        <f t="shared" si="63"/>
        <v>#DIV/0!</v>
      </c>
      <c r="AS40" s="19">
        <f t="shared" si="64"/>
        <v>0</v>
      </c>
      <c r="AT40" s="19" t="e">
        <f t="shared" si="65"/>
        <v>#DIV/0!</v>
      </c>
      <c r="AU40" s="19">
        <f t="shared" si="66"/>
        <v>0</v>
      </c>
      <c r="AV40" s="19" t="e">
        <f t="shared" si="67"/>
        <v>#DIV/0!</v>
      </c>
      <c r="AW40" s="19">
        <f t="shared" si="68"/>
        <v>0</v>
      </c>
      <c r="AX40" s="19" t="e">
        <f t="shared" si="69"/>
        <v>#DIV/0!</v>
      </c>
      <c r="AY40" s="19">
        <f t="shared" si="70"/>
        <v>0</v>
      </c>
      <c r="AZ40" s="19">
        <f t="shared" si="71"/>
        <v>0</v>
      </c>
      <c r="BA40" s="19">
        <f t="shared" si="72"/>
        <v>0</v>
      </c>
      <c r="BB40" s="19" t="e">
        <f t="shared" si="73"/>
        <v>#DIV/0!</v>
      </c>
      <c r="BC40" s="19">
        <f t="shared" si="74"/>
        <v>0</v>
      </c>
      <c r="BD40" s="19" t="e">
        <f t="shared" si="75"/>
        <v>#DIV/0!</v>
      </c>
    </row>
    <row r="41" spans="1:56" ht="25.2" thickBot="1">
      <c r="A41" s="17"/>
      <c r="B41" s="20" t="s">
        <v>17</v>
      </c>
      <c r="C41" s="27">
        <f>SUM(C27:C40)</f>
        <v>36902707</v>
      </c>
      <c r="D41" s="27">
        <f t="shared" ref="D41:N41" si="76">SUM(D27:D40)</f>
        <v>36902707</v>
      </c>
      <c r="E41" s="27">
        <f t="shared" si="76"/>
        <v>36902707</v>
      </c>
      <c r="F41" s="27">
        <f t="shared" si="76"/>
        <v>0</v>
      </c>
      <c r="G41" s="27">
        <f t="shared" si="76"/>
        <v>0</v>
      </c>
      <c r="H41" s="27">
        <f t="shared" si="76"/>
        <v>0</v>
      </c>
      <c r="I41" s="27">
        <f t="shared" si="76"/>
        <v>0</v>
      </c>
      <c r="J41" s="27">
        <f t="shared" si="76"/>
        <v>0</v>
      </c>
      <c r="K41" s="27">
        <f t="shared" si="76"/>
        <v>0</v>
      </c>
      <c r="L41" s="27">
        <f t="shared" si="76"/>
        <v>10615233</v>
      </c>
      <c r="M41" s="27">
        <f t="shared" si="76"/>
        <v>0</v>
      </c>
      <c r="N41" s="27">
        <f t="shared" si="76"/>
        <v>0</v>
      </c>
      <c r="P41" s="17"/>
      <c r="Q41" s="20" t="s">
        <v>17</v>
      </c>
      <c r="R41" s="27">
        <f>SUM(R27:R40)</f>
        <v>66208374.359999999</v>
      </c>
      <c r="S41" s="27">
        <f t="shared" ref="S41:AC41" si="77">SUM(S27:S40)</f>
        <v>66208374.359999999</v>
      </c>
      <c r="T41" s="27">
        <f t="shared" si="77"/>
        <v>66208374.359999999</v>
      </c>
      <c r="U41" s="27">
        <f t="shared" si="77"/>
        <v>0</v>
      </c>
      <c r="V41" s="27">
        <f t="shared" si="77"/>
        <v>0</v>
      </c>
      <c r="W41" s="27">
        <f t="shared" si="77"/>
        <v>0</v>
      </c>
      <c r="X41" s="27">
        <f t="shared" si="77"/>
        <v>0</v>
      </c>
      <c r="Y41" s="27">
        <f t="shared" si="77"/>
        <v>0</v>
      </c>
      <c r="Z41" s="27">
        <f t="shared" si="77"/>
        <v>0</v>
      </c>
      <c r="AA41" s="27">
        <f t="shared" si="77"/>
        <v>10615233</v>
      </c>
      <c r="AB41" s="27">
        <f t="shared" si="77"/>
        <v>0</v>
      </c>
      <c r="AC41" s="27">
        <f t="shared" si="77"/>
        <v>0</v>
      </c>
      <c r="AE41" s="17"/>
      <c r="AF41" s="20" t="s">
        <v>17</v>
      </c>
      <c r="AG41" s="23">
        <f t="shared" si="52"/>
        <v>-29305667.359999999</v>
      </c>
      <c r="AH41" s="23">
        <f t="shared" si="53"/>
        <v>-79.413326941029013</v>
      </c>
      <c r="AI41" s="23">
        <f t="shared" si="54"/>
        <v>-29305667.359999999</v>
      </c>
      <c r="AJ41" s="23">
        <f t="shared" si="55"/>
        <v>-79.413326941029013</v>
      </c>
      <c r="AK41" s="23">
        <f t="shared" si="56"/>
        <v>-29305667.359999999</v>
      </c>
      <c r="AL41" s="23">
        <f t="shared" si="57"/>
        <v>-79.413326941029013</v>
      </c>
      <c r="AM41" s="23">
        <f t="shared" si="58"/>
        <v>0</v>
      </c>
      <c r="AN41" s="23" t="e">
        <f t="shared" si="59"/>
        <v>#DIV/0!</v>
      </c>
      <c r="AO41" s="23">
        <f t="shared" si="60"/>
        <v>0</v>
      </c>
      <c r="AP41" s="23" t="e">
        <f t="shared" si="61"/>
        <v>#DIV/0!</v>
      </c>
      <c r="AQ41" s="23">
        <f t="shared" si="62"/>
        <v>0</v>
      </c>
      <c r="AR41" s="23" t="e">
        <f t="shared" si="63"/>
        <v>#DIV/0!</v>
      </c>
      <c r="AS41" s="23">
        <f t="shared" si="64"/>
        <v>0</v>
      </c>
      <c r="AT41" s="23" t="e">
        <f t="shared" si="65"/>
        <v>#DIV/0!</v>
      </c>
      <c r="AU41" s="23">
        <f t="shared" si="66"/>
        <v>0</v>
      </c>
      <c r="AV41" s="23" t="e">
        <f t="shared" si="67"/>
        <v>#DIV/0!</v>
      </c>
      <c r="AW41" s="23">
        <f t="shared" si="68"/>
        <v>0</v>
      </c>
      <c r="AX41" s="23" t="e">
        <f t="shared" si="69"/>
        <v>#DIV/0!</v>
      </c>
      <c r="AY41" s="23">
        <f t="shared" si="70"/>
        <v>0</v>
      </c>
      <c r="AZ41" s="23">
        <f t="shared" si="71"/>
        <v>0</v>
      </c>
      <c r="BA41" s="23">
        <f t="shared" si="72"/>
        <v>0</v>
      </c>
      <c r="BB41" s="23" t="e">
        <f t="shared" si="73"/>
        <v>#DIV/0!</v>
      </c>
      <c r="BC41" s="23">
        <f t="shared" si="74"/>
        <v>0</v>
      </c>
      <c r="BD41" s="23" t="e">
        <f t="shared" si="75"/>
        <v>#DIV/0!</v>
      </c>
    </row>
    <row r="42" spans="1:56" ht="25.2" thickTop="1"/>
    <row r="43" spans="1:56">
      <c r="A43" s="37" t="s">
        <v>48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P43" s="37" t="s">
        <v>52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E43" s="37" t="s">
        <v>89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1:56">
      <c r="A44" s="37" t="s">
        <v>1944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P44" s="37" t="s">
        <v>1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E44" s="37" t="s">
        <v>1</v>
      </c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</row>
    <row r="45" spans="1:56" s="15" customFormat="1">
      <c r="A45" s="35" t="s">
        <v>2</v>
      </c>
      <c r="B45" s="35" t="s">
        <v>3</v>
      </c>
      <c r="C45" s="38" t="s">
        <v>4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P45" s="35" t="s">
        <v>2</v>
      </c>
      <c r="Q45" s="35" t="s">
        <v>3</v>
      </c>
      <c r="R45" s="38" t="s">
        <v>5</v>
      </c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40"/>
      <c r="AE45" s="35" t="s">
        <v>2</v>
      </c>
      <c r="AF45" s="35" t="s">
        <v>3</v>
      </c>
      <c r="AG45" s="33">
        <v>25112</v>
      </c>
      <c r="AH45" s="34"/>
      <c r="AI45" s="33">
        <v>25143</v>
      </c>
      <c r="AJ45" s="34"/>
      <c r="AK45" s="33">
        <v>25173</v>
      </c>
      <c r="AL45" s="34"/>
      <c r="AM45" s="33">
        <v>25204</v>
      </c>
      <c r="AN45" s="34"/>
      <c r="AO45" s="33">
        <v>25235</v>
      </c>
      <c r="AP45" s="34"/>
      <c r="AQ45" s="33">
        <v>25263</v>
      </c>
      <c r="AR45" s="34"/>
      <c r="AS45" s="33">
        <v>25294</v>
      </c>
      <c r="AT45" s="34"/>
      <c r="AU45" s="33">
        <v>25324</v>
      </c>
      <c r="AV45" s="34"/>
      <c r="AW45" s="33">
        <v>25355</v>
      </c>
      <c r="AX45" s="34"/>
      <c r="AY45" s="33">
        <v>25385</v>
      </c>
      <c r="AZ45" s="34"/>
      <c r="BA45" s="33">
        <v>25416</v>
      </c>
      <c r="BB45" s="34"/>
      <c r="BC45" s="33">
        <v>25447</v>
      </c>
      <c r="BD45" s="34"/>
    </row>
    <row r="46" spans="1:56" s="15" customFormat="1">
      <c r="A46" s="36"/>
      <c r="B46" s="36"/>
      <c r="C46" s="16">
        <v>25112</v>
      </c>
      <c r="D46" s="16">
        <v>25143</v>
      </c>
      <c r="E46" s="16">
        <v>25173</v>
      </c>
      <c r="F46" s="16">
        <v>25204</v>
      </c>
      <c r="G46" s="16">
        <v>25235</v>
      </c>
      <c r="H46" s="16">
        <v>25263</v>
      </c>
      <c r="I46" s="16">
        <v>25294</v>
      </c>
      <c r="J46" s="16">
        <v>25324</v>
      </c>
      <c r="K46" s="16">
        <v>25355</v>
      </c>
      <c r="L46" s="16">
        <v>25385</v>
      </c>
      <c r="M46" s="16">
        <v>25416</v>
      </c>
      <c r="N46" s="16">
        <v>25447</v>
      </c>
      <c r="P46" s="36"/>
      <c r="Q46" s="36"/>
      <c r="R46" s="16">
        <v>25112</v>
      </c>
      <c r="S46" s="16">
        <v>25143</v>
      </c>
      <c r="T46" s="16">
        <v>25173</v>
      </c>
      <c r="U46" s="16">
        <v>25204</v>
      </c>
      <c r="V46" s="16">
        <v>25235</v>
      </c>
      <c r="W46" s="16">
        <v>25263</v>
      </c>
      <c r="X46" s="16">
        <v>25294</v>
      </c>
      <c r="Y46" s="16">
        <v>25324</v>
      </c>
      <c r="Z46" s="16">
        <v>25355</v>
      </c>
      <c r="AA46" s="16">
        <v>25385</v>
      </c>
      <c r="AB46" s="16">
        <v>25416</v>
      </c>
      <c r="AC46" s="16">
        <v>25447</v>
      </c>
      <c r="AE46" s="36"/>
      <c r="AF46" s="36"/>
      <c r="AG46" s="16" t="s">
        <v>85</v>
      </c>
      <c r="AH46" s="16" t="s">
        <v>86</v>
      </c>
      <c r="AI46" s="16" t="s">
        <v>85</v>
      </c>
      <c r="AJ46" s="16" t="s">
        <v>86</v>
      </c>
      <c r="AK46" s="16" t="s">
        <v>85</v>
      </c>
      <c r="AL46" s="16" t="s">
        <v>86</v>
      </c>
      <c r="AM46" s="16" t="s">
        <v>85</v>
      </c>
      <c r="AN46" s="16" t="s">
        <v>86</v>
      </c>
      <c r="AO46" s="16" t="s">
        <v>85</v>
      </c>
      <c r="AP46" s="16" t="s">
        <v>86</v>
      </c>
      <c r="AQ46" s="16" t="s">
        <v>85</v>
      </c>
      <c r="AR46" s="16" t="s">
        <v>86</v>
      </c>
      <c r="AS46" s="16" t="s">
        <v>85</v>
      </c>
      <c r="AT46" s="16" t="s">
        <v>86</v>
      </c>
      <c r="AU46" s="16" t="s">
        <v>85</v>
      </c>
      <c r="AV46" s="16" t="s">
        <v>86</v>
      </c>
      <c r="AW46" s="16" t="s">
        <v>85</v>
      </c>
      <c r="AX46" s="16" t="s">
        <v>86</v>
      </c>
      <c r="AY46" s="16" t="s">
        <v>85</v>
      </c>
      <c r="AZ46" s="16" t="s">
        <v>86</v>
      </c>
      <c r="BA46" s="16" t="s">
        <v>85</v>
      </c>
      <c r="BB46" s="16" t="s">
        <v>86</v>
      </c>
      <c r="BC46" s="16" t="s">
        <v>85</v>
      </c>
      <c r="BD46" s="16" t="s">
        <v>86</v>
      </c>
    </row>
    <row r="47" spans="1:56">
      <c r="A47" s="17">
        <v>1</v>
      </c>
      <c r="B47" s="18" t="s">
        <v>19</v>
      </c>
      <c r="C47" s="19"/>
      <c r="D47" s="19"/>
      <c r="E47" s="19"/>
      <c r="F47" s="19"/>
      <c r="G47" s="18"/>
      <c r="H47" s="18"/>
      <c r="I47" s="18"/>
      <c r="J47" s="18"/>
      <c r="K47" s="18"/>
      <c r="L47" s="18"/>
      <c r="M47" s="18"/>
      <c r="N47" s="18"/>
      <c r="P47" s="17">
        <v>1</v>
      </c>
      <c r="Q47" s="18" t="s">
        <v>19</v>
      </c>
      <c r="R47" s="19">
        <v>20628091.859999999</v>
      </c>
      <c r="S47" s="19">
        <v>20628091.859999999</v>
      </c>
      <c r="T47" s="19">
        <v>20628091.859999999</v>
      </c>
      <c r="U47" s="19"/>
      <c r="V47" s="18"/>
      <c r="W47" s="18"/>
      <c r="X47" s="18"/>
      <c r="Y47" s="18"/>
      <c r="Z47" s="18"/>
      <c r="AA47" s="18"/>
      <c r="AB47" s="18"/>
      <c r="AC47" s="18"/>
      <c r="AE47" s="17">
        <v>1</v>
      </c>
      <c r="AF47" s="18" t="s">
        <v>19</v>
      </c>
      <c r="AG47" s="19">
        <f t="shared" ref="AG47:AG61" si="78">+C47-R47</f>
        <v>-20628091.859999999</v>
      </c>
      <c r="AH47" s="19" t="e">
        <f t="shared" ref="AH47:AH61" si="79">+AG47/C47*100</f>
        <v>#DIV/0!</v>
      </c>
      <c r="AI47" s="19">
        <f t="shared" ref="AI47:AI61" si="80">+D47-S47</f>
        <v>-20628091.859999999</v>
      </c>
      <c r="AJ47" s="19" t="e">
        <f t="shared" ref="AJ47:AJ61" si="81">+AI47/D47*100</f>
        <v>#DIV/0!</v>
      </c>
      <c r="AK47" s="19">
        <f t="shared" ref="AK47:AK61" si="82">+E47-T47</f>
        <v>-20628091.859999999</v>
      </c>
      <c r="AL47" s="19" t="e">
        <f t="shared" ref="AL47:AL61" si="83">+AK47/E47*100</f>
        <v>#DIV/0!</v>
      </c>
      <c r="AM47" s="19">
        <f t="shared" ref="AM47:AM61" si="84">+F47-U47</f>
        <v>0</v>
      </c>
      <c r="AN47" s="19" t="e">
        <f t="shared" ref="AN47:AN61" si="85">+AM47/F47*100</f>
        <v>#DIV/0!</v>
      </c>
      <c r="AO47" s="19">
        <f t="shared" ref="AO47:AO61" si="86">+G47-V47</f>
        <v>0</v>
      </c>
      <c r="AP47" s="19" t="e">
        <f t="shared" ref="AP47:AP61" si="87">+AO47/G47*100</f>
        <v>#DIV/0!</v>
      </c>
      <c r="AQ47" s="19">
        <f t="shared" ref="AQ47:AQ61" si="88">+H47-W47</f>
        <v>0</v>
      </c>
      <c r="AR47" s="19" t="e">
        <f t="shared" ref="AR47:AR61" si="89">+AQ47/H47*100</f>
        <v>#DIV/0!</v>
      </c>
      <c r="AS47" s="19">
        <f t="shared" ref="AS47:AS61" si="90">+I47-X47</f>
        <v>0</v>
      </c>
      <c r="AT47" s="19" t="e">
        <f t="shared" ref="AT47:AT61" si="91">+AS47/I47*100</f>
        <v>#DIV/0!</v>
      </c>
      <c r="AU47" s="19">
        <f t="shared" ref="AU47:AU61" si="92">+J47-Y47</f>
        <v>0</v>
      </c>
      <c r="AV47" s="19" t="e">
        <f t="shared" ref="AV47:AV61" si="93">+AU47/J47*100</f>
        <v>#DIV/0!</v>
      </c>
      <c r="AW47" s="19">
        <f t="shared" ref="AW47:AW61" si="94">+K47-Z47</f>
        <v>0</v>
      </c>
      <c r="AX47" s="19" t="e">
        <f t="shared" ref="AX47:AX61" si="95">+AW47/K47*100</f>
        <v>#DIV/0!</v>
      </c>
      <c r="AY47" s="19">
        <f t="shared" ref="AY47:AY61" si="96">+L47-AA47</f>
        <v>0</v>
      </c>
      <c r="AZ47" s="19" t="e">
        <f t="shared" ref="AZ47:AZ61" si="97">+AY47/L47*100</f>
        <v>#DIV/0!</v>
      </c>
      <c r="BA47" s="19">
        <f t="shared" ref="BA47:BA61" si="98">+M47-AB47</f>
        <v>0</v>
      </c>
      <c r="BB47" s="19" t="e">
        <f t="shared" ref="BB47:BB61" si="99">+BA47/M47*100</f>
        <v>#DIV/0!</v>
      </c>
      <c r="BC47" s="19">
        <f t="shared" ref="BC47:BC61" si="100">+N47-AC47</f>
        <v>0</v>
      </c>
      <c r="BD47" s="19" t="e">
        <f t="shared" ref="BD47:BD61" si="101">+BC47/N47*100</f>
        <v>#DIV/0!</v>
      </c>
    </row>
    <row r="48" spans="1:56">
      <c r="A48" s="17">
        <v>2</v>
      </c>
      <c r="B48" s="18" t="s">
        <v>21</v>
      </c>
      <c r="C48" s="19">
        <v>4398240.87</v>
      </c>
      <c r="D48" s="19">
        <v>4480066.53</v>
      </c>
      <c r="E48" s="19">
        <v>-4561899.41</v>
      </c>
      <c r="F48" s="19"/>
      <c r="G48" s="18"/>
      <c r="H48" s="18"/>
      <c r="I48" s="18"/>
      <c r="J48" s="18"/>
      <c r="K48" s="18"/>
      <c r="L48" s="18"/>
      <c r="M48" s="18"/>
      <c r="N48" s="18"/>
      <c r="P48" s="17">
        <v>2</v>
      </c>
      <c r="Q48" s="18" t="s">
        <v>21</v>
      </c>
      <c r="R48" s="19">
        <v>4433413.54</v>
      </c>
      <c r="S48" s="19">
        <v>4516330.2</v>
      </c>
      <c r="T48" s="19">
        <v>4579958.17</v>
      </c>
      <c r="U48" s="19"/>
      <c r="V48" s="18"/>
      <c r="W48" s="18"/>
      <c r="X48" s="18"/>
      <c r="Y48" s="18"/>
      <c r="Z48" s="18"/>
      <c r="AA48" s="18"/>
      <c r="AB48" s="18"/>
      <c r="AC48" s="18"/>
      <c r="AE48" s="17">
        <v>2</v>
      </c>
      <c r="AF48" s="18" t="s">
        <v>21</v>
      </c>
      <c r="AG48" s="19">
        <f t="shared" si="78"/>
        <v>-35172.669999999925</v>
      </c>
      <c r="AH48" s="19">
        <f t="shared" si="79"/>
        <v>-0.79969858494812096</v>
      </c>
      <c r="AI48" s="19">
        <f t="shared" si="80"/>
        <v>-36263.669999999925</v>
      </c>
      <c r="AJ48" s="19">
        <f t="shared" si="81"/>
        <v>-0.80944489902474559</v>
      </c>
      <c r="AK48" s="19">
        <f t="shared" si="82"/>
        <v>-9141857.5800000001</v>
      </c>
      <c r="AL48" s="19">
        <f t="shared" si="83"/>
        <v>200.39586054792031</v>
      </c>
      <c r="AM48" s="19">
        <f t="shared" si="84"/>
        <v>0</v>
      </c>
      <c r="AN48" s="19" t="e">
        <f t="shared" si="85"/>
        <v>#DIV/0!</v>
      </c>
      <c r="AO48" s="19">
        <f t="shared" si="86"/>
        <v>0</v>
      </c>
      <c r="AP48" s="19" t="e">
        <f t="shared" si="87"/>
        <v>#DIV/0!</v>
      </c>
      <c r="AQ48" s="19">
        <f t="shared" si="88"/>
        <v>0</v>
      </c>
      <c r="AR48" s="19" t="e">
        <f t="shared" si="89"/>
        <v>#DIV/0!</v>
      </c>
      <c r="AS48" s="19">
        <f t="shared" si="90"/>
        <v>0</v>
      </c>
      <c r="AT48" s="19" t="e">
        <f t="shared" si="91"/>
        <v>#DIV/0!</v>
      </c>
      <c r="AU48" s="19">
        <f t="shared" si="92"/>
        <v>0</v>
      </c>
      <c r="AV48" s="19" t="e">
        <f t="shared" si="93"/>
        <v>#DIV/0!</v>
      </c>
      <c r="AW48" s="19">
        <f t="shared" si="94"/>
        <v>0</v>
      </c>
      <c r="AX48" s="19" t="e">
        <f t="shared" si="95"/>
        <v>#DIV/0!</v>
      </c>
      <c r="AY48" s="19">
        <f t="shared" si="96"/>
        <v>0</v>
      </c>
      <c r="AZ48" s="19" t="e">
        <f t="shared" si="97"/>
        <v>#DIV/0!</v>
      </c>
      <c r="BA48" s="19">
        <f t="shared" si="98"/>
        <v>0</v>
      </c>
      <c r="BB48" s="19" t="e">
        <f t="shared" si="99"/>
        <v>#DIV/0!</v>
      </c>
      <c r="BC48" s="19">
        <f t="shared" si="100"/>
        <v>0</v>
      </c>
      <c r="BD48" s="19" t="e">
        <f t="shared" si="101"/>
        <v>#DIV/0!</v>
      </c>
    </row>
    <row r="49" spans="1:56">
      <c r="A49" s="17">
        <v>3</v>
      </c>
      <c r="B49" s="18" t="s">
        <v>23</v>
      </c>
      <c r="C49" s="19"/>
      <c r="D49" s="19"/>
      <c r="E49" s="19"/>
      <c r="F49" s="19"/>
      <c r="G49" s="18"/>
      <c r="H49" s="18"/>
      <c r="I49" s="18"/>
      <c r="J49" s="18"/>
      <c r="K49" s="18"/>
      <c r="L49" s="18"/>
      <c r="M49" s="18"/>
      <c r="N49" s="18"/>
      <c r="P49" s="17">
        <v>3</v>
      </c>
      <c r="Q49" s="18" t="s">
        <v>23</v>
      </c>
      <c r="R49" s="19">
        <v>762035</v>
      </c>
      <c r="S49" s="19">
        <v>762035</v>
      </c>
      <c r="T49" s="19">
        <v>762035</v>
      </c>
      <c r="U49" s="19"/>
      <c r="V49" s="18"/>
      <c r="W49" s="18"/>
      <c r="X49" s="18"/>
      <c r="Y49" s="18"/>
      <c r="Z49" s="18"/>
      <c r="AA49" s="18"/>
      <c r="AB49" s="18"/>
      <c r="AC49" s="18"/>
      <c r="AE49" s="17">
        <v>3</v>
      </c>
      <c r="AF49" s="18" t="s">
        <v>23</v>
      </c>
      <c r="AG49" s="19">
        <f t="shared" si="78"/>
        <v>-762035</v>
      </c>
      <c r="AH49" s="19" t="e">
        <f t="shared" si="79"/>
        <v>#DIV/0!</v>
      </c>
      <c r="AI49" s="19">
        <f t="shared" si="80"/>
        <v>-762035</v>
      </c>
      <c r="AJ49" s="19" t="e">
        <f t="shared" si="81"/>
        <v>#DIV/0!</v>
      </c>
      <c r="AK49" s="19">
        <f t="shared" si="82"/>
        <v>-762035</v>
      </c>
      <c r="AL49" s="19" t="e">
        <f t="shared" si="83"/>
        <v>#DIV/0!</v>
      </c>
      <c r="AM49" s="19">
        <f t="shared" si="84"/>
        <v>0</v>
      </c>
      <c r="AN49" s="19" t="e">
        <f t="shared" si="85"/>
        <v>#DIV/0!</v>
      </c>
      <c r="AO49" s="19">
        <f t="shared" si="86"/>
        <v>0</v>
      </c>
      <c r="AP49" s="19" t="e">
        <f t="shared" si="87"/>
        <v>#DIV/0!</v>
      </c>
      <c r="AQ49" s="19">
        <f t="shared" si="88"/>
        <v>0</v>
      </c>
      <c r="AR49" s="19" t="e">
        <f t="shared" si="89"/>
        <v>#DIV/0!</v>
      </c>
      <c r="AS49" s="19">
        <f t="shared" si="90"/>
        <v>0</v>
      </c>
      <c r="AT49" s="19" t="e">
        <f t="shared" si="91"/>
        <v>#DIV/0!</v>
      </c>
      <c r="AU49" s="19">
        <f t="shared" si="92"/>
        <v>0</v>
      </c>
      <c r="AV49" s="19" t="e">
        <f t="shared" si="93"/>
        <v>#DIV/0!</v>
      </c>
      <c r="AW49" s="19">
        <f t="shared" si="94"/>
        <v>0</v>
      </c>
      <c r="AX49" s="19" t="e">
        <f t="shared" si="95"/>
        <v>#DIV/0!</v>
      </c>
      <c r="AY49" s="19">
        <f t="shared" si="96"/>
        <v>0</v>
      </c>
      <c r="AZ49" s="19" t="e">
        <f t="shared" si="97"/>
        <v>#DIV/0!</v>
      </c>
      <c r="BA49" s="19">
        <f t="shared" si="98"/>
        <v>0</v>
      </c>
      <c r="BB49" s="19" t="e">
        <f t="shared" si="99"/>
        <v>#DIV/0!</v>
      </c>
      <c r="BC49" s="19">
        <f t="shared" si="100"/>
        <v>0</v>
      </c>
      <c r="BD49" s="19" t="e">
        <f t="shared" si="101"/>
        <v>#DIV/0!</v>
      </c>
    </row>
    <row r="50" spans="1:56">
      <c r="A50" s="17">
        <v>4</v>
      </c>
      <c r="B50" s="18" t="s">
        <v>25</v>
      </c>
      <c r="C50" s="19"/>
      <c r="D50" s="19"/>
      <c r="E50" s="19"/>
      <c r="F50" s="19"/>
      <c r="G50" s="18"/>
      <c r="H50" s="18"/>
      <c r="I50" s="18"/>
      <c r="J50" s="18"/>
      <c r="K50" s="18"/>
      <c r="L50" s="18"/>
      <c r="M50" s="18"/>
      <c r="N50" s="18"/>
      <c r="P50" s="17">
        <v>4</v>
      </c>
      <c r="Q50" s="18" t="s">
        <v>25</v>
      </c>
      <c r="R50" s="19">
        <v>203560</v>
      </c>
      <c r="S50" s="19">
        <v>203560</v>
      </c>
      <c r="T50" s="19">
        <v>203560</v>
      </c>
      <c r="U50" s="19"/>
      <c r="V50" s="18"/>
      <c r="W50" s="18"/>
      <c r="X50" s="18"/>
      <c r="Y50" s="18"/>
      <c r="Z50" s="18"/>
      <c r="AA50" s="18"/>
      <c r="AB50" s="18"/>
      <c r="AC50" s="18"/>
      <c r="AE50" s="17">
        <v>4</v>
      </c>
      <c r="AF50" s="18" t="s">
        <v>25</v>
      </c>
      <c r="AG50" s="19">
        <f t="shared" si="78"/>
        <v>-203560</v>
      </c>
      <c r="AH50" s="19" t="e">
        <f t="shared" si="79"/>
        <v>#DIV/0!</v>
      </c>
      <c r="AI50" s="19">
        <f t="shared" si="80"/>
        <v>-203560</v>
      </c>
      <c r="AJ50" s="19" t="e">
        <f t="shared" si="81"/>
        <v>#DIV/0!</v>
      </c>
      <c r="AK50" s="19">
        <f t="shared" si="82"/>
        <v>-203560</v>
      </c>
      <c r="AL50" s="19" t="e">
        <f t="shared" si="83"/>
        <v>#DIV/0!</v>
      </c>
      <c r="AM50" s="19">
        <f t="shared" si="84"/>
        <v>0</v>
      </c>
      <c r="AN50" s="19" t="e">
        <f t="shared" si="85"/>
        <v>#DIV/0!</v>
      </c>
      <c r="AO50" s="19">
        <f t="shared" si="86"/>
        <v>0</v>
      </c>
      <c r="AP50" s="19" t="e">
        <f t="shared" si="87"/>
        <v>#DIV/0!</v>
      </c>
      <c r="AQ50" s="19">
        <f t="shared" si="88"/>
        <v>0</v>
      </c>
      <c r="AR50" s="19" t="e">
        <f t="shared" si="89"/>
        <v>#DIV/0!</v>
      </c>
      <c r="AS50" s="19">
        <f t="shared" si="90"/>
        <v>0</v>
      </c>
      <c r="AT50" s="19" t="e">
        <f t="shared" si="91"/>
        <v>#DIV/0!</v>
      </c>
      <c r="AU50" s="19">
        <f t="shared" si="92"/>
        <v>0</v>
      </c>
      <c r="AV50" s="19" t="e">
        <f t="shared" si="93"/>
        <v>#DIV/0!</v>
      </c>
      <c r="AW50" s="19">
        <f t="shared" si="94"/>
        <v>0</v>
      </c>
      <c r="AX50" s="19" t="e">
        <f t="shared" si="95"/>
        <v>#DIV/0!</v>
      </c>
      <c r="AY50" s="19">
        <f t="shared" si="96"/>
        <v>0</v>
      </c>
      <c r="AZ50" s="19" t="e">
        <f t="shared" si="97"/>
        <v>#DIV/0!</v>
      </c>
      <c r="BA50" s="19">
        <f t="shared" si="98"/>
        <v>0</v>
      </c>
      <c r="BB50" s="19" t="e">
        <f t="shared" si="99"/>
        <v>#DIV/0!</v>
      </c>
      <c r="BC50" s="19">
        <f t="shared" si="100"/>
        <v>0</v>
      </c>
      <c r="BD50" s="19" t="e">
        <f t="shared" si="101"/>
        <v>#DIV/0!</v>
      </c>
    </row>
    <row r="51" spans="1:56">
      <c r="A51" s="17">
        <v>5</v>
      </c>
      <c r="B51" s="18" t="s">
        <v>27</v>
      </c>
      <c r="C51" s="19"/>
      <c r="D51" s="19"/>
      <c r="E51" s="19"/>
      <c r="F51" s="19"/>
      <c r="G51" s="18"/>
      <c r="H51" s="18"/>
      <c r="I51" s="18"/>
      <c r="J51" s="18"/>
      <c r="K51" s="18"/>
      <c r="L51" s="18"/>
      <c r="M51" s="18"/>
      <c r="N51" s="18"/>
      <c r="P51" s="17">
        <v>5</v>
      </c>
      <c r="Q51" s="18" t="s">
        <v>27</v>
      </c>
      <c r="R51" s="19"/>
      <c r="S51" s="19"/>
      <c r="T51" s="19"/>
      <c r="U51" s="19"/>
      <c r="V51" s="18"/>
      <c r="W51" s="18"/>
      <c r="X51" s="18"/>
      <c r="Y51" s="18"/>
      <c r="Z51" s="18"/>
      <c r="AA51" s="18"/>
      <c r="AB51" s="18"/>
      <c r="AC51" s="18"/>
      <c r="AE51" s="17">
        <v>5</v>
      </c>
      <c r="AF51" s="18" t="s">
        <v>27</v>
      </c>
      <c r="AG51" s="19">
        <f t="shared" si="78"/>
        <v>0</v>
      </c>
      <c r="AH51" s="19" t="e">
        <f t="shared" si="79"/>
        <v>#DIV/0!</v>
      </c>
      <c r="AI51" s="19">
        <f t="shared" si="80"/>
        <v>0</v>
      </c>
      <c r="AJ51" s="19" t="e">
        <f t="shared" si="81"/>
        <v>#DIV/0!</v>
      </c>
      <c r="AK51" s="19">
        <f t="shared" si="82"/>
        <v>0</v>
      </c>
      <c r="AL51" s="19" t="e">
        <f t="shared" si="83"/>
        <v>#DIV/0!</v>
      </c>
      <c r="AM51" s="19">
        <f t="shared" si="84"/>
        <v>0</v>
      </c>
      <c r="AN51" s="19" t="e">
        <f t="shared" si="85"/>
        <v>#DIV/0!</v>
      </c>
      <c r="AO51" s="19">
        <f t="shared" si="86"/>
        <v>0</v>
      </c>
      <c r="AP51" s="19" t="e">
        <f t="shared" si="87"/>
        <v>#DIV/0!</v>
      </c>
      <c r="AQ51" s="19">
        <f t="shared" si="88"/>
        <v>0</v>
      </c>
      <c r="AR51" s="19" t="e">
        <f t="shared" si="89"/>
        <v>#DIV/0!</v>
      </c>
      <c r="AS51" s="19">
        <f t="shared" si="90"/>
        <v>0</v>
      </c>
      <c r="AT51" s="19" t="e">
        <f t="shared" si="91"/>
        <v>#DIV/0!</v>
      </c>
      <c r="AU51" s="19">
        <f t="shared" si="92"/>
        <v>0</v>
      </c>
      <c r="AV51" s="19" t="e">
        <f t="shared" si="93"/>
        <v>#DIV/0!</v>
      </c>
      <c r="AW51" s="19">
        <f t="shared" si="94"/>
        <v>0</v>
      </c>
      <c r="AX51" s="19" t="e">
        <f t="shared" si="95"/>
        <v>#DIV/0!</v>
      </c>
      <c r="AY51" s="19">
        <f t="shared" si="96"/>
        <v>0</v>
      </c>
      <c r="AZ51" s="19" t="e">
        <f t="shared" si="97"/>
        <v>#DIV/0!</v>
      </c>
      <c r="BA51" s="19">
        <f t="shared" si="98"/>
        <v>0</v>
      </c>
      <c r="BB51" s="19" t="e">
        <f t="shared" si="99"/>
        <v>#DIV/0!</v>
      </c>
      <c r="BC51" s="19">
        <f t="shared" si="100"/>
        <v>0</v>
      </c>
      <c r="BD51" s="19" t="e">
        <f t="shared" si="101"/>
        <v>#DIV/0!</v>
      </c>
    </row>
    <row r="52" spans="1:56">
      <c r="A52" s="17">
        <v>6</v>
      </c>
      <c r="B52" s="18" t="s">
        <v>29</v>
      </c>
      <c r="C52" s="19">
        <v>11149284.4</v>
      </c>
      <c r="D52" s="19">
        <v>11674108.52</v>
      </c>
      <c r="E52" s="19">
        <v>-12216426.890000001</v>
      </c>
      <c r="F52" s="19"/>
      <c r="G52" s="18"/>
      <c r="H52" s="18"/>
      <c r="I52" s="18"/>
      <c r="J52" s="18"/>
      <c r="K52" s="18"/>
      <c r="L52" s="18"/>
      <c r="M52" s="18"/>
      <c r="N52" s="18"/>
      <c r="P52" s="17">
        <v>6</v>
      </c>
      <c r="Q52" s="18" t="s">
        <v>29</v>
      </c>
      <c r="R52" s="19">
        <v>17330678.859999999</v>
      </c>
      <c r="S52" s="19">
        <v>17862807.27</v>
      </c>
      <c r="T52" s="19">
        <v>18394935.68</v>
      </c>
      <c r="U52" s="19"/>
      <c r="V52" s="18"/>
      <c r="W52" s="18"/>
      <c r="X52" s="18"/>
      <c r="Y52" s="18"/>
      <c r="Z52" s="18"/>
      <c r="AA52" s="18"/>
      <c r="AB52" s="18"/>
      <c r="AC52" s="18"/>
      <c r="AE52" s="17">
        <v>6</v>
      </c>
      <c r="AF52" s="18" t="s">
        <v>29</v>
      </c>
      <c r="AG52" s="19">
        <f t="shared" si="78"/>
        <v>-6181394.459999999</v>
      </c>
      <c r="AH52" s="19">
        <f t="shared" si="79"/>
        <v>-55.442073573798147</v>
      </c>
      <c r="AI52" s="19">
        <f t="shared" si="80"/>
        <v>-6188698.75</v>
      </c>
      <c r="AJ52" s="19">
        <f t="shared" si="81"/>
        <v>-53.01217424351988</v>
      </c>
      <c r="AK52" s="19">
        <f t="shared" si="82"/>
        <v>-30611362.57</v>
      </c>
      <c r="AL52" s="19">
        <f t="shared" si="83"/>
        <v>250.57541657338072</v>
      </c>
      <c r="AM52" s="19">
        <f t="shared" si="84"/>
        <v>0</v>
      </c>
      <c r="AN52" s="19" t="e">
        <f t="shared" si="85"/>
        <v>#DIV/0!</v>
      </c>
      <c r="AO52" s="19">
        <f t="shared" si="86"/>
        <v>0</v>
      </c>
      <c r="AP52" s="19" t="e">
        <f t="shared" si="87"/>
        <v>#DIV/0!</v>
      </c>
      <c r="AQ52" s="19">
        <f t="shared" si="88"/>
        <v>0</v>
      </c>
      <c r="AR52" s="19" t="e">
        <f t="shared" si="89"/>
        <v>#DIV/0!</v>
      </c>
      <c r="AS52" s="19">
        <f t="shared" si="90"/>
        <v>0</v>
      </c>
      <c r="AT52" s="19" t="e">
        <f t="shared" si="91"/>
        <v>#DIV/0!</v>
      </c>
      <c r="AU52" s="19">
        <f t="shared" si="92"/>
        <v>0</v>
      </c>
      <c r="AV52" s="19" t="e">
        <f t="shared" si="93"/>
        <v>#DIV/0!</v>
      </c>
      <c r="AW52" s="19">
        <f t="shared" si="94"/>
        <v>0</v>
      </c>
      <c r="AX52" s="19" t="e">
        <f t="shared" si="95"/>
        <v>#DIV/0!</v>
      </c>
      <c r="AY52" s="19">
        <f t="shared" si="96"/>
        <v>0</v>
      </c>
      <c r="AZ52" s="19" t="e">
        <f t="shared" si="97"/>
        <v>#DIV/0!</v>
      </c>
      <c r="BA52" s="19">
        <f t="shared" si="98"/>
        <v>0</v>
      </c>
      <c r="BB52" s="19" t="e">
        <f t="shared" si="99"/>
        <v>#DIV/0!</v>
      </c>
      <c r="BC52" s="19">
        <f t="shared" si="100"/>
        <v>0</v>
      </c>
      <c r="BD52" s="19" t="e">
        <f t="shared" si="101"/>
        <v>#DIV/0!</v>
      </c>
    </row>
    <row r="53" spans="1:56">
      <c r="A53" s="17">
        <v>7</v>
      </c>
      <c r="B53" s="18" t="s">
        <v>31</v>
      </c>
      <c r="C53" s="19"/>
      <c r="D53" s="19"/>
      <c r="E53" s="19"/>
      <c r="F53" s="19"/>
      <c r="G53" s="18"/>
      <c r="H53" s="18"/>
      <c r="I53" s="18"/>
      <c r="J53" s="18"/>
      <c r="K53" s="18"/>
      <c r="L53" s="18"/>
      <c r="M53" s="18"/>
      <c r="N53" s="18"/>
      <c r="P53" s="17">
        <v>7</v>
      </c>
      <c r="Q53" s="18" t="s">
        <v>31</v>
      </c>
      <c r="R53" s="19">
        <v>1069728.5</v>
      </c>
      <c r="S53" s="19">
        <v>1069728.5</v>
      </c>
      <c r="T53" s="19">
        <v>1069728.5</v>
      </c>
      <c r="U53" s="19"/>
      <c r="V53" s="18"/>
      <c r="W53" s="18"/>
      <c r="X53" s="18"/>
      <c r="Y53" s="18"/>
      <c r="Z53" s="18"/>
      <c r="AA53" s="18"/>
      <c r="AB53" s="18"/>
      <c r="AC53" s="18"/>
      <c r="AE53" s="17">
        <v>7</v>
      </c>
      <c r="AF53" s="18" t="s">
        <v>31</v>
      </c>
      <c r="AG53" s="19">
        <f t="shared" si="78"/>
        <v>-1069728.5</v>
      </c>
      <c r="AH53" s="19" t="e">
        <f t="shared" si="79"/>
        <v>#DIV/0!</v>
      </c>
      <c r="AI53" s="19">
        <f t="shared" si="80"/>
        <v>-1069728.5</v>
      </c>
      <c r="AJ53" s="19" t="e">
        <f t="shared" si="81"/>
        <v>#DIV/0!</v>
      </c>
      <c r="AK53" s="19">
        <f t="shared" si="82"/>
        <v>-1069728.5</v>
      </c>
      <c r="AL53" s="19" t="e">
        <f t="shared" si="83"/>
        <v>#DIV/0!</v>
      </c>
      <c r="AM53" s="19">
        <f t="shared" si="84"/>
        <v>0</v>
      </c>
      <c r="AN53" s="19" t="e">
        <f t="shared" si="85"/>
        <v>#DIV/0!</v>
      </c>
      <c r="AO53" s="19">
        <f t="shared" si="86"/>
        <v>0</v>
      </c>
      <c r="AP53" s="19" t="e">
        <f t="shared" si="87"/>
        <v>#DIV/0!</v>
      </c>
      <c r="AQ53" s="19">
        <f t="shared" si="88"/>
        <v>0</v>
      </c>
      <c r="AR53" s="19" t="e">
        <f t="shared" si="89"/>
        <v>#DIV/0!</v>
      </c>
      <c r="AS53" s="19">
        <f t="shared" si="90"/>
        <v>0</v>
      </c>
      <c r="AT53" s="19" t="e">
        <f t="shared" si="91"/>
        <v>#DIV/0!</v>
      </c>
      <c r="AU53" s="19">
        <f t="shared" si="92"/>
        <v>0</v>
      </c>
      <c r="AV53" s="19" t="e">
        <f t="shared" si="93"/>
        <v>#DIV/0!</v>
      </c>
      <c r="AW53" s="19">
        <f t="shared" si="94"/>
        <v>0</v>
      </c>
      <c r="AX53" s="19" t="e">
        <f t="shared" si="95"/>
        <v>#DIV/0!</v>
      </c>
      <c r="AY53" s="19">
        <f t="shared" si="96"/>
        <v>0</v>
      </c>
      <c r="AZ53" s="19" t="e">
        <f t="shared" si="97"/>
        <v>#DIV/0!</v>
      </c>
      <c r="BA53" s="19">
        <f t="shared" si="98"/>
        <v>0</v>
      </c>
      <c r="BB53" s="19" t="e">
        <f t="shared" si="99"/>
        <v>#DIV/0!</v>
      </c>
      <c r="BC53" s="19">
        <f t="shared" si="100"/>
        <v>0</v>
      </c>
      <c r="BD53" s="19" t="e">
        <f t="shared" si="101"/>
        <v>#DIV/0!</v>
      </c>
    </row>
    <row r="54" spans="1:56">
      <c r="A54" s="17">
        <v>8</v>
      </c>
      <c r="B54" s="18" t="s">
        <v>33</v>
      </c>
      <c r="C54" s="19"/>
      <c r="D54" s="19"/>
      <c r="E54" s="19"/>
      <c r="F54" s="19"/>
      <c r="G54" s="18"/>
      <c r="H54" s="18"/>
      <c r="I54" s="18"/>
      <c r="J54" s="18"/>
      <c r="K54" s="18"/>
      <c r="L54" s="18"/>
      <c r="M54" s="18"/>
      <c r="N54" s="18"/>
      <c r="P54" s="17">
        <v>8</v>
      </c>
      <c r="Q54" s="18" t="s">
        <v>33</v>
      </c>
      <c r="R54" s="19">
        <v>318879</v>
      </c>
      <c r="S54" s="19">
        <v>318879</v>
      </c>
      <c r="T54" s="19">
        <v>318879</v>
      </c>
      <c r="U54" s="19"/>
      <c r="V54" s="18"/>
      <c r="W54" s="18"/>
      <c r="X54" s="18"/>
      <c r="Y54" s="18"/>
      <c r="Z54" s="18"/>
      <c r="AA54" s="18"/>
      <c r="AB54" s="18"/>
      <c r="AC54" s="18"/>
      <c r="AE54" s="17">
        <v>8</v>
      </c>
      <c r="AF54" s="18" t="s">
        <v>33</v>
      </c>
      <c r="AG54" s="19">
        <f t="shared" si="78"/>
        <v>-318879</v>
      </c>
      <c r="AH54" s="19" t="e">
        <f t="shared" si="79"/>
        <v>#DIV/0!</v>
      </c>
      <c r="AI54" s="19">
        <f t="shared" si="80"/>
        <v>-318879</v>
      </c>
      <c r="AJ54" s="19" t="e">
        <f t="shared" si="81"/>
        <v>#DIV/0!</v>
      </c>
      <c r="AK54" s="19">
        <f t="shared" si="82"/>
        <v>-318879</v>
      </c>
      <c r="AL54" s="19" t="e">
        <f t="shared" si="83"/>
        <v>#DIV/0!</v>
      </c>
      <c r="AM54" s="19">
        <f t="shared" si="84"/>
        <v>0</v>
      </c>
      <c r="AN54" s="19" t="e">
        <f t="shared" si="85"/>
        <v>#DIV/0!</v>
      </c>
      <c r="AO54" s="19">
        <f t="shared" si="86"/>
        <v>0</v>
      </c>
      <c r="AP54" s="19" t="e">
        <f t="shared" si="87"/>
        <v>#DIV/0!</v>
      </c>
      <c r="AQ54" s="19">
        <f t="shared" si="88"/>
        <v>0</v>
      </c>
      <c r="AR54" s="19" t="e">
        <f t="shared" si="89"/>
        <v>#DIV/0!</v>
      </c>
      <c r="AS54" s="19">
        <f t="shared" si="90"/>
        <v>0</v>
      </c>
      <c r="AT54" s="19" t="e">
        <f t="shared" si="91"/>
        <v>#DIV/0!</v>
      </c>
      <c r="AU54" s="19">
        <f t="shared" si="92"/>
        <v>0</v>
      </c>
      <c r="AV54" s="19" t="e">
        <f t="shared" si="93"/>
        <v>#DIV/0!</v>
      </c>
      <c r="AW54" s="19">
        <f t="shared" si="94"/>
        <v>0</v>
      </c>
      <c r="AX54" s="19" t="e">
        <f t="shared" si="95"/>
        <v>#DIV/0!</v>
      </c>
      <c r="AY54" s="19">
        <f t="shared" si="96"/>
        <v>0</v>
      </c>
      <c r="AZ54" s="19" t="e">
        <f t="shared" si="97"/>
        <v>#DIV/0!</v>
      </c>
      <c r="BA54" s="19">
        <f t="shared" si="98"/>
        <v>0</v>
      </c>
      <c r="BB54" s="19" t="e">
        <f t="shared" si="99"/>
        <v>#DIV/0!</v>
      </c>
      <c r="BC54" s="19">
        <f t="shared" si="100"/>
        <v>0</v>
      </c>
      <c r="BD54" s="19" t="e">
        <f t="shared" si="101"/>
        <v>#DIV/0!</v>
      </c>
    </row>
    <row r="55" spans="1:56">
      <c r="A55" s="17">
        <v>9</v>
      </c>
      <c r="B55" s="18" t="s">
        <v>35</v>
      </c>
      <c r="C55" s="19"/>
      <c r="D55" s="19"/>
      <c r="E55" s="19"/>
      <c r="F55" s="19"/>
      <c r="G55" s="18"/>
      <c r="H55" s="18"/>
      <c r="I55" s="18"/>
      <c r="J55" s="18"/>
      <c r="K55" s="18"/>
      <c r="L55" s="18"/>
      <c r="M55" s="18"/>
      <c r="N55" s="18"/>
      <c r="P55" s="17">
        <v>9</v>
      </c>
      <c r="Q55" s="18" t="s">
        <v>35</v>
      </c>
      <c r="R55" s="19"/>
      <c r="S55" s="19"/>
      <c r="T55" s="19"/>
      <c r="U55" s="19"/>
      <c r="V55" s="18"/>
      <c r="W55" s="18"/>
      <c r="X55" s="18"/>
      <c r="Y55" s="18"/>
      <c r="Z55" s="18"/>
      <c r="AA55" s="18"/>
      <c r="AB55" s="18"/>
      <c r="AC55" s="18"/>
      <c r="AE55" s="17">
        <v>9</v>
      </c>
      <c r="AF55" s="18" t="s">
        <v>35</v>
      </c>
      <c r="AG55" s="19">
        <f t="shared" si="78"/>
        <v>0</v>
      </c>
      <c r="AH55" s="19" t="e">
        <f t="shared" si="79"/>
        <v>#DIV/0!</v>
      </c>
      <c r="AI55" s="19">
        <f t="shared" si="80"/>
        <v>0</v>
      </c>
      <c r="AJ55" s="19" t="e">
        <f t="shared" si="81"/>
        <v>#DIV/0!</v>
      </c>
      <c r="AK55" s="19">
        <f t="shared" si="82"/>
        <v>0</v>
      </c>
      <c r="AL55" s="19" t="e">
        <f t="shared" si="83"/>
        <v>#DIV/0!</v>
      </c>
      <c r="AM55" s="19">
        <f t="shared" si="84"/>
        <v>0</v>
      </c>
      <c r="AN55" s="19" t="e">
        <f t="shared" si="85"/>
        <v>#DIV/0!</v>
      </c>
      <c r="AO55" s="19">
        <f t="shared" si="86"/>
        <v>0</v>
      </c>
      <c r="AP55" s="19" t="e">
        <f t="shared" si="87"/>
        <v>#DIV/0!</v>
      </c>
      <c r="AQ55" s="19">
        <f t="shared" si="88"/>
        <v>0</v>
      </c>
      <c r="AR55" s="19" t="e">
        <f t="shared" si="89"/>
        <v>#DIV/0!</v>
      </c>
      <c r="AS55" s="19">
        <f t="shared" si="90"/>
        <v>0</v>
      </c>
      <c r="AT55" s="19" t="e">
        <f t="shared" si="91"/>
        <v>#DIV/0!</v>
      </c>
      <c r="AU55" s="19">
        <f t="shared" si="92"/>
        <v>0</v>
      </c>
      <c r="AV55" s="19" t="e">
        <f t="shared" si="93"/>
        <v>#DIV/0!</v>
      </c>
      <c r="AW55" s="19">
        <f t="shared" si="94"/>
        <v>0</v>
      </c>
      <c r="AX55" s="19" t="e">
        <f t="shared" si="95"/>
        <v>#DIV/0!</v>
      </c>
      <c r="AY55" s="19">
        <f t="shared" si="96"/>
        <v>0</v>
      </c>
      <c r="AZ55" s="19" t="e">
        <f t="shared" si="97"/>
        <v>#DIV/0!</v>
      </c>
      <c r="BA55" s="19">
        <f t="shared" si="98"/>
        <v>0</v>
      </c>
      <c r="BB55" s="19" t="e">
        <f t="shared" si="99"/>
        <v>#DIV/0!</v>
      </c>
      <c r="BC55" s="19">
        <f t="shared" si="100"/>
        <v>0</v>
      </c>
      <c r="BD55" s="19" t="e">
        <f t="shared" si="101"/>
        <v>#DIV/0!</v>
      </c>
    </row>
    <row r="56" spans="1:56">
      <c r="A56" s="17">
        <v>10</v>
      </c>
      <c r="B56" s="18" t="s">
        <v>37</v>
      </c>
      <c r="C56" s="19"/>
      <c r="D56" s="19"/>
      <c r="E56" s="19"/>
      <c r="F56" s="19"/>
      <c r="G56" s="18"/>
      <c r="H56" s="18"/>
      <c r="I56" s="18"/>
      <c r="J56" s="18"/>
      <c r="K56" s="18"/>
      <c r="L56" s="18"/>
      <c r="M56" s="18"/>
      <c r="N56" s="18"/>
      <c r="P56" s="17">
        <v>10</v>
      </c>
      <c r="Q56" s="18" t="s">
        <v>37</v>
      </c>
      <c r="R56" s="19"/>
      <c r="S56" s="19"/>
      <c r="T56" s="19"/>
      <c r="U56" s="19"/>
      <c r="V56" s="18"/>
      <c r="W56" s="18"/>
      <c r="X56" s="18"/>
      <c r="Y56" s="18"/>
      <c r="Z56" s="18"/>
      <c r="AA56" s="18"/>
      <c r="AB56" s="18"/>
      <c r="AC56" s="18"/>
      <c r="AE56" s="17">
        <v>10</v>
      </c>
      <c r="AF56" s="18" t="s">
        <v>37</v>
      </c>
      <c r="AG56" s="19">
        <f t="shared" si="78"/>
        <v>0</v>
      </c>
      <c r="AH56" s="19" t="e">
        <f t="shared" si="79"/>
        <v>#DIV/0!</v>
      </c>
      <c r="AI56" s="19">
        <f t="shared" si="80"/>
        <v>0</v>
      </c>
      <c r="AJ56" s="19" t="e">
        <f t="shared" si="81"/>
        <v>#DIV/0!</v>
      </c>
      <c r="AK56" s="19">
        <f t="shared" si="82"/>
        <v>0</v>
      </c>
      <c r="AL56" s="19" t="e">
        <f t="shared" si="83"/>
        <v>#DIV/0!</v>
      </c>
      <c r="AM56" s="19">
        <f t="shared" si="84"/>
        <v>0</v>
      </c>
      <c r="AN56" s="19" t="e">
        <f t="shared" si="85"/>
        <v>#DIV/0!</v>
      </c>
      <c r="AO56" s="19">
        <f t="shared" si="86"/>
        <v>0</v>
      </c>
      <c r="AP56" s="19" t="e">
        <f t="shared" si="87"/>
        <v>#DIV/0!</v>
      </c>
      <c r="AQ56" s="19">
        <f t="shared" si="88"/>
        <v>0</v>
      </c>
      <c r="AR56" s="19" t="e">
        <f t="shared" si="89"/>
        <v>#DIV/0!</v>
      </c>
      <c r="AS56" s="19">
        <f t="shared" si="90"/>
        <v>0</v>
      </c>
      <c r="AT56" s="19" t="e">
        <f t="shared" si="91"/>
        <v>#DIV/0!</v>
      </c>
      <c r="AU56" s="19">
        <f t="shared" si="92"/>
        <v>0</v>
      </c>
      <c r="AV56" s="19" t="e">
        <f t="shared" si="93"/>
        <v>#DIV/0!</v>
      </c>
      <c r="AW56" s="19">
        <f t="shared" si="94"/>
        <v>0</v>
      </c>
      <c r="AX56" s="19" t="e">
        <f t="shared" si="95"/>
        <v>#DIV/0!</v>
      </c>
      <c r="AY56" s="19">
        <f t="shared" si="96"/>
        <v>0</v>
      </c>
      <c r="AZ56" s="19" t="e">
        <f t="shared" si="97"/>
        <v>#DIV/0!</v>
      </c>
      <c r="BA56" s="19">
        <f t="shared" si="98"/>
        <v>0</v>
      </c>
      <c r="BB56" s="19" t="e">
        <f t="shared" si="99"/>
        <v>#DIV/0!</v>
      </c>
      <c r="BC56" s="19">
        <f t="shared" si="100"/>
        <v>0</v>
      </c>
      <c r="BD56" s="19" t="e">
        <f t="shared" si="101"/>
        <v>#DIV/0!</v>
      </c>
    </row>
    <row r="57" spans="1:56">
      <c r="A57" s="17">
        <v>11</v>
      </c>
      <c r="B57" s="18" t="s">
        <v>39</v>
      </c>
      <c r="C57" s="19"/>
      <c r="D57" s="19"/>
      <c r="E57" s="19"/>
      <c r="F57" s="19"/>
      <c r="G57" s="18"/>
      <c r="H57" s="18"/>
      <c r="I57" s="18"/>
      <c r="J57" s="18"/>
      <c r="K57" s="18"/>
      <c r="L57" s="18"/>
      <c r="M57" s="18"/>
      <c r="N57" s="18"/>
      <c r="P57" s="17">
        <v>11</v>
      </c>
      <c r="Q57" s="18" t="s">
        <v>39</v>
      </c>
      <c r="R57" s="19"/>
      <c r="S57" s="19"/>
      <c r="T57" s="19"/>
      <c r="U57" s="19"/>
      <c r="V57" s="18"/>
      <c r="W57" s="18"/>
      <c r="X57" s="18"/>
      <c r="Y57" s="18"/>
      <c r="Z57" s="18"/>
      <c r="AA57" s="18"/>
      <c r="AB57" s="18"/>
      <c r="AC57" s="18"/>
      <c r="AE57" s="17">
        <v>11</v>
      </c>
      <c r="AF57" s="18" t="s">
        <v>39</v>
      </c>
      <c r="AG57" s="19">
        <f t="shared" si="78"/>
        <v>0</v>
      </c>
      <c r="AH57" s="19" t="e">
        <f t="shared" si="79"/>
        <v>#DIV/0!</v>
      </c>
      <c r="AI57" s="19">
        <f t="shared" si="80"/>
        <v>0</v>
      </c>
      <c r="AJ57" s="19" t="e">
        <f t="shared" si="81"/>
        <v>#DIV/0!</v>
      </c>
      <c r="AK57" s="19">
        <f t="shared" si="82"/>
        <v>0</v>
      </c>
      <c r="AL57" s="19" t="e">
        <f t="shared" si="83"/>
        <v>#DIV/0!</v>
      </c>
      <c r="AM57" s="19">
        <f t="shared" si="84"/>
        <v>0</v>
      </c>
      <c r="AN57" s="19" t="e">
        <f t="shared" si="85"/>
        <v>#DIV/0!</v>
      </c>
      <c r="AO57" s="19">
        <f t="shared" si="86"/>
        <v>0</v>
      </c>
      <c r="AP57" s="19" t="e">
        <f t="shared" si="87"/>
        <v>#DIV/0!</v>
      </c>
      <c r="AQ57" s="19">
        <f t="shared" si="88"/>
        <v>0</v>
      </c>
      <c r="AR57" s="19" t="e">
        <f t="shared" si="89"/>
        <v>#DIV/0!</v>
      </c>
      <c r="AS57" s="19">
        <f t="shared" si="90"/>
        <v>0</v>
      </c>
      <c r="AT57" s="19" t="e">
        <f t="shared" si="91"/>
        <v>#DIV/0!</v>
      </c>
      <c r="AU57" s="19">
        <f t="shared" si="92"/>
        <v>0</v>
      </c>
      <c r="AV57" s="19" t="e">
        <f t="shared" si="93"/>
        <v>#DIV/0!</v>
      </c>
      <c r="AW57" s="19">
        <f t="shared" si="94"/>
        <v>0</v>
      </c>
      <c r="AX57" s="19" t="e">
        <f t="shared" si="95"/>
        <v>#DIV/0!</v>
      </c>
      <c r="AY57" s="19">
        <f t="shared" si="96"/>
        <v>0</v>
      </c>
      <c r="AZ57" s="19" t="e">
        <f t="shared" si="97"/>
        <v>#DIV/0!</v>
      </c>
      <c r="BA57" s="19">
        <f t="shared" si="98"/>
        <v>0</v>
      </c>
      <c r="BB57" s="19" t="e">
        <f t="shared" si="99"/>
        <v>#DIV/0!</v>
      </c>
      <c r="BC57" s="19">
        <f t="shared" si="100"/>
        <v>0</v>
      </c>
      <c r="BD57" s="19" t="e">
        <f t="shared" si="101"/>
        <v>#DIV/0!</v>
      </c>
    </row>
    <row r="58" spans="1:56">
      <c r="A58" s="17">
        <v>12</v>
      </c>
      <c r="B58" s="18" t="s">
        <v>41</v>
      </c>
      <c r="C58" s="19"/>
      <c r="D58" s="19"/>
      <c r="E58" s="19"/>
      <c r="F58" s="19"/>
      <c r="G58" s="18"/>
      <c r="H58" s="18"/>
      <c r="I58" s="18"/>
      <c r="J58" s="18"/>
      <c r="K58" s="18"/>
      <c r="L58" s="18"/>
      <c r="M58" s="18"/>
      <c r="N58" s="18"/>
      <c r="P58" s="17">
        <v>12</v>
      </c>
      <c r="Q58" s="18" t="s">
        <v>41</v>
      </c>
      <c r="R58" s="19"/>
      <c r="S58" s="19"/>
      <c r="T58" s="19"/>
      <c r="U58" s="19"/>
      <c r="V58" s="18"/>
      <c r="W58" s="18"/>
      <c r="X58" s="18"/>
      <c r="Y58" s="18"/>
      <c r="Z58" s="18"/>
      <c r="AA58" s="18"/>
      <c r="AB58" s="18"/>
      <c r="AC58" s="18"/>
      <c r="AE58" s="17">
        <v>12</v>
      </c>
      <c r="AF58" s="18" t="s">
        <v>41</v>
      </c>
      <c r="AG58" s="19">
        <f t="shared" si="78"/>
        <v>0</v>
      </c>
      <c r="AH58" s="19" t="e">
        <f t="shared" si="79"/>
        <v>#DIV/0!</v>
      </c>
      <c r="AI58" s="19">
        <f t="shared" si="80"/>
        <v>0</v>
      </c>
      <c r="AJ58" s="19" t="e">
        <f t="shared" si="81"/>
        <v>#DIV/0!</v>
      </c>
      <c r="AK58" s="19">
        <f t="shared" si="82"/>
        <v>0</v>
      </c>
      <c r="AL58" s="19" t="e">
        <f t="shared" si="83"/>
        <v>#DIV/0!</v>
      </c>
      <c r="AM58" s="19">
        <f t="shared" si="84"/>
        <v>0</v>
      </c>
      <c r="AN58" s="19" t="e">
        <f t="shared" si="85"/>
        <v>#DIV/0!</v>
      </c>
      <c r="AO58" s="19">
        <f t="shared" si="86"/>
        <v>0</v>
      </c>
      <c r="AP58" s="19" t="e">
        <f t="shared" si="87"/>
        <v>#DIV/0!</v>
      </c>
      <c r="AQ58" s="19">
        <f t="shared" si="88"/>
        <v>0</v>
      </c>
      <c r="AR58" s="19" t="e">
        <f t="shared" si="89"/>
        <v>#DIV/0!</v>
      </c>
      <c r="AS58" s="19">
        <f t="shared" si="90"/>
        <v>0</v>
      </c>
      <c r="AT58" s="19" t="e">
        <f t="shared" si="91"/>
        <v>#DIV/0!</v>
      </c>
      <c r="AU58" s="19">
        <f t="shared" si="92"/>
        <v>0</v>
      </c>
      <c r="AV58" s="19" t="e">
        <f t="shared" si="93"/>
        <v>#DIV/0!</v>
      </c>
      <c r="AW58" s="19">
        <f t="shared" si="94"/>
        <v>0</v>
      </c>
      <c r="AX58" s="19" t="e">
        <f t="shared" si="95"/>
        <v>#DIV/0!</v>
      </c>
      <c r="AY58" s="19">
        <f t="shared" si="96"/>
        <v>0</v>
      </c>
      <c r="AZ58" s="19" t="e">
        <f t="shared" si="97"/>
        <v>#DIV/0!</v>
      </c>
      <c r="BA58" s="19">
        <f t="shared" si="98"/>
        <v>0</v>
      </c>
      <c r="BB58" s="19" t="e">
        <f t="shared" si="99"/>
        <v>#DIV/0!</v>
      </c>
      <c r="BC58" s="19">
        <f t="shared" si="100"/>
        <v>0</v>
      </c>
      <c r="BD58" s="19" t="e">
        <f t="shared" si="101"/>
        <v>#DIV/0!</v>
      </c>
    </row>
    <row r="59" spans="1:56">
      <c r="A59" s="17">
        <v>13</v>
      </c>
      <c r="B59" s="18" t="s">
        <v>43</v>
      </c>
      <c r="C59" s="19"/>
      <c r="D59" s="19"/>
      <c r="E59" s="19"/>
      <c r="F59" s="19"/>
      <c r="G59" s="18"/>
      <c r="H59" s="18"/>
      <c r="I59" s="18"/>
      <c r="J59" s="18"/>
      <c r="K59" s="18"/>
      <c r="L59" s="18"/>
      <c r="M59" s="18"/>
      <c r="N59" s="18"/>
      <c r="P59" s="17">
        <v>13</v>
      </c>
      <c r="Q59" s="18" t="s">
        <v>43</v>
      </c>
      <c r="R59" s="19">
        <v>43498</v>
      </c>
      <c r="S59" s="19">
        <v>43498</v>
      </c>
      <c r="T59" s="19">
        <v>43498</v>
      </c>
      <c r="U59" s="19"/>
      <c r="V59" s="18"/>
      <c r="W59" s="18"/>
      <c r="X59" s="18"/>
      <c r="Y59" s="18"/>
      <c r="Z59" s="18"/>
      <c r="AA59" s="18"/>
      <c r="AB59" s="18"/>
      <c r="AC59" s="18"/>
      <c r="AE59" s="17">
        <v>13</v>
      </c>
      <c r="AF59" s="18" t="s">
        <v>43</v>
      </c>
      <c r="AG59" s="19">
        <f t="shared" si="78"/>
        <v>-43498</v>
      </c>
      <c r="AH59" s="19" t="e">
        <f t="shared" si="79"/>
        <v>#DIV/0!</v>
      </c>
      <c r="AI59" s="19">
        <f t="shared" si="80"/>
        <v>-43498</v>
      </c>
      <c r="AJ59" s="19" t="e">
        <f t="shared" si="81"/>
        <v>#DIV/0!</v>
      </c>
      <c r="AK59" s="19">
        <f t="shared" si="82"/>
        <v>-43498</v>
      </c>
      <c r="AL59" s="19" t="e">
        <f t="shared" si="83"/>
        <v>#DIV/0!</v>
      </c>
      <c r="AM59" s="19">
        <f t="shared" si="84"/>
        <v>0</v>
      </c>
      <c r="AN59" s="19" t="e">
        <f t="shared" si="85"/>
        <v>#DIV/0!</v>
      </c>
      <c r="AO59" s="19">
        <f t="shared" si="86"/>
        <v>0</v>
      </c>
      <c r="AP59" s="19" t="e">
        <f t="shared" si="87"/>
        <v>#DIV/0!</v>
      </c>
      <c r="AQ59" s="19">
        <f t="shared" si="88"/>
        <v>0</v>
      </c>
      <c r="AR59" s="19" t="e">
        <f t="shared" si="89"/>
        <v>#DIV/0!</v>
      </c>
      <c r="AS59" s="19">
        <f t="shared" si="90"/>
        <v>0</v>
      </c>
      <c r="AT59" s="19" t="e">
        <f t="shared" si="91"/>
        <v>#DIV/0!</v>
      </c>
      <c r="AU59" s="19">
        <f t="shared" si="92"/>
        <v>0</v>
      </c>
      <c r="AV59" s="19" t="e">
        <f t="shared" si="93"/>
        <v>#DIV/0!</v>
      </c>
      <c r="AW59" s="19">
        <f t="shared" si="94"/>
        <v>0</v>
      </c>
      <c r="AX59" s="19" t="e">
        <f t="shared" si="95"/>
        <v>#DIV/0!</v>
      </c>
      <c r="AY59" s="19">
        <f t="shared" si="96"/>
        <v>0</v>
      </c>
      <c r="AZ59" s="19" t="e">
        <f t="shared" si="97"/>
        <v>#DIV/0!</v>
      </c>
      <c r="BA59" s="19">
        <f t="shared" si="98"/>
        <v>0</v>
      </c>
      <c r="BB59" s="19" t="e">
        <f t="shared" si="99"/>
        <v>#DIV/0!</v>
      </c>
      <c r="BC59" s="19">
        <f t="shared" si="100"/>
        <v>0</v>
      </c>
      <c r="BD59" s="19" t="e">
        <f t="shared" si="101"/>
        <v>#DIV/0!</v>
      </c>
    </row>
    <row r="60" spans="1:56">
      <c r="A60" s="17">
        <v>14</v>
      </c>
      <c r="B60" s="18" t="s">
        <v>44</v>
      </c>
      <c r="C60" s="19"/>
      <c r="D60" s="19"/>
      <c r="E60" s="19"/>
      <c r="F60" s="19"/>
      <c r="G60" s="18"/>
      <c r="H60" s="18"/>
      <c r="I60" s="18"/>
      <c r="J60" s="18"/>
      <c r="K60" s="18"/>
      <c r="L60" s="18"/>
      <c r="M60" s="18"/>
      <c r="N60" s="18"/>
      <c r="P60" s="17">
        <v>14</v>
      </c>
      <c r="Q60" s="18" t="s">
        <v>44</v>
      </c>
      <c r="R60" s="19">
        <v>101999</v>
      </c>
      <c r="S60" s="19">
        <v>101999</v>
      </c>
      <c r="T60" s="19">
        <v>101999</v>
      </c>
      <c r="U60" s="19"/>
      <c r="V60" s="18"/>
      <c r="W60" s="18"/>
      <c r="X60" s="18"/>
      <c r="Y60" s="18"/>
      <c r="Z60" s="18"/>
      <c r="AA60" s="18"/>
      <c r="AB60" s="18"/>
      <c r="AC60" s="18"/>
      <c r="AE60" s="17">
        <v>14</v>
      </c>
      <c r="AF60" s="18" t="s">
        <v>44</v>
      </c>
      <c r="AG60" s="19">
        <f t="shared" si="78"/>
        <v>-101999</v>
      </c>
      <c r="AH60" s="19" t="e">
        <f t="shared" si="79"/>
        <v>#DIV/0!</v>
      </c>
      <c r="AI60" s="19">
        <f t="shared" si="80"/>
        <v>-101999</v>
      </c>
      <c r="AJ60" s="19" t="e">
        <f t="shared" si="81"/>
        <v>#DIV/0!</v>
      </c>
      <c r="AK60" s="19">
        <f t="shared" si="82"/>
        <v>-101999</v>
      </c>
      <c r="AL60" s="19" t="e">
        <f t="shared" si="83"/>
        <v>#DIV/0!</v>
      </c>
      <c r="AM60" s="19">
        <f t="shared" si="84"/>
        <v>0</v>
      </c>
      <c r="AN60" s="19" t="e">
        <f t="shared" si="85"/>
        <v>#DIV/0!</v>
      </c>
      <c r="AO60" s="19">
        <f t="shared" si="86"/>
        <v>0</v>
      </c>
      <c r="AP60" s="19" t="e">
        <f t="shared" si="87"/>
        <v>#DIV/0!</v>
      </c>
      <c r="AQ60" s="19">
        <f t="shared" si="88"/>
        <v>0</v>
      </c>
      <c r="AR60" s="19" t="e">
        <f t="shared" si="89"/>
        <v>#DIV/0!</v>
      </c>
      <c r="AS60" s="19">
        <f t="shared" si="90"/>
        <v>0</v>
      </c>
      <c r="AT60" s="19" t="e">
        <f t="shared" si="91"/>
        <v>#DIV/0!</v>
      </c>
      <c r="AU60" s="19">
        <f t="shared" si="92"/>
        <v>0</v>
      </c>
      <c r="AV60" s="19" t="e">
        <f t="shared" si="93"/>
        <v>#DIV/0!</v>
      </c>
      <c r="AW60" s="19">
        <f t="shared" si="94"/>
        <v>0</v>
      </c>
      <c r="AX60" s="19" t="e">
        <f t="shared" si="95"/>
        <v>#DIV/0!</v>
      </c>
      <c r="AY60" s="19">
        <f t="shared" si="96"/>
        <v>0</v>
      </c>
      <c r="AZ60" s="19" t="e">
        <f t="shared" si="97"/>
        <v>#DIV/0!</v>
      </c>
      <c r="BA60" s="19">
        <f t="shared" si="98"/>
        <v>0</v>
      </c>
      <c r="BB60" s="19" t="e">
        <f t="shared" si="99"/>
        <v>#DIV/0!</v>
      </c>
      <c r="BC60" s="19">
        <f t="shared" si="100"/>
        <v>0</v>
      </c>
      <c r="BD60" s="19" t="e">
        <f t="shared" si="101"/>
        <v>#DIV/0!</v>
      </c>
    </row>
    <row r="61" spans="1:56" ht="25.2" thickBot="1">
      <c r="A61" s="17"/>
      <c r="B61" s="20" t="s">
        <v>17</v>
      </c>
      <c r="C61" s="27">
        <f>SUM(C47:C60)</f>
        <v>15547525.27</v>
      </c>
      <c r="D61" s="27">
        <f t="shared" ref="D61:N61" si="102">SUM(D47:D60)</f>
        <v>16154175.050000001</v>
      </c>
      <c r="E61" s="27">
        <f t="shared" si="102"/>
        <v>-16778326.300000001</v>
      </c>
      <c r="F61" s="27">
        <f t="shared" si="102"/>
        <v>0</v>
      </c>
      <c r="G61" s="27">
        <f t="shared" si="102"/>
        <v>0</v>
      </c>
      <c r="H61" s="27">
        <f t="shared" si="102"/>
        <v>0</v>
      </c>
      <c r="I61" s="27">
        <f t="shared" si="102"/>
        <v>0</v>
      </c>
      <c r="J61" s="27">
        <f t="shared" si="102"/>
        <v>0</v>
      </c>
      <c r="K61" s="27">
        <f t="shared" si="102"/>
        <v>0</v>
      </c>
      <c r="L61" s="27">
        <f t="shared" si="102"/>
        <v>0</v>
      </c>
      <c r="M61" s="27">
        <f t="shared" si="102"/>
        <v>0</v>
      </c>
      <c r="N61" s="27">
        <f t="shared" si="102"/>
        <v>0</v>
      </c>
      <c r="P61" s="17"/>
      <c r="Q61" s="20" t="s">
        <v>17</v>
      </c>
      <c r="R61" s="27">
        <f>SUM(R47:R60)</f>
        <v>44891883.759999998</v>
      </c>
      <c r="S61" s="27">
        <f t="shared" ref="S61:AC61" si="103">SUM(S47:S60)</f>
        <v>45506928.829999998</v>
      </c>
      <c r="T61" s="27">
        <f t="shared" si="103"/>
        <v>46102685.210000001</v>
      </c>
      <c r="U61" s="27">
        <f t="shared" si="103"/>
        <v>0</v>
      </c>
      <c r="V61" s="27">
        <f t="shared" si="103"/>
        <v>0</v>
      </c>
      <c r="W61" s="27">
        <f t="shared" si="103"/>
        <v>0</v>
      </c>
      <c r="X61" s="27">
        <f t="shared" si="103"/>
        <v>0</v>
      </c>
      <c r="Y61" s="27">
        <f t="shared" si="103"/>
        <v>0</v>
      </c>
      <c r="Z61" s="27">
        <f t="shared" si="103"/>
        <v>0</v>
      </c>
      <c r="AA61" s="27">
        <f t="shared" si="103"/>
        <v>0</v>
      </c>
      <c r="AB61" s="27">
        <f t="shared" si="103"/>
        <v>0</v>
      </c>
      <c r="AC61" s="27">
        <f t="shared" si="103"/>
        <v>0</v>
      </c>
      <c r="AE61" s="17"/>
      <c r="AF61" s="20" t="s">
        <v>17</v>
      </c>
      <c r="AG61" s="23">
        <f t="shared" si="78"/>
        <v>-29344358.489999998</v>
      </c>
      <c r="AH61" s="23">
        <f t="shared" si="79"/>
        <v>-188.73973819243065</v>
      </c>
      <c r="AI61" s="23">
        <f t="shared" si="80"/>
        <v>-29352753.779999997</v>
      </c>
      <c r="AJ61" s="23">
        <f t="shared" si="81"/>
        <v>-181.70382386688323</v>
      </c>
      <c r="AK61" s="23">
        <f t="shared" si="82"/>
        <v>-62881011.510000005</v>
      </c>
      <c r="AL61" s="23">
        <f t="shared" si="83"/>
        <v>374.77523315302312</v>
      </c>
      <c r="AM61" s="23">
        <f t="shared" si="84"/>
        <v>0</v>
      </c>
      <c r="AN61" s="23" t="e">
        <f t="shared" si="85"/>
        <v>#DIV/0!</v>
      </c>
      <c r="AO61" s="23">
        <f t="shared" si="86"/>
        <v>0</v>
      </c>
      <c r="AP61" s="23" t="e">
        <f t="shared" si="87"/>
        <v>#DIV/0!</v>
      </c>
      <c r="AQ61" s="23">
        <f t="shared" si="88"/>
        <v>0</v>
      </c>
      <c r="AR61" s="23" t="e">
        <f t="shared" si="89"/>
        <v>#DIV/0!</v>
      </c>
      <c r="AS61" s="23">
        <f t="shared" si="90"/>
        <v>0</v>
      </c>
      <c r="AT61" s="23" t="e">
        <f t="shared" si="91"/>
        <v>#DIV/0!</v>
      </c>
      <c r="AU61" s="23">
        <f t="shared" si="92"/>
        <v>0</v>
      </c>
      <c r="AV61" s="23" t="e">
        <f t="shared" si="93"/>
        <v>#DIV/0!</v>
      </c>
      <c r="AW61" s="23">
        <f t="shared" si="94"/>
        <v>0</v>
      </c>
      <c r="AX61" s="23" t="e">
        <f t="shared" si="95"/>
        <v>#DIV/0!</v>
      </c>
      <c r="AY61" s="23">
        <f t="shared" si="96"/>
        <v>0</v>
      </c>
      <c r="AZ61" s="23" t="e">
        <f t="shared" si="97"/>
        <v>#DIV/0!</v>
      </c>
      <c r="BA61" s="23">
        <f t="shared" si="98"/>
        <v>0</v>
      </c>
      <c r="BB61" s="23" t="e">
        <f t="shared" si="99"/>
        <v>#DIV/0!</v>
      </c>
      <c r="BC61" s="23">
        <f t="shared" si="100"/>
        <v>0</v>
      </c>
      <c r="BD61" s="23" t="e">
        <f t="shared" si="101"/>
        <v>#DIV/0!</v>
      </c>
    </row>
    <row r="62" spans="1:56" ht="25.2" thickTop="1"/>
    <row r="63" spans="1:56">
      <c r="A63" s="32" t="s">
        <v>1942</v>
      </c>
      <c r="B63" s="32"/>
      <c r="C63" s="32"/>
      <c r="D63" s="32"/>
      <c r="E63" s="32"/>
      <c r="F63" s="32"/>
      <c r="G63" s="32"/>
      <c r="H63" s="32"/>
      <c r="I63" s="32"/>
    </row>
    <row r="64" spans="1:56" customFormat="1" ht="21">
      <c r="A64" s="28" t="s">
        <v>659</v>
      </c>
      <c r="B64" s="28" t="s">
        <v>660</v>
      </c>
      <c r="C64" s="28" t="s">
        <v>661</v>
      </c>
      <c r="D64" s="28" t="s">
        <v>662</v>
      </c>
      <c r="E64" s="28" t="s">
        <v>663</v>
      </c>
      <c r="F64" s="28" t="s">
        <v>664</v>
      </c>
      <c r="G64" s="28" t="s">
        <v>665</v>
      </c>
    </row>
    <row r="65" spans="1:9" customFormat="1" ht="21">
      <c r="A65" s="28" t="s">
        <v>240</v>
      </c>
      <c r="B65" s="28" t="s">
        <v>91</v>
      </c>
      <c r="C65" s="28" t="s">
        <v>92</v>
      </c>
      <c r="D65" s="28" t="s">
        <v>241</v>
      </c>
      <c r="E65" s="29">
        <v>70560</v>
      </c>
      <c r="F65" s="29">
        <v>-70559</v>
      </c>
      <c r="G65" s="29">
        <v>1</v>
      </c>
      <c r="H65" t="s">
        <v>1141</v>
      </c>
      <c r="I65" t="s">
        <v>11</v>
      </c>
    </row>
    <row r="66" spans="1:9" customFormat="1" ht="21">
      <c r="A66" s="28" t="s">
        <v>242</v>
      </c>
      <c r="B66" s="28" t="s">
        <v>91</v>
      </c>
      <c r="C66" s="28" t="s">
        <v>92</v>
      </c>
      <c r="D66" s="28" t="s">
        <v>243</v>
      </c>
      <c r="E66" s="29">
        <v>8053721.25</v>
      </c>
      <c r="F66" s="29">
        <v>-582968.56000000006</v>
      </c>
      <c r="G66" s="29">
        <v>7470752.6900000004</v>
      </c>
      <c r="H66" t="s">
        <v>1141</v>
      </c>
      <c r="I66" t="s">
        <v>11</v>
      </c>
    </row>
    <row r="67" spans="1:9" customFormat="1" ht="21">
      <c r="A67" s="28" t="s">
        <v>242</v>
      </c>
      <c r="B67" s="28" t="s">
        <v>108</v>
      </c>
      <c r="C67" s="28" t="s">
        <v>92</v>
      </c>
      <c r="D67" s="28" t="s">
        <v>243</v>
      </c>
      <c r="E67" s="29">
        <v>1688683.49</v>
      </c>
      <c r="F67" s="29">
        <v>-1688682.49</v>
      </c>
      <c r="G67" s="29">
        <v>1</v>
      </c>
      <c r="H67" t="s">
        <v>1141</v>
      </c>
      <c r="I67" t="s">
        <v>11</v>
      </c>
    </row>
    <row r="68" spans="1:9" customFormat="1" ht="21">
      <c r="A68" s="28" t="s">
        <v>244</v>
      </c>
      <c r="B68" s="28" t="s">
        <v>91</v>
      </c>
      <c r="C68" s="28" t="s">
        <v>92</v>
      </c>
      <c r="D68" s="28" t="s">
        <v>241</v>
      </c>
      <c r="E68" s="29">
        <v>75600</v>
      </c>
      <c r="F68" s="29">
        <v>-75599</v>
      </c>
      <c r="G68" s="29">
        <v>1</v>
      </c>
      <c r="H68" t="s">
        <v>1141</v>
      </c>
      <c r="I68" t="s">
        <v>11</v>
      </c>
    </row>
    <row r="69" spans="1:9" customFormat="1" ht="21">
      <c r="A69" s="28" t="s">
        <v>245</v>
      </c>
      <c r="B69" s="28" t="s">
        <v>91</v>
      </c>
      <c r="C69" s="28" t="s">
        <v>92</v>
      </c>
      <c r="D69" s="28" t="s">
        <v>241</v>
      </c>
      <c r="E69" s="29">
        <v>75600</v>
      </c>
      <c r="F69" s="29">
        <v>-75599</v>
      </c>
      <c r="G69" s="29">
        <v>1</v>
      </c>
      <c r="H69" t="s">
        <v>1141</v>
      </c>
      <c r="I69" t="s">
        <v>11</v>
      </c>
    </row>
    <row r="70" spans="1:9" customFormat="1" ht="21">
      <c r="A70" s="28" t="s">
        <v>246</v>
      </c>
      <c r="B70" s="28" t="s">
        <v>91</v>
      </c>
      <c r="C70" s="28" t="s">
        <v>92</v>
      </c>
      <c r="D70" s="28" t="s">
        <v>241</v>
      </c>
      <c r="E70" s="29">
        <v>75600</v>
      </c>
      <c r="F70" s="29">
        <v>-75599</v>
      </c>
      <c r="G70" s="29">
        <v>1</v>
      </c>
      <c r="H70" t="s">
        <v>1141</v>
      </c>
      <c r="I70" t="s">
        <v>11</v>
      </c>
    </row>
    <row r="71" spans="1:9" customFormat="1" ht="21">
      <c r="A71" s="28" t="s">
        <v>247</v>
      </c>
      <c r="B71" s="28" t="s">
        <v>91</v>
      </c>
      <c r="C71" s="28" t="s">
        <v>92</v>
      </c>
      <c r="D71" s="28" t="s">
        <v>241</v>
      </c>
      <c r="E71" s="29">
        <v>75600</v>
      </c>
      <c r="F71" s="29">
        <v>-75599</v>
      </c>
      <c r="G71" s="29">
        <v>1</v>
      </c>
      <c r="H71" t="s">
        <v>1141</v>
      </c>
      <c r="I71" t="s">
        <v>11</v>
      </c>
    </row>
    <row r="72" spans="1:9" customFormat="1" ht="21">
      <c r="A72" s="28" t="s">
        <v>248</v>
      </c>
      <c r="B72" s="28" t="s">
        <v>91</v>
      </c>
      <c r="C72" s="28" t="s">
        <v>92</v>
      </c>
      <c r="D72" s="28" t="s">
        <v>241</v>
      </c>
      <c r="E72" s="29">
        <v>75600</v>
      </c>
      <c r="F72" s="29">
        <v>-75599</v>
      </c>
      <c r="G72" s="29">
        <v>1</v>
      </c>
      <c r="H72" t="s">
        <v>1141</v>
      </c>
      <c r="I72" t="s">
        <v>11</v>
      </c>
    </row>
    <row r="73" spans="1:9" customFormat="1" ht="21">
      <c r="A73" s="28" t="s">
        <v>249</v>
      </c>
      <c r="B73" s="28" t="s">
        <v>91</v>
      </c>
      <c r="C73" s="28" t="s">
        <v>92</v>
      </c>
      <c r="D73" s="28" t="s">
        <v>241</v>
      </c>
      <c r="E73" s="29">
        <v>75600</v>
      </c>
      <c r="F73" s="29">
        <v>-75599</v>
      </c>
      <c r="G73" s="29">
        <v>1</v>
      </c>
      <c r="H73" t="s">
        <v>1141</v>
      </c>
      <c r="I73" t="s">
        <v>11</v>
      </c>
    </row>
    <row r="74" spans="1:9" customFormat="1" ht="21">
      <c r="A74" s="28" t="s">
        <v>250</v>
      </c>
      <c r="B74" s="28" t="s">
        <v>91</v>
      </c>
      <c r="C74" s="28" t="s">
        <v>92</v>
      </c>
      <c r="D74" s="28" t="s">
        <v>241</v>
      </c>
      <c r="E74" s="29">
        <v>75600</v>
      </c>
      <c r="F74" s="29">
        <v>-75599</v>
      </c>
      <c r="G74" s="29">
        <v>1</v>
      </c>
      <c r="H74" t="s">
        <v>1141</v>
      </c>
      <c r="I74" t="s">
        <v>11</v>
      </c>
    </row>
    <row r="75" spans="1:9" customFormat="1" ht="21">
      <c r="A75" s="28" t="s">
        <v>251</v>
      </c>
      <c r="B75" s="28" t="s">
        <v>91</v>
      </c>
      <c r="C75" s="28" t="s">
        <v>92</v>
      </c>
      <c r="D75" s="28" t="s">
        <v>241</v>
      </c>
      <c r="E75" s="29">
        <v>75600</v>
      </c>
      <c r="F75" s="29">
        <v>-75599</v>
      </c>
      <c r="G75" s="29">
        <v>1</v>
      </c>
      <c r="H75" t="s">
        <v>1141</v>
      </c>
      <c r="I75" t="s">
        <v>11</v>
      </c>
    </row>
    <row r="76" spans="1:9" customFormat="1" ht="21">
      <c r="A76" s="28" t="s">
        <v>252</v>
      </c>
      <c r="B76" s="28" t="s">
        <v>91</v>
      </c>
      <c r="C76" s="28" t="s">
        <v>92</v>
      </c>
      <c r="D76" s="28" t="s">
        <v>241</v>
      </c>
      <c r="E76" s="29">
        <v>85680</v>
      </c>
      <c r="F76" s="29">
        <v>-85679</v>
      </c>
      <c r="G76" s="29">
        <v>1</v>
      </c>
      <c r="H76" t="s">
        <v>1141</v>
      </c>
      <c r="I76" t="s">
        <v>11</v>
      </c>
    </row>
    <row r="77" spans="1:9" customFormat="1" ht="21">
      <c r="A77" s="28" t="s">
        <v>253</v>
      </c>
      <c r="B77" s="28" t="s">
        <v>91</v>
      </c>
      <c r="C77" s="28" t="s">
        <v>92</v>
      </c>
      <c r="D77" s="28" t="s">
        <v>241</v>
      </c>
      <c r="E77" s="29">
        <v>400000</v>
      </c>
      <c r="F77" s="29">
        <v>-399999</v>
      </c>
      <c r="G77" s="29">
        <v>1</v>
      </c>
      <c r="H77" t="s">
        <v>1141</v>
      </c>
      <c r="I77" t="s">
        <v>11</v>
      </c>
    </row>
    <row r="78" spans="1:9" customFormat="1" ht="21">
      <c r="A78" s="28" t="s">
        <v>254</v>
      </c>
      <c r="B78" s="28" t="s">
        <v>91</v>
      </c>
      <c r="C78" s="28" t="s">
        <v>92</v>
      </c>
      <c r="D78" s="28" t="s">
        <v>241</v>
      </c>
      <c r="E78" s="29">
        <v>400000</v>
      </c>
      <c r="F78" s="29">
        <v>-399999</v>
      </c>
      <c r="G78" s="29">
        <v>1</v>
      </c>
      <c r="H78" t="s">
        <v>1141</v>
      </c>
      <c r="I78" t="s">
        <v>11</v>
      </c>
    </row>
    <row r="79" spans="1:9" customFormat="1" ht="21">
      <c r="A79" s="28" t="s">
        <v>255</v>
      </c>
      <c r="B79" s="28" t="s">
        <v>91</v>
      </c>
      <c r="C79" s="28" t="s">
        <v>92</v>
      </c>
      <c r="D79" s="28" t="s">
        <v>256</v>
      </c>
      <c r="E79" s="29">
        <v>221320</v>
      </c>
      <c r="F79" s="29">
        <v>-221319</v>
      </c>
      <c r="G79" s="29">
        <v>1</v>
      </c>
      <c r="H79" t="s">
        <v>1141</v>
      </c>
      <c r="I79" t="s">
        <v>11</v>
      </c>
    </row>
    <row r="80" spans="1:9" customFormat="1" ht="21">
      <c r="A80" s="28" t="s">
        <v>255</v>
      </c>
      <c r="B80" s="28" t="s">
        <v>108</v>
      </c>
      <c r="C80" s="28" t="s">
        <v>92</v>
      </c>
      <c r="D80" s="28" t="s">
        <v>256</v>
      </c>
      <c r="E80" s="29">
        <v>281680</v>
      </c>
      <c r="F80" s="29">
        <v>-281679</v>
      </c>
      <c r="G80" s="29">
        <v>1</v>
      </c>
      <c r="H80" t="s">
        <v>1141</v>
      </c>
      <c r="I80" t="s">
        <v>11</v>
      </c>
    </row>
    <row r="81" spans="1:9" customFormat="1" ht="21">
      <c r="A81" s="28" t="s">
        <v>257</v>
      </c>
      <c r="B81" s="28" t="s">
        <v>91</v>
      </c>
      <c r="C81" s="28" t="s">
        <v>92</v>
      </c>
      <c r="D81" s="28" t="s">
        <v>258</v>
      </c>
      <c r="E81" s="29">
        <v>456000</v>
      </c>
      <c r="F81" s="29">
        <v>-455999</v>
      </c>
      <c r="G81" s="29">
        <v>1</v>
      </c>
      <c r="H81" t="s">
        <v>1141</v>
      </c>
      <c r="I81" t="s">
        <v>11</v>
      </c>
    </row>
    <row r="82" spans="1:9" customFormat="1" ht="21">
      <c r="A82" s="28" t="s">
        <v>257</v>
      </c>
      <c r="B82" s="28" t="s">
        <v>108</v>
      </c>
      <c r="C82" s="28" t="s">
        <v>92</v>
      </c>
      <c r="D82" s="28" t="s">
        <v>258</v>
      </c>
      <c r="E82" s="29">
        <v>1444000</v>
      </c>
      <c r="F82" s="29">
        <v>-1443999</v>
      </c>
      <c r="G82" s="29">
        <v>1</v>
      </c>
      <c r="H82" t="s">
        <v>1141</v>
      </c>
      <c r="I82" t="s">
        <v>11</v>
      </c>
    </row>
    <row r="83" spans="1:9" customFormat="1" ht="21">
      <c r="A83" s="28" t="s">
        <v>259</v>
      </c>
      <c r="B83" s="28" t="s">
        <v>91</v>
      </c>
      <c r="C83" s="28" t="s">
        <v>92</v>
      </c>
      <c r="D83" s="28" t="s">
        <v>260</v>
      </c>
      <c r="E83" s="29">
        <v>636000</v>
      </c>
      <c r="F83" s="29">
        <v>-635999</v>
      </c>
      <c r="G83" s="29">
        <v>1</v>
      </c>
      <c r="H83" t="s">
        <v>1141</v>
      </c>
      <c r="I83" t="s">
        <v>11</v>
      </c>
    </row>
    <row r="84" spans="1:9" customFormat="1" ht="21">
      <c r="A84" s="28" t="s">
        <v>261</v>
      </c>
      <c r="B84" s="28" t="s">
        <v>91</v>
      </c>
      <c r="C84" s="28" t="s">
        <v>92</v>
      </c>
      <c r="D84" s="28" t="s">
        <v>262</v>
      </c>
      <c r="E84" s="29">
        <v>750000</v>
      </c>
      <c r="F84" s="29">
        <v>-749999</v>
      </c>
      <c r="G84" s="29">
        <v>1</v>
      </c>
      <c r="H84" t="s">
        <v>1141</v>
      </c>
      <c r="I84" t="s">
        <v>11</v>
      </c>
    </row>
    <row r="85" spans="1:9" customFormat="1" ht="21">
      <c r="A85" s="28" t="s">
        <v>263</v>
      </c>
      <c r="B85" s="28" t="s">
        <v>91</v>
      </c>
      <c r="C85" s="28" t="s">
        <v>92</v>
      </c>
      <c r="D85" s="28" t="s">
        <v>262</v>
      </c>
      <c r="E85" s="29">
        <v>600000</v>
      </c>
      <c r="F85" s="29">
        <v>-599999</v>
      </c>
      <c r="G85" s="29">
        <v>1</v>
      </c>
      <c r="H85" t="s">
        <v>1141</v>
      </c>
      <c r="I85" t="s">
        <v>11</v>
      </c>
    </row>
    <row r="86" spans="1:9" customFormat="1" ht="21">
      <c r="A86" s="28" t="s">
        <v>264</v>
      </c>
      <c r="B86" s="28" t="s">
        <v>91</v>
      </c>
      <c r="C86" s="28" t="s">
        <v>92</v>
      </c>
      <c r="D86" s="28" t="s">
        <v>262</v>
      </c>
      <c r="E86" s="29">
        <v>636000</v>
      </c>
      <c r="F86" s="29">
        <v>-635999</v>
      </c>
      <c r="G86" s="29">
        <v>1</v>
      </c>
      <c r="H86" t="s">
        <v>1141</v>
      </c>
      <c r="I86" t="s">
        <v>11</v>
      </c>
    </row>
    <row r="87" spans="1:9" customFormat="1" ht="21">
      <c r="A87" s="28" t="s">
        <v>265</v>
      </c>
      <c r="B87" s="28" t="s">
        <v>91</v>
      </c>
      <c r="C87" s="28" t="s">
        <v>92</v>
      </c>
      <c r="D87" s="28" t="s">
        <v>262</v>
      </c>
      <c r="E87" s="29">
        <v>650400</v>
      </c>
      <c r="F87" s="29">
        <v>-650399</v>
      </c>
      <c r="G87" s="29">
        <v>1</v>
      </c>
      <c r="H87" t="s">
        <v>1141</v>
      </c>
      <c r="I87" t="s">
        <v>11</v>
      </c>
    </row>
    <row r="88" spans="1:9" customFormat="1" ht="21">
      <c r="A88" s="28" t="s">
        <v>266</v>
      </c>
      <c r="B88" s="28" t="s">
        <v>91</v>
      </c>
      <c r="C88" s="28" t="s">
        <v>92</v>
      </c>
      <c r="D88" s="28" t="s">
        <v>267</v>
      </c>
      <c r="E88" s="29">
        <v>2400000</v>
      </c>
      <c r="F88" s="29">
        <v>-448767.12</v>
      </c>
      <c r="G88" s="29">
        <v>1951232.88</v>
      </c>
      <c r="H88" t="s">
        <v>1141</v>
      </c>
      <c r="I88" t="s">
        <v>11</v>
      </c>
    </row>
    <row r="89" spans="1:9" customFormat="1" ht="21">
      <c r="A89" s="28" t="s">
        <v>266</v>
      </c>
      <c r="B89" s="28" t="s">
        <v>108</v>
      </c>
      <c r="C89" s="28" t="s">
        <v>92</v>
      </c>
      <c r="D89" s="28" t="s">
        <v>267</v>
      </c>
      <c r="E89" s="29">
        <v>5100000</v>
      </c>
      <c r="F89" s="29">
        <v>-5099999</v>
      </c>
      <c r="G89" s="29">
        <v>1</v>
      </c>
      <c r="H89" t="s">
        <v>1141</v>
      </c>
      <c r="I89" t="s">
        <v>11</v>
      </c>
    </row>
    <row r="90" spans="1:9" customFormat="1" ht="21">
      <c r="A90" s="28" t="s">
        <v>268</v>
      </c>
      <c r="B90" s="28" t="s">
        <v>91</v>
      </c>
      <c r="C90" s="28" t="s">
        <v>92</v>
      </c>
      <c r="D90" s="28" t="s">
        <v>269</v>
      </c>
      <c r="E90" s="29">
        <v>4243000</v>
      </c>
      <c r="F90" s="29">
        <v>-4242999</v>
      </c>
      <c r="G90" s="29">
        <v>1</v>
      </c>
      <c r="H90" t="s">
        <v>1141</v>
      </c>
      <c r="I90" t="s">
        <v>11</v>
      </c>
    </row>
    <row r="91" spans="1:9" customFormat="1" ht="21">
      <c r="A91" s="28" t="s">
        <v>270</v>
      </c>
      <c r="B91" s="28" t="s">
        <v>91</v>
      </c>
      <c r="C91" s="28" t="s">
        <v>92</v>
      </c>
      <c r="D91" s="28" t="s">
        <v>271</v>
      </c>
      <c r="E91" s="29">
        <v>659000</v>
      </c>
      <c r="F91" s="29">
        <v>-658999</v>
      </c>
      <c r="G91" s="29">
        <v>1</v>
      </c>
      <c r="H91" t="s">
        <v>1141</v>
      </c>
      <c r="I91" t="s">
        <v>11</v>
      </c>
    </row>
    <row r="92" spans="1:9" customFormat="1" ht="21">
      <c r="A92" s="28" t="s">
        <v>512</v>
      </c>
      <c r="B92" s="28" t="s">
        <v>91</v>
      </c>
      <c r="C92" s="28" t="s">
        <v>92</v>
      </c>
      <c r="D92" s="28" t="s">
        <v>513</v>
      </c>
      <c r="E92" s="29">
        <v>300000</v>
      </c>
      <c r="F92" s="29">
        <v>-299999</v>
      </c>
      <c r="G92" s="29">
        <v>1</v>
      </c>
      <c r="H92" t="s">
        <v>1141</v>
      </c>
      <c r="I92" t="s">
        <v>9</v>
      </c>
    </row>
    <row r="93" spans="1:9" customFormat="1" ht="21">
      <c r="A93" s="28" t="s">
        <v>514</v>
      </c>
      <c r="B93" s="28" t="s">
        <v>91</v>
      </c>
      <c r="C93" s="28" t="s">
        <v>92</v>
      </c>
      <c r="D93" s="28" t="s">
        <v>515</v>
      </c>
      <c r="E93" s="29">
        <v>5651000</v>
      </c>
      <c r="F93" s="29">
        <v>-5650999</v>
      </c>
      <c r="G93" s="29">
        <v>1</v>
      </c>
      <c r="H93" t="s">
        <v>1141</v>
      </c>
      <c r="I93" t="s">
        <v>9</v>
      </c>
    </row>
    <row r="94" spans="1:9" customFormat="1" ht="21">
      <c r="A94" s="28" t="s">
        <v>516</v>
      </c>
      <c r="B94" s="28" t="s">
        <v>91</v>
      </c>
      <c r="C94" s="28" t="s">
        <v>92</v>
      </c>
      <c r="D94" s="28" t="s">
        <v>517</v>
      </c>
      <c r="E94" s="29">
        <v>10729089</v>
      </c>
      <c r="F94" s="29">
        <v>-10729088</v>
      </c>
      <c r="G94" s="29">
        <v>1</v>
      </c>
      <c r="H94" t="s">
        <v>1141</v>
      </c>
      <c r="I94" t="s">
        <v>9</v>
      </c>
    </row>
    <row r="95" spans="1:9" customFormat="1" ht="21">
      <c r="A95" s="28" t="s">
        <v>516</v>
      </c>
      <c r="B95" s="28" t="s">
        <v>108</v>
      </c>
      <c r="C95" s="28" t="s">
        <v>92</v>
      </c>
      <c r="D95" s="28" t="s">
        <v>517</v>
      </c>
      <c r="E95" s="29">
        <v>2791193</v>
      </c>
      <c r="F95" s="29">
        <v>-2791192</v>
      </c>
      <c r="G95" s="29">
        <v>1</v>
      </c>
      <c r="H95" t="s">
        <v>1141</v>
      </c>
      <c r="I95" t="s">
        <v>9</v>
      </c>
    </row>
    <row r="96" spans="1:9" customFormat="1" ht="21">
      <c r="A96" s="28" t="s">
        <v>518</v>
      </c>
      <c r="B96" s="28" t="s">
        <v>91</v>
      </c>
      <c r="C96" s="28" t="s">
        <v>92</v>
      </c>
      <c r="D96" s="28" t="s">
        <v>519</v>
      </c>
      <c r="E96" s="29">
        <v>2493000</v>
      </c>
      <c r="F96" s="29">
        <v>-2492999</v>
      </c>
      <c r="G96" s="29">
        <v>1</v>
      </c>
      <c r="H96" t="s">
        <v>1141</v>
      </c>
      <c r="I96" t="s">
        <v>9</v>
      </c>
    </row>
    <row r="97" spans="1:9" customFormat="1" ht="21">
      <c r="A97" s="28" t="s">
        <v>520</v>
      </c>
      <c r="B97" s="28" t="s">
        <v>91</v>
      </c>
      <c r="C97" s="28" t="s">
        <v>92</v>
      </c>
      <c r="D97" s="28" t="s">
        <v>521</v>
      </c>
      <c r="E97" s="29">
        <v>31922911</v>
      </c>
      <c r="F97" s="29">
        <v>-31922910</v>
      </c>
      <c r="G97" s="29">
        <v>1</v>
      </c>
      <c r="H97" t="s">
        <v>1141</v>
      </c>
      <c r="I97" t="s">
        <v>9</v>
      </c>
    </row>
    <row r="98" spans="1:9" customFormat="1" ht="21">
      <c r="A98" s="28" t="s">
        <v>522</v>
      </c>
      <c r="B98" s="28" t="s">
        <v>91</v>
      </c>
      <c r="C98" s="28" t="s">
        <v>92</v>
      </c>
      <c r="D98" s="28" t="s">
        <v>523</v>
      </c>
      <c r="E98" s="29">
        <v>4700000</v>
      </c>
      <c r="F98" s="29">
        <v>-703068.5</v>
      </c>
      <c r="G98" s="29">
        <v>3996931.5</v>
      </c>
      <c r="H98" t="s">
        <v>1141</v>
      </c>
      <c r="I98" t="s">
        <v>9</v>
      </c>
    </row>
    <row r="99" spans="1:9" customFormat="1" ht="21">
      <c r="A99" s="28" t="s">
        <v>522</v>
      </c>
      <c r="B99" s="28" t="s">
        <v>108</v>
      </c>
      <c r="C99" s="28" t="s">
        <v>92</v>
      </c>
      <c r="D99" s="28" t="s">
        <v>523</v>
      </c>
      <c r="E99" s="29">
        <v>7050000</v>
      </c>
      <c r="F99" s="29">
        <v>-7049999</v>
      </c>
      <c r="G99" s="29">
        <v>1</v>
      </c>
      <c r="H99" t="s">
        <v>1141</v>
      </c>
      <c r="I99" t="s">
        <v>9</v>
      </c>
    </row>
    <row r="100" spans="1:9" customFormat="1" ht="21">
      <c r="A100" s="28" t="s">
        <v>1142</v>
      </c>
      <c r="B100" s="28" t="s">
        <v>91</v>
      </c>
      <c r="C100" s="28" t="s">
        <v>92</v>
      </c>
      <c r="D100" s="28" t="s">
        <v>1143</v>
      </c>
      <c r="E100" s="29">
        <v>660000</v>
      </c>
      <c r="F100" s="29">
        <v>-659999</v>
      </c>
      <c r="G100" s="29">
        <v>1</v>
      </c>
      <c r="H100" t="s">
        <v>1141</v>
      </c>
      <c r="I100" t="s">
        <v>13</v>
      </c>
    </row>
    <row r="101" spans="1:9" customFormat="1" ht="21">
      <c r="A101" s="28" t="s">
        <v>1144</v>
      </c>
      <c r="B101" s="28" t="s">
        <v>91</v>
      </c>
      <c r="C101" s="28" t="s">
        <v>92</v>
      </c>
      <c r="D101" s="28" t="s">
        <v>1145</v>
      </c>
      <c r="E101" s="29">
        <v>463300</v>
      </c>
      <c r="F101" s="29">
        <v>-463299</v>
      </c>
      <c r="G101" s="29">
        <v>1</v>
      </c>
      <c r="H101" t="s">
        <v>1141</v>
      </c>
      <c r="I101" t="s">
        <v>13</v>
      </c>
    </row>
    <row r="102" spans="1:9" customFormat="1" ht="21">
      <c r="A102" s="28" t="s">
        <v>1146</v>
      </c>
      <c r="B102" s="28" t="s">
        <v>91</v>
      </c>
      <c r="C102" s="28" t="s">
        <v>92</v>
      </c>
      <c r="D102" s="28" t="s">
        <v>1147</v>
      </c>
      <c r="E102" s="29">
        <v>245000</v>
      </c>
      <c r="F102" s="29">
        <v>-244999</v>
      </c>
      <c r="G102" s="29">
        <v>1</v>
      </c>
      <c r="H102" t="s">
        <v>1141</v>
      </c>
      <c r="I102" t="s">
        <v>13</v>
      </c>
    </row>
    <row r="103" spans="1:9" customFormat="1" ht="21">
      <c r="A103" s="28" t="s">
        <v>1148</v>
      </c>
      <c r="B103" s="28" t="s">
        <v>91</v>
      </c>
      <c r="C103" s="28" t="s">
        <v>92</v>
      </c>
      <c r="D103" s="28" t="s">
        <v>1149</v>
      </c>
      <c r="E103" s="29">
        <v>820000</v>
      </c>
      <c r="F103" s="29">
        <v>-122663.02</v>
      </c>
      <c r="G103" s="29">
        <v>697336.98</v>
      </c>
      <c r="H103" t="s">
        <v>1141</v>
      </c>
      <c r="I103" t="s">
        <v>13</v>
      </c>
    </row>
    <row r="104" spans="1:9" customFormat="1" ht="21">
      <c r="A104" s="28" t="s">
        <v>1148</v>
      </c>
      <c r="B104" s="28" t="s">
        <v>108</v>
      </c>
      <c r="C104" s="28" t="s">
        <v>92</v>
      </c>
      <c r="D104" s="28" t="s">
        <v>1149</v>
      </c>
      <c r="E104" s="29">
        <v>1230000</v>
      </c>
      <c r="F104" s="29">
        <v>-1229999</v>
      </c>
      <c r="G104" s="29">
        <v>1</v>
      </c>
      <c r="H104" t="s">
        <v>1141</v>
      </c>
      <c r="I104" t="s">
        <v>13</v>
      </c>
    </row>
    <row r="105" spans="1:9" customFormat="1" ht="21">
      <c r="A105" s="28" t="s">
        <v>1150</v>
      </c>
      <c r="B105" s="28" t="s">
        <v>91</v>
      </c>
      <c r="C105" s="28" t="s">
        <v>92</v>
      </c>
      <c r="D105" s="28" t="s">
        <v>1151</v>
      </c>
      <c r="E105" s="29">
        <v>3500000</v>
      </c>
      <c r="F105" s="29">
        <v>-3499999</v>
      </c>
      <c r="G105" s="29">
        <v>1</v>
      </c>
      <c r="H105" t="s">
        <v>1141</v>
      </c>
      <c r="I105" t="s">
        <v>13</v>
      </c>
    </row>
    <row r="106" spans="1:9" customFormat="1" ht="21">
      <c r="A106" s="28" t="s">
        <v>1152</v>
      </c>
      <c r="B106" s="28" t="s">
        <v>91</v>
      </c>
      <c r="C106" s="28" t="s">
        <v>92</v>
      </c>
      <c r="D106" s="28" t="s">
        <v>1153</v>
      </c>
      <c r="E106" s="29">
        <v>1100000</v>
      </c>
      <c r="F106" s="29">
        <v>-1099999</v>
      </c>
      <c r="G106" s="29">
        <v>1</v>
      </c>
      <c r="H106" t="s">
        <v>1141</v>
      </c>
      <c r="I106" t="s">
        <v>13</v>
      </c>
    </row>
    <row r="107" spans="1:9" customFormat="1" ht="21">
      <c r="A107" s="28" t="s">
        <v>1154</v>
      </c>
      <c r="B107" s="28" t="s">
        <v>91</v>
      </c>
      <c r="C107" s="28" t="s">
        <v>92</v>
      </c>
      <c r="D107" s="28" t="s">
        <v>1155</v>
      </c>
      <c r="E107" s="29">
        <v>693597</v>
      </c>
      <c r="F107" s="29">
        <v>-693596</v>
      </c>
      <c r="G107" s="29">
        <v>1</v>
      </c>
      <c r="H107" t="s">
        <v>1141</v>
      </c>
      <c r="I107" t="s">
        <v>13</v>
      </c>
    </row>
    <row r="108" spans="1:9" customFormat="1" ht="21">
      <c r="A108" s="28" t="s">
        <v>1156</v>
      </c>
      <c r="B108" s="28" t="s">
        <v>91</v>
      </c>
      <c r="C108" s="28" t="s">
        <v>92</v>
      </c>
      <c r="D108" s="28" t="s">
        <v>1157</v>
      </c>
      <c r="E108" s="29">
        <v>45860.2</v>
      </c>
      <c r="F108" s="29">
        <v>-45859.199999999997</v>
      </c>
      <c r="G108" s="29">
        <v>1</v>
      </c>
      <c r="H108" t="s">
        <v>1141</v>
      </c>
      <c r="I108" t="s">
        <v>15</v>
      </c>
    </row>
    <row r="109" spans="1:9" customFormat="1" ht="21">
      <c r="A109" s="28" t="s">
        <v>1156</v>
      </c>
      <c r="B109" s="28" t="s">
        <v>108</v>
      </c>
      <c r="C109" s="28" t="s">
        <v>92</v>
      </c>
      <c r="D109" s="28" t="s">
        <v>1157</v>
      </c>
      <c r="E109" s="29">
        <v>642042.80000000005</v>
      </c>
      <c r="F109" s="29">
        <v>-642041.80000000005</v>
      </c>
      <c r="G109" s="29">
        <v>1</v>
      </c>
      <c r="H109" t="s">
        <v>1141</v>
      </c>
      <c r="I109" t="s">
        <v>15</v>
      </c>
    </row>
    <row r="110" spans="1:9" customFormat="1" ht="21">
      <c r="A110" s="28" t="s">
        <v>1156</v>
      </c>
      <c r="B110" s="28" t="s">
        <v>480</v>
      </c>
      <c r="C110" s="28" t="s">
        <v>92</v>
      </c>
      <c r="D110" s="28" t="s">
        <v>1157</v>
      </c>
      <c r="E110" s="29">
        <v>417300</v>
      </c>
      <c r="F110" s="29">
        <v>-417299</v>
      </c>
      <c r="G110" s="29">
        <v>1</v>
      </c>
      <c r="H110" t="s">
        <v>1141</v>
      </c>
      <c r="I110" t="s">
        <v>15</v>
      </c>
    </row>
    <row r="111" spans="1:9" customFormat="1" ht="21">
      <c r="A111" s="28" t="s">
        <v>1158</v>
      </c>
      <c r="B111" s="28" t="s">
        <v>91</v>
      </c>
      <c r="C111" s="28" t="s">
        <v>92</v>
      </c>
      <c r="D111" s="28" t="s">
        <v>1159</v>
      </c>
      <c r="E111" s="29">
        <v>4940000</v>
      </c>
      <c r="F111" s="29">
        <v>-4939999</v>
      </c>
      <c r="G111" s="29">
        <v>1</v>
      </c>
      <c r="H111" t="s">
        <v>1141</v>
      </c>
      <c r="I111" t="s">
        <v>15</v>
      </c>
    </row>
    <row r="112" spans="1:9" customFormat="1" ht="21">
      <c r="A112" s="28" t="s">
        <v>1160</v>
      </c>
      <c r="B112" s="28" t="s">
        <v>91</v>
      </c>
      <c r="C112" s="28" t="s">
        <v>92</v>
      </c>
      <c r="D112" s="28" t="s">
        <v>1161</v>
      </c>
      <c r="E112" s="29">
        <v>48000</v>
      </c>
      <c r="F112" s="29">
        <v>-47999</v>
      </c>
      <c r="G112" s="29">
        <v>1</v>
      </c>
      <c r="H112" t="s">
        <v>1141</v>
      </c>
      <c r="I112" t="s">
        <v>15</v>
      </c>
    </row>
    <row r="113" spans="1:9" customFormat="1" ht="21">
      <c r="A113" s="28" t="s">
        <v>1162</v>
      </c>
      <c r="B113" s="28" t="s">
        <v>91</v>
      </c>
      <c r="C113" s="28" t="s">
        <v>92</v>
      </c>
      <c r="D113" s="28" t="s">
        <v>1163</v>
      </c>
      <c r="E113" s="29">
        <v>100000</v>
      </c>
      <c r="F113" s="29">
        <v>-99999</v>
      </c>
      <c r="G113" s="29">
        <v>1</v>
      </c>
      <c r="H113" t="s">
        <v>1141</v>
      </c>
      <c r="I113" t="s">
        <v>15</v>
      </c>
    </row>
    <row r="114" spans="1:9" customFormat="1" ht="21">
      <c r="A114" s="28" t="s">
        <v>1164</v>
      </c>
      <c r="B114" s="28" t="s">
        <v>91</v>
      </c>
      <c r="C114" s="28" t="s">
        <v>92</v>
      </c>
      <c r="D114" s="28" t="s">
        <v>1165</v>
      </c>
      <c r="E114" s="29">
        <v>250000</v>
      </c>
      <c r="F114" s="29">
        <v>-249999</v>
      </c>
      <c r="G114" s="29">
        <v>1</v>
      </c>
      <c r="H114" t="s">
        <v>1141</v>
      </c>
      <c r="I114" t="s">
        <v>15</v>
      </c>
    </row>
    <row r="115" spans="1:9" customFormat="1" ht="21">
      <c r="A115" s="28" t="s">
        <v>1166</v>
      </c>
      <c r="B115" s="28" t="s">
        <v>91</v>
      </c>
      <c r="C115" s="28" t="s">
        <v>92</v>
      </c>
      <c r="D115" s="28" t="s">
        <v>1167</v>
      </c>
      <c r="E115" s="29">
        <v>50000</v>
      </c>
      <c r="F115" s="29">
        <v>-49999</v>
      </c>
      <c r="G115" s="29">
        <v>1</v>
      </c>
      <c r="H115" t="s">
        <v>1141</v>
      </c>
      <c r="I115" t="s">
        <v>15</v>
      </c>
    </row>
    <row r="116" spans="1:9" customFormat="1" ht="21">
      <c r="A116" s="28" t="s">
        <v>1168</v>
      </c>
      <c r="B116" s="28" t="s">
        <v>91</v>
      </c>
      <c r="C116" s="28" t="s">
        <v>92</v>
      </c>
      <c r="D116" s="28" t="s">
        <v>1169</v>
      </c>
      <c r="E116" s="29">
        <v>30000</v>
      </c>
      <c r="F116" s="29">
        <v>-29999</v>
      </c>
      <c r="G116" s="29">
        <v>1</v>
      </c>
      <c r="H116" t="s">
        <v>1141</v>
      </c>
      <c r="I116" t="s">
        <v>15</v>
      </c>
    </row>
    <row r="117" spans="1:9" customFormat="1" ht="21">
      <c r="A117" s="28" t="s">
        <v>1170</v>
      </c>
      <c r="B117" s="28" t="s">
        <v>91</v>
      </c>
      <c r="C117" s="28" t="s">
        <v>1171</v>
      </c>
      <c r="D117" s="28" t="s">
        <v>1172</v>
      </c>
      <c r="E117" s="29">
        <v>831666.67</v>
      </c>
      <c r="F117" s="29">
        <v>-666154.06000000006</v>
      </c>
      <c r="G117" s="29">
        <v>165512.60999999999</v>
      </c>
      <c r="H117" t="s">
        <v>1141</v>
      </c>
      <c r="I117" t="s">
        <v>675</v>
      </c>
    </row>
    <row r="118" spans="1:9" customFormat="1" ht="21">
      <c r="A118" s="28" t="s">
        <v>1170</v>
      </c>
      <c r="B118" s="28" t="s">
        <v>108</v>
      </c>
      <c r="C118" s="28" t="s">
        <v>1171</v>
      </c>
      <c r="D118" s="28" t="s">
        <v>1172</v>
      </c>
      <c r="E118" s="29">
        <v>1663333.33</v>
      </c>
      <c r="F118" s="29">
        <v>-1663332.33</v>
      </c>
      <c r="G118" s="29">
        <v>1</v>
      </c>
      <c r="H118" t="s">
        <v>1141</v>
      </c>
      <c r="I118" t="s">
        <v>675</v>
      </c>
    </row>
    <row r="119" spans="1:9" customFormat="1" ht="21">
      <c r="A119" s="28" t="s">
        <v>1173</v>
      </c>
      <c r="B119" s="28" t="s">
        <v>91</v>
      </c>
      <c r="C119" s="28" t="s">
        <v>1171</v>
      </c>
      <c r="D119" s="28" t="s">
        <v>1174</v>
      </c>
      <c r="E119" s="29">
        <v>413333.33</v>
      </c>
      <c r="F119" s="29">
        <v>-413332.33</v>
      </c>
      <c r="G119" s="29">
        <v>1</v>
      </c>
      <c r="H119" t="s">
        <v>1141</v>
      </c>
      <c r="I119" t="s">
        <v>675</v>
      </c>
    </row>
    <row r="120" spans="1:9" customFormat="1" ht="21">
      <c r="A120" s="28" t="s">
        <v>1173</v>
      </c>
      <c r="B120" s="28" t="s">
        <v>108</v>
      </c>
      <c r="C120" s="28" t="s">
        <v>1171</v>
      </c>
      <c r="D120" s="28" t="s">
        <v>1174</v>
      </c>
      <c r="E120" s="29">
        <v>2066666.67</v>
      </c>
      <c r="F120" s="29">
        <v>-2066665.67</v>
      </c>
      <c r="G120" s="29">
        <v>1</v>
      </c>
      <c r="H120" t="s">
        <v>1141</v>
      </c>
      <c r="I120" t="s">
        <v>675</v>
      </c>
    </row>
    <row r="121" spans="1:9" customFormat="1" ht="21">
      <c r="A121" s="28" t="s">
        <v>1175</v>
      </c>
      <c r="B121" s="28" t="s">
        <v>91</v>
      </c>
      <c r="C121" s="28" t="s">
        <v>1176</v>
      </c>
      <c r="D121" s="28" t="s">
        <v>1177</v>
      </c>
      <c r="E121" s="29">
        <v>1</v>
      </c>
      <c r="F121" s="29">
        <v>0</v>
      </c>
      <c r="G121" s="29">
        <v>1</v>
      </c>
      <c r="H121" t="s">
        <v>1141</v>
      </c>
      <c r="I121" t="s">
        <v>681</v>
      </c>
    </row>
    <row r="122" spans="1:9" customFormat="1" ht="21">
      <c r="A122" s="28" t="s">
        <v>1178</v>
      </c>
      <c r="B122" s="28" t="s">
        <v>91</v>
      </c>
      <c r="C122" s="28" t="s">
        <v>1176</v>
      </c>
      <c r="D122" s="28" t="s">
        <v>1179</v>
      </c>
      <c r="E122" s="29">
        <v>1</v>
      </c>
      <c r="F122" s="29">
        <v>0</v>
      </c>
      <c r="G122" s="29">
        <v>1</v>
      </c>
      <c r="H122" t="s">
        <v>1141</v>
      </c>
      <c r="I122" t="s">
        <v>681</v>
      </c>
    </row>
    <row r="123" spans="1:9" customFormat="1" ht="21">
      <c r="A123" s="28" t="s">
        <v>1180</v>
      </c>
      <c r="B123" s="28" t="s">
        <v>91</v>
      </c>
      <c r="C123" s="28" t="s">
        <v>1171</v>
      </c>
      <c r="D123" s="28" t="s">
        <v>1181</v>
      </c>
      <c r="E123" s="29">
        <v>1361411.83</v>
      </c>
      <c r="F123" s="29">
        <v>-531682.09</v>
      </c>
      <c r="G123" s="29">
        <v>829729.74</v>
      </c>
      <c r="H123" t="s">
        <v>1141</v>
      </c>
      <c r="I123" t="s">
        <v>681</v>
      </c>
    </row>
    <row r="124" spans="1:9" customFormat="1" ht="21">
      <c r="A124" s="28" t="s">
        <v>1180</v>
      </c>
      <c r="B124" s="28" t="s">
        <v>108</v>
      </c>
      <c r="C124" s="28" t="s">
        <v>1171</v>
      </c>
      <c r="D124" s="28" t="s">
        <v>1181</v>
      </c>
      <c r="E124" s="29">
        <v>630898.17000000004</v>
      </c>
      <c r="F124" s="29">
        <v>-630897.17000000004</v>
      </c>
      <c r="G124" s="29">
        <v>1</v>
      </c>
      <c r="H124" t="s">
        <v>1141</v>
      </c>
      <c r="I124" t="s">
        <v>681</v>
      </c>
    </row>
    <row r="125" spans="1:9" customFormat="1" ht="21">
      <c r="A125" s="28" t="s">
        <v>1182</v>
      </c>
      <c r="B125" s="28" t="s">
        <v>91</v>
      </c>
      <c r="C125" s="28" t="s">
        <v>1171</v>
      </c>
      <c r="D125" s="28" t="s">
        <v>1183</v>
      </c>
      <c r="E125" s="29">
        <v>83333.33</v>
      </c>
      <c r="F125" s="29">
        <v>-26682.01</v>
      </c>
      <c r="G125" s="29">
        <v>56651.32</v>
      </c>
      <c r="H125" t="s">
        <v>1141</v>
      </c>
      <c r="I125" t="s">
        <v>681</v>
      </c>
    </row>
    <row r="126" spans="1:9" customFormat="1" ht="21">
      <c r="A126" s="28" t="s">
        <v>1182</v>
      </c>
      <c r="B126" s="28" t="s">
        <v>108</v>
      </c>
      <c r="C126" s="28" t="s">
        <v>1171</v>
      </c>
      <c r="D126" s="28" t="s">
        <v>1183</v>
      </c>
      <c r="E126" s="29">
        <v>16666.669999999998</v>
      </c>
      <c r="F126" s="29">
        <v>-16665.669999999998</v>
      </c>
      <c r="G126" s="29">
        <v>1</v>
      </c>
      <c r="H126" t="s">
        <v>1141</v>
      </c>
      <c r="I126" t="s">
        <v>681</v>
      </c>
    </row>
    <row r="127" spans="1:9" customFormat="1" ht="21">
      <c r="A127" s="28" t="s">
        <v>1184</v>
      </c>
      <c r="B127" s="28" t="s">
        <v>91</v>
      </c>
      <c r="C127" s="28" t="s">
        <v>1171</v>
      </c>
      <c r="D127" s="28" t="s">
        <v>1185</v>
      </c>
      <c r="E127" s="29">
        <v>433333.33</v>
      </c>
      <c r="F127" s="29">
        <v>-133396.54</v>
      </c>
      <c r="G127" s="29">
        <v>299936.78999999998</v>
      </c>
      <c r="H127" t="s">
        <v>1141</v>
      </c>
      <c r="I127" t="s">
        <v>681</v>
      </c>
    </row>
    <row r="128" spans="1:9" customFormat="1" ht="21">
      <c r="A128" s="28" t="s">
        <v>1184</v>
      </c>
      <c r="B128" s="28" t="s">
        <v>108</v>
      </c>
      <c r="C128" s="28" t="s">
        <v>1171</v>
      </c>
      <c r="D128" s="28" t="s">
        <v>1185</v>
      </c>
      <c r="E128" s="29">
        <v>66666.67</v>
      </c>
      <c r="F128" s="29">
        <v>-66665.67</v>
      </c>
      <c r="G128" s="29">
        <v>1</v>
      </c>
      <c r="H128" t="s">
        <v>1141</v>
      </c>
      <c r="I128" t="s">
        <v>681</v>
      </c>
    </row>
    <row r="129" spans="1:9" customFormat="1" ht="21">
      <c r="A129" s="28" t="s">
        <v>1186</v>
      </c>
      <c r="B129" s="28" t="s">
        <v>91</v>
      </c>
      <c r="C129" s="28" t="s">
        <v>1171</v>
      </c>
      <c r="D129" s="28" t="s">
        <v>1187</v>
      </c>
      <c r="E129" s="29">
        <v>864933.33</v>
      </c>
      <c r="F129" s="29">
        <v>-266259.5</v>
      </c>
      <c r="G129" s="29">
        <v>598673.82999999996</v>
      </c>
      <c r="H129" t="s">
        <v>1141</v>
      </c>
      <c r="I129" t="s">
        <v>681</v>
      </c>
    </row>
    <row r="130" spans="1:9" customFormat="1" ht="21">
      <c r="A130" s="28" t="s">
        <v>1186</v>
      </c>
      <c r="B130" s="28" t="s">
        <v>108</v>
      </c>
      <c r="C130" s="28" t="s">
        <v>1171</v>
      </c>
      <c r="D130" s="28" t="s">
        <v>1187</v>
      </c>
      <c r="E130" s="29">
        <v>133066.67000000001</v>
      </c>
      <c r="F130" s="29">
        <v>-133065.67000000001</v>
      </c>
      <c r="G130" s="29">
        <v>1</v>
      </c>
      <c r="H130" t="s">
        <v>1141</v>
      </c>
      <c r="I130" t="s">
        <v>681</v>
      </c>
    </row>
    <row r="131" spans="1:9" customFormat="1" ht="21">
      <c r="A131" s="28" t="s">
        <v>1188</v>
      </c>
      <c r="B131" s="28" t="s">
        <v>91</v>
      </c>
      <c r="C131" s="28" t="s">
        <v>1171</v>
      </c>
      <c r="D131" s="28" t="s">
        <v>1189</v>
      </c>
      <c r="E131" s="29">
        <v>970666.67</v>
      </c>
      <c r="F131" s="29">
        <v>-298808.26</v>
      </c>
      <c r="G131" s="29">
        <v>671858.41</v>
      </c>
      <c r="H131" t="s">
        <v>1141</v>
      </c>
      <c r="I131" t="s">
        <v>681</v>
      </c>
    </row>
    <row r="132" spans="1:9" customFormat="1" ht="21">
      <c r="A132" s="28" t="s">
        <v>1188</v>
      </c>
      <c r="B132" s="28" t="s">
        <v>108</v>
      </c>
      <c r="C132" s="28" t="s">
        <v>1171</v>
      </c>
      <c r="D132" s="28" t="s">
        <v>1189</v>
      </c>
      <c r="E132" s="29">
        <v>149333.32999999999</v>
      </c>
      <c r="F132" s="29">
        <v>-149332.32999999999</v>
      </c>
      <c r="G132" s="29">
        <v>1</v>
      </c>
      <c r="H132" t="s">
        <v>1141</v>
      </c>
      <c r="I132" t="s">
        <v>681</v>
      </c>
    </row>
    <row r="133" spans="1:9" customFormat="1" ht="21">
      <c r="A133" s="28" t="s">
        <v>1190</v>
      </c>
      <c r="B133" s="28" t="s">
        <v>91</v>
      </c>
      <c r="C133" s="28" t="s">
        <v>1171</v>
      </c>
      <c r="D133" s="28" t="s">
        <v>1191</v>
      </c>
      <c r="E133" s="29">
        <v>617450</v>
      </c>
      <c r="F133" s="29">
        <v>-186537.32</v>
      </c>
      <c r="G133" s="29">
        <v>430912.68</v>
      </c>
      <c r="H133" t="s">
        <v>1141</v>
      </c>
      <c r="I133" t="s">
        <v>681</v>
      </c>
    </row>
    <row r="134" spans="1:9" customFormat="1" ht="21">
      <c r="A134" s="28" t="s">
        <v>1190</v>
      </c>
      <c r="B134" s="28" t="s">
        <v>108</v>
      </c>
      <c r="C134" s="28" t="s">
        <v>1171</v>
      </c>
      <c r="D134" s="28" t="s">
        <v>1191</v>
      </c>
      <c r="E134" s="29">
        <v>81550</v>
      </c>
      <c r="F134" s="29">
        <v>-81549</v>
      </c>
      <c r="G134" s="29">
        <v>1</v>
      </c>
      <c r="H134" t="s">
        <v>1141</v>
      </c>
      <c r="I134" t="s">
        <v>681</v>
      </c>
    </row>
    <row r="135" spans="1:9" customFormat="1" ht="21">
      <c r="A135" s="28" t="s">
        <v>1192</v>
      </c>
      <c r="B135" s="28" t="s">
        <v>91</v>
      </c>
      <c r="C135" s="28" t="s">
        <v>1171</v>
      </c>
      <c r="D135" s="28" t="s">
        <v>1193</v>
      </c>
      <c r="E135" s="29">
        <v>586208.32999999996</v>
      </c>
      <c r="F135" s="29">
        <v>-170641.64</v>
      </c>
      <c r="G135" s="29">
        <v>415566.69</v>
      </c>
      <c r="H135" t="s">
        <v>1141</v>
      </c>
      <c r="I135" t="s">
        <v>681</v>
      </c>
    </row>
    <row r="136" spans="1:9" customFormat="1" ht="21">
      <c r="A136" s="28" t="s">
        <v>1192</v>
      </c>
      <c r="B136" s="28" t="s">
        <v>108</v>
      </c>
      <c r="C136" s="28" t="s">
        <v>1171</v>
      </c>
      <c r="D136" s="28" t="s">
        <v>1193</v>
      </c>
      <c r="E136" s="29">
        <v>53291.67</v>
      </c>
      <c r="F136" s="29">
        <v>-53290.67</v>
      </c>
      <c r="G136" s="29">
        <v>1</v>
      </c>
      <c r="H136" t="s">
        <v>1141</v>
      </c>
      <c r="I136" t="s">
        <v>681</v>
      </c>
    </row>
    <row r="137" spans="1:9" customFormat="1" ht="21">
      <c r="A137" s="28" t="s">
        <v>1194</v>
      </c>
      <c r="B137" s="28" t="s">
        <v>91</v>
      </c>
      <c r="C137" s="28" t="s">
        <v>1171</v>
      </c>
      <c r="D137" s="28" t="s">
        <v>1101</v>
      </c>
      <c r="E137" s="29">
        <v>209533.33</v>
      </c>
      <c r="F137" s="29">
        <v>-119768.46</v>
      </c>
      <c r="G137" s="29">
        <v>89764.87</v>
      </c>
      <c r="H137" t="s">
        <v>1141</v>
      </c>
      <c r="I137" t="s">
        <v>681</v>
      </c>
    </row>
    <row r="138" spans="1:9" customFormat="1" ht="21">
      <c r="A138" s="28" t="s">
        <v>1194</v>
      </c>
      <c r="B138" s="28" t="s">
        <v>108</v>
      </c>
      <c r="C138" s="28" t="s">
        <v>1171</v>
      </c>
      <c r="D138" s="28" t="s">
        <v>1101</v>
      </c>
      <c r="E138" s="29">
        <v>239466.67</v>
      </c>
      <c r="F138" s="29">
        <v>-239465.67</v>
      </c>
      <c r="G138" s="29">
        <v>1</v>
      </c>
      <c r="H138" t="s">
        <v>1141</v>
      </c>
      <c r="I138" t="s">
        <v>681</v>
      </c>
    </row>
    <row r="139" spans="1:9" customFormat="1" ht="21">
      <c r="A139" s="28" t="s">
        <v>1195</v>
      </c>
      <c r="B139" s="28" t="s">
        <v>91</v>
      </c>
      <c r="C139" s="28" t="s">
        <v>1171</v>
      </c>
      <c r="D139" s="28" t="s">
        <v>1101</v>
      </c>
      <c r="E139" s="29">
        <v>209533.33</v>
      </c>
      <c r="F139" s="29">
        <v>-119768.46</v>
      </c>
      <c r="G139" s="29">
        <v>89764.87</v>
      </c>
      <c r="H139" t="s">
        <v>1141</v>
      </c>
      <c r="I139" t="s">
        <v>681</v>
      </c>
    </row>
    <row r="140" spans="1:9" customFormat="1" ht="21">
      <c r="A140" s="28" t="s">
        <v>1195</v>
      </c>
      <c r="B140" s="28" t="s">
        <v>108</v>
      </c>
      <c r="C140" s="28" t="s">
        <v>1171</v>
      </c>
      <c r="D140" s="28" t="s">
        <v>1101</v>
      </c>
      <c r="E140" s="29">
        <v>239466.67</v>
      </c>
      <c r="F140" s="29">
        <v>-239465.67</v>
      </c>
      <c r="G140" s="29">
        <v>1</v>
      </c>
      <c r="H140" t="s">
        <v>1141</v>
      </c>
      <c r="I140" t="s">
        <v>681</v>
      </c>
    </row>
    <row r="141" spans="1:9" customFormat="1" ht="21">
      <c r="A141" s="28" t="s">
        <v>1196</v>
      </c>
      <c r="B141" s="28" t="s">
        <v>91</v>
      </c>
      <c r="C141" s="28" t="s">
        <v>1171</v>
      </c>
      <c r="D141" s="28" t="s">
        <v>1101</v>
      </c>
      <c r="E141" s="29">
        <v>209533.33</v>
      </c>
      <c r="F141" s="29">
        <v>-119768.46</v>
      </c>
      <c r="G141" s="29">
        <v>89764.87</v>
      </c>
      <c r="H141" t="s">
        <v>1141</v>
      </c>
      <c r="I141" t="s">
        <v>681</v>
      </c>
    </row>
    <row r="142" spans="1:9" customFormat="1" ht="21">
      <c r="A142" s="28" t="s">
        <v>1196</v>
      </c>
      <c r="B142" s="28" t="s">
        <v>108</v>
      </c>
      <c r="C142" s="28" t="s">
        <v>1171</v>
      </c>
      <c r="D142" s="28" t="s">
        <v>1101</v>
      </c>
      <c r="E142" s="29">
        <v>239466.67</v>
      </c>
      <c r="F142" s="29">
        <v>-239465.67</v>
      </c>
      <c r="G142" s="29">
        <v>1</v>
      </c>
      <c r="H142" t="s">
        <v>1141</v>
      </c>
      <c r="I142" t="s">
        <v>681</v>
      </c>
    </row>
    <row r="143" spans="1:9" customFormat="1" ht="21">
      <c r="A143" s="28" t="s">
        <v>1197</v>
      </c>
      <c r="B143" s="28" t="s">
        <v>91</v>
      </c>
      <c r="C143" s="28" t="s">
        <v>1171</v>
      </c>
      <c r="D143" s="28" t="s">
        <v>1101</v>
      </c>
      <c r="E143" s="29">
        <v>209533.33</v>
      </c>
      <c r="F143" s="29">
        <v>-119768.46</v>
      </c>
      <c r="G143" s="29">
        <v>89764.87</v>
      </c>
      <c r="H143" t="s">
        <v>1141</v>
      </c>
      <c r="I143" t="s">
        <v>681</v>
      </c>
    </row>
    <row r="144" spans="1:9" customFormat="1" ht="21">
      <c r="A144" s="28" t="s">
        <v>1197</v>
      </c>
      <c r="B144" s="28" t="s">
        <v>108</v>
      </c>
      <c r="C144" s="28" t="s">
        <v>1171</v>
      </c>
      <c r="D144" s="28" t="s">
        <v>1101</v>
      </c>
      <c r="E144" s="29">
        <v>239466.67</v>
      </c>
      <c r="F144" s="29">
        <v>-239465.67</v>
      </c>
      <c r="G144" s="29">
        <v>1</v>
      </c>
      <c r="H144" t="s">
        <v>1141</v>
      </c>
      <c r="I144" t="s">
        <v>681</v>
      </c>
    </row>
    <row r="145" spans="1:9" customFormat="1" ht="21">
      <c r="A145" s="28" t="s">
        <v>1198</v>
      </c>
      <c r="B145" s="28" t="s">
        <v>91</v>
      </c>
      <c r="C145" s="28" t="s">
        <v>1171</v>
      </c>
      <c r="D145" s="28" t="s">
        <v>1199</v>
      </c>
      <c r="E145" s="29">
        <v>37125</v>
      </c>
      <c r="F145" s="29">
        <v>-37124</v>
      </c>
      <c r="G145" s="29">
        <v>1</v>
      </c>
      <c r="H145" t="s">
        <v>1141</v>
      </c>
      <c r="I145" t="s">
        <v>681</v>
      </c>
    </row>
    <row r="146" spans="1:9" customFormat="1" ht="21">
      <c r="A146" s="28" t="s">
        <v>1198</v>
      </c>
      <c r="B146" s="28" t="s">
        <v>108</v>
      </c>
      <c r="C146" s="28" t="s">
        <v>1171</v>
      </c>
      <c r="D146" s="28" t="s">
        <v>1199</v>
      </c>
      <c r="E146" s="29">
        <v>111375</v>
      </c>
      <c r="F146" s="29">
        <v>-111374</v>
      </c>
      <c r="G146" s="29">
        <v>1</v>
      </c>
      <c r="H146" t="s">
        <v>1141</v>
      </c>
      <c r="I146" t="s">
        <v>681</v>
      </c>
    </row>
    <row r="147" spans="1:9" customFormat="1" ht="21">
      <c r="A147" s="28" t="s">
        <v>1200</v>
      </c>
      <c r="B147" s="28" t="s">
        <v>91</v>
      </c>
      <c r="C147" s="28" t="s">
        <v>1171</v>
      </c>
      <c r="D147" s="28" t="s">
        <v>1199</v>
      </c>
      <c r="E147" s="29">
        <v>37125</v>
      </c>
      <c r="F147" s="29">
        <v>-37124</v>
      </c>
      <c r="G147" s="29">
        <v>1</v>
      </c>
      <c r="H147" t="s">
        <v>1141</v>
      </c>
      <c r="I147" t="s">
        <v>681</v>
      </c>
    </row>
    <row r="148" spans="1:9" customFormat="1" ht="21">
      <c r="A148" s="28" t="s">
        <v>1200</v>
      </c>
      <c r="B148" s="28" t="s">
        <v>108</v>
      </c>
      <c r="C148" s="28" t="s">
        <v>1171</v>
      </c>
      <c r="D148" s="28" t="s">
        <v>1199</v>
      </c>
      <c r="E148" s="29">
        <v>111375</v>
      </c>
      <c r="F148" s="29">
        <v>-111374</v>
      </c>
      <c r="G148" s="29">
        <v>1</v>
      </c>
      <c r="H148" t="s">
        <v>1141</v>
      </c>
      <c r="I148" t="s">
        <v>681</v>
      </c>
    </row>
    <row r="149" spans="1:9" customFormat="1" ht="21">
      <c r="A149" s="28" t="s">
        <v>1201</v>
      </c>
      <c r="B149" s="28" t="s">
        <v>91</v>
      </c>
      <c r="C149" s="28" t="s">
        <v>1171</v>
      </c>
      <c r="D149" s="28" t="s">
        <v>1199</v>
      </c>
      <c r="E149" s="29">
        <v>37125</v>
      </c>
      <c r="F149" s="29">
        <v>-37124</v>
      </c>
      <c r="G149" s="29">
        <v>1</v>
      </c>
      <c r="H149" t="s">
        <v>1141</v>
      </c>
      <c r="I149" t="s">
        <v>681</v>
      </c>
    </row>
    <row r="150" spans="1:9" customFormat="1" ht="21">
      <c r="A150" s="28" t="s">
        <v>1201</v>
      </c>
      <c r="B150" s="28" t="s">
        <v>108</v>
      </c>
      <c r="C150" s="28" t="s">
        <v>1171</v>
      </c>
      <c r="D150" s="28" t="s">
        <v>1199</v>
      </c>
      <c r="E150" s="29">
        <v>111375</v>
      </c>
      <c r="F150" s="29">
        <v>-111374</v>
      </c>
      <c r="G150" s="29">
        <v>1</v>
      </c>
      <c r="H150" t="s">
        <v>1141</v>
      </c>
      <c r="I150" t="s">
        <v>681</v>
      </c>
    </row>
    <row r="151" spans="1:9" customFormat="1" ht="21">
      <c r="A151" s="28" t="s">
        <v>1202</v>
      </c>
      <c r="B151" s="28" t="s">
        <v>91</v>
      </c>
      <c r="C151" s="28" t="s">
        <v>1171</v>
      </c>
      <c r="D151" s="28" t="s">
        <v>1199</v>
      </c>
      <c r="E151" s="29">
        <v>37125</v>
      </c>
      <c r="F151" s="29">
        <v>-37124</v>
      </c>
      <c r="G151" s="29">
        <v>1</v>
      </c>
      <c r="H151" t="s">
        <v>1141</v>
      </c>
      <c r="I151" t="s">
        <v>681</v>
      </c>
    </row>
    <row r="152" spans="1:9" customFormat="1" ht="21">
      <c r="A152" s="28" t="s">
        <v>1202</v>
      </c>
      <c r="B152" s="28" t="s">
        <v>108</v>
      </c>
      <c r="C152" s="28" t="s">
        <v>1171</v>
      </c>
      <c r="D152" s="28" t="s">
        <v>1199</v>
      </c>
      <c r="E152" s="29">
        <v>111375</v>
      </c>
      <c r="F152" s="29">
        <v>-111374</v>
      </c>
      <c r="G152" s="29">
        <v>1</v>
      </c>
      <c r="H152" t="s">
        <v>1141</v>
      </c>
      <c r="I152" t="s">
        <v>681</v>
      </c>
    </row>
    <row r="153" spans="1:9" customFormat="1" ht="21">
      <c r="A153" s="28" t="s">
        <v>1203</v>
      </c>
      <c r="B153" s="28" t="s">
        <v>91</v>
      </c>
      <c r="C153" s="28" t="s">
        <v>1171</v>
      </c>
      <c r="D153" s="28" t="s">
        <v>1199</v>
      </c>
      <c r="E153" s="29">
        <v>37125</v>
      </c>
      <c r="F153" s="29">
        <v>-37124</v>
      </c>
      <c r="G153" s="29">
        <v>1</v>
      </c>
      <c r="H153" t="s">
        <v>1141</v>
      </c>
      <c r="I153" t="s">
        <v>681</v>
      </c>
    </row>
    <row r="154" spans="1:9" customFormat="1" ht="21">
      <c r="A154" s="28" t="s">
        <v>1203</v>
      </c>
      <c r="B154" s="28" t="s">
        <v>108</v>
      </c>
      <c r="C154" s="28" t="s">
        <v>1171</v>
      </c>
      <c r="D154" s="28" t="s">
        <v>1199</v>
      </c>
      <c r="E154" s="29">
        <v>111375</v>
      </c>
      <c r="F154" s="29">
        <v>-111374</v>
      </c>
      <c r="G154" s="29">
        <v>1</v>
      </c>
      <c r="H154" t="s">
        <v>1141</v>
      </c>
      <c r="I154" t="s">
        <v>681</v>
      </c>
    </row>
    <row r="155" spans="1:9" customFormat="1" ht="21">
      <c r="A155" s="28" t="s">
        <v>1204</v>
      </c>
      <c r="B155" s="28" t="s">
        <v>91</v>
      </c>
      <c r="C155" s="28" t="s">
        <v>1171</v>
      </c>
      <c r="D155" s="28" t="s">
        <v>1205</v>
      </c>
      <c r="E155" s="29">
        <v>1269100</v>
      </c>
      <c r="F155" s="29">
        <v>-549379.29</v>
      </c>
      <c r="G155" s="29">
        <v>719720.71</v>
      </c>
      <c r="H155" t="s">
        <v>1141</v>
      </c>
      <c r="I155" t="s">
        <v>681</v>
      </c>
    </row>
    <row r="156" spans="1:9" customFormat="1" ht="21">
      <c r="A156" s="28" t="s">
        <v>1204</v>
      </c>
      <c r="B156" s="28" t="s">
        <v>108</v>
      </c>
      <c r="C156" s="28" t="s">
        <v>1171</v>
      </c>
      <c r="D156" s="28" t="s">
        <v>1205</v>
      </c>
      <c r="E156" s="29">
        <v>788900</v>
      </c>
      <c r="F156" s="29">
        <v>-788899</v>
      </c>
      <c r="G156" s="29">
        <v>1</v>
      </c>
      <c r="H156" t="s">
        <v>1141</v>
      </c>
      <c r="I156" t="s">
        <v>681</v>
      </c>
    </row>
    <row r="157" spans="1:9" customFormat="1" ht="21">
      <c r="A157" s="28" t="s">
        <v>1206</v>
      </c>
      <c r="B157" s="28" t="s">
        <v>91</v>
      </c>
      <c r="C157" s="28" t="s">
        <v>1171</v>
      </c>
      <c r="D157" s="28" t="s">
        <v>1205</v>
      </c>
      <c r="E157" s="29">
        <v>1269100</v>
      </c>
      <c r="F157" s="29">
        <v>-549379.29</v>
      </c>
      <c r="G157" s="29">
        <v>719720.71</v>
      </c>
      <c r="H157" t="s">
        <v>1141</v>
      </c>
      <c r="I157" t="s">
        <v>681</v>
      </c>
    </row>
    <row r="158" spans="1:9" customFormat="1" ht="21">
      <c r="A158" s="28" t="s">
        <v>1206</v>
      </c>
      <c r="B158" s="28" t="s">
        <v>108</v>
      </c>
      <c r="C158" s="28" t="s">
        <v>1171</v>
      </c>
      <c r="D158" s="28" t="s">
        <v>1205</v>
      </c>
      <c r="E158" s="29">
        <v>788900</v>
      </c>
      <c r="F158" s="29">
        <v>-788899</v>
      </c>
      <c r="G158" s="29">
        <v>1</v>
      </c>
      <c r="H158" t="s">
        <v>1141</v>
      </c>
      <c r="I158" t="s">
        <v>681</v>
      </c>
    </row>
    <row r="159" spans="1:9" customFormat="1" ht="21">
      <c r="A159" s="28" t="s">
        <v>1207</v>
      </c>
      <c r="B159" s="28" t="s">
        <v>91</v>
      </c>
      <c r="C159" s="28" t="s">
        <v>1171</v>
      </c>
      <c r="D159" s="28" t="s">
        <v>1208</v>
      </c>
      <c r="E159" s="29">
        <v>965000</v>
      </c>
      <c r="F159" s="29">
        <v>-386158.59</v>
      </c>
      <c r="G159" s="29">
        <v>578841.41</v>
      </c>
      <c r="H159" t="s">
        <v>1141</v>
      </c>
      <c r="I159" t="s">
        <v>681</v>
      </c>
    </row>
    <row r="160" spans="1:9" customFormat="1" ht="21">
      <c r="A160" s="28" t="s">
        <v>1207</v>
      </c>
      <c r="B160" s="28" t="s">
        <v>108</v>
      </c>
      <c r="C160" s="28" t="s">
        <v>1171</v>
      </c>
      <c r="D160" s="28" t="s">
        <v>1208</v>
      </c>
      <c r="E160" s="29">
        <v>482500</v>
      </c>
      <c r="F160" s="29">
        <v>-482499</v>
      </c>
      <c r="G160" s="29">
        <v>1</v>
      </c>
      <c r="H160" t="s">
        <v>1141</v>
      </c>
      <c r="I160" t="s">
        <v>681</v>
      </c>
    </row>
    <row r="161" spans="1:9" customFormat="1" ht="21">
      <c r="A161" s="28" t="s">
        <v>1209</v>
      </c>
      <c r="B161" s="28" t="s">
        <v>91</v>
      </c>
      <c r="C161" s="28" t="s">
        <v>1171</v>
      </c>
      <c r="D161" s="28" t="s">
        <v>1210</v>
      </c>
      <c r="E161" s="29">
        <v>1171666.67</v>
      </c>
      <c r="F161" s="29">
        <v>-468859.22</v>
      </c>
      <c r="G161" s="29">
        <v>702807.45</v>
      </c>
      <c r="H161" t="s">
        <v>1141</v>
      </c>
      <c r="I161" t="s">
        <v>681</v>
      </c>
    </row>
    <row r="162" spans="1:9" customFormat="1" ht="21">
      <c r="A162" s="28" t="s">
        <v>1209</v>
      </c>
      <c r="B162" s="28" t="s">
        <v>108</v>
      </c>
      <c r="C162" s="28" t="s">
        <v>1171</v>
      </c>
      <c r="D162" s="28" t="s">
        <v>1210</v>
      </c>
      <c r="E162" s="29">
        <v>585833.32999999996</v>
      </c>
      <c r="F162" s="29">
        <v>-585832.32999999996</v>
      </c>
      <c r="G162" s="29">
        <v>1</v>
      </c>
      <c r="H162" t="s">
        <v>1141</v>
      </c>
      <c r="I162" t="s">
        <v>681</v>
      </c>
    </row>
    <row r="163" spans="1:9" customFormat="1" ht="21">
      <c r="A163" s="28" t="s">
        <v>1211</v>
      </c>
      <c r="B163" s="28" t="s">
        <v>91</v>
      </c>
      <c r="C163" s="28" t="s">
        <v>1171</v>
      </c>
      <c r="D163" s="28" t="s">
        <v>1047</v>
      </c>
      <c r="E163" s="29">
        <v>9975</v>
      </c>
      <c r="F163" s="29">
        <v>-8404.5400000000009</v>
      </c>
      <c r="G163" s="29">
        <v>1570.46</v>
      </c>
      <c r="H163" t="s">
        <v>1141</v>
      </c>
      <c r="I163" t="s">
        <v>681</v>
      </c>
    </row>
    <row r="164" spans="1:9" customFormat="1" ht="21">
      <c r="A164" s="28" t="s">
        <v>1211</v>
      </c>
      <c r="B164" s="28" t="s">
        <v>108</v>
      </c>
      <c r="C164" s="28" t="s">
        <v>1171</v>
      </c>
      <c r="D164" s="28" t="s">
        <v>1047</v>
      </c>
      <c r="E164" s="29">
        <v>21525</v>
      </c>
      <c r="F164" s="29">
        <v>-21524</v>
      </c>
      <c r="G164" s="29">
        <v>1</v>
      </c>
      <c r="H164" t="s">
        <v>1141</v>
      </c>
      <c r="I164" t="s">
        <v>681</v>
      </c>
    </row>
    <row r="165" spans="1:9" customFormat="1" ht="21">
      <c r="A165" s="28" t="s">
        <v>1212</v>
      </c>
      <c r="B165" s="28" t="s">
        <v>91</v>
      </c>
      <c r="C165" s="28" t="s">
        <v>1171</v>
      </c>
      <c r="D165" s="28" t="s">
        <v>1047</v>
      </c>
      <c r="E165" s="29">
        <v>9975</v>
      </c>
      <c r="F165" s="29">
        <v>-8404.5400000000009</v>
      </c>
      <c r="G165" s="29">
        <v>1570.46</v>
      </c>
      <c r="H165" t="s">
        <v>1141</v>
      </c>
      <c r="I165" t="s">
        <v>681</v>
      </c>
    </row>
    <row r="166" spans="1:9" customFormat="1" ht="21">
      <c r="A166" s="28" t="s">
        <v>1212</v>
      </c>
      <c r="B166" s="28" t="s">
        <v>108</v>
      </c>
      <c r="C166" s="28" t="s">
        <v>1171</v>
      </c>
      <c r="D166" s="28" t="s">
        <v>1047</v>
      </c>
      <c r="E166" s="29">
        <v>21525</v>
      </c>
      <c r="F166" s="29">
        <v>-21524</v>
      </c>
      <c r="G166" s="29">
        <v>1</v>
      </c>
      <c r="H166" t="s">
        <v>1141</v>
      </c>
      <c r="I166" t="s">
        <v>681</v>
      </c>
    </row>
    <row r="167" spans="1:9" customFormat="1" ht="21">
      <c r="A167" s="28" t="s">
        <v>1213</v>
      </c>
      <c r="B167" s="28" t="s">
        <v>91</v>
      </c>
      <c r="C167" s="28" t="s">
        <v>1171</v>
      </c>
      <c r="D167" s="28" t="s">
        <v>1047</v>
      </c>
      <c r="E167" s="29">
        <v>9975</v>
      </c>
      <c r="F167" s="29">
        <v>-8404.5400000000009</v>
      </c>
      <c r="G167" s="29">
        <v>1570.46</v>
      </c>
      <c r="H167" t="s">
        <v>1141</v>
      </c>
      <c r="I167" t="s">
        <v>681</v>
      </c>
    </row>
    <row r="168" spans="1:9" customFormat="1" ht="21">
      <c r="A168" s="28" t="s">
        <v>1213</v>
      </c>
      <c r="B168" s="28" t="s">
        <v>108</v>
      </c>
      <c r="C168" s="28" t="s">
        <v>1171</v>
      </c>
      <c r="D168" s="28" t="s">
        <v>1047</v>
      </c>
      <c r="E168" s="29">
        <v>21525</v>
      </c>
      <c r="F168" s="29">
        <v>-21524</v>
      </c>
      <c r="G168" s="29">
        <v>1</v>
      </c>
      <c r="H168" t="s">
        <v>1141</v>
      </c>
      <c r="I168" t="s">
        <v>681</v>
      </c>
    </row>
    <row r="169" spans="1:9" customFormat="1" ht="21">
      <c r="A169" s="28" t="s">
        <v>1214</v>
      </c>
      <c r="B169" s="28" t="s">
        <v>91</v>
      </c>
      <c r="C169" s="28" t="s">
        <v>1171</v>
      </c>
      <c r="D169" s="28" t="s">
        <v>1047</v>
      </c>
      <c r="E169" s="29">
        <v>9975</v>
      </c>
      <c r="F169" s="29">
        <v>-8404.5400000000009</v>
      </c>
      <c r="G169" s="29">
        <v>1570.46</v>
      </c>
      <c r="H169" t="s">
        <v>1141</v>
      </c>
      <c r="I169" t="s">
        <v>681</v>
      </c>
    </row>
    <row r="170" spans="1:9" customFormat="1" ht="21">
      <c r="A170" s="28" t="s">
        <v>1214</v>
      </c>
      <c r="B170" s="28" t="s">
        <v>108</v>
      </c>
      <c r="C170" s="28" t="s">
        <v>1171</v>
      </c>
      <c r="D170" s="28" t="s">
        <v>1047</v>
      </c>
      <c r="E170" s="29">
        <v>21525</v>
      </c>
      <c r="F170" s="29">
        <v>-21524</v>
      </c>
      <c r="G170" s="29">
        <v>1</v>
      </c>
      <c r="H170" t="s">
        <v>1141</v>
      </c>
      <c r="I170" t="s">
        <v>681</v>
      </c>
    </row>
    <row r="171" spans="1:9" customFormat="1" ht="21">
      <c r="A171" s="28" t="s">
        <v>1215</v>
      </c>
      <c r="B171" s="28" t="s">
        <v>91</v>
      </c>
      <c r="C171" s="28" t="s">
        <v>1171</v>
      </c>
      <c r="D171" s="28" t="s">
        <v>1047</v>
      </c>
      <c r="E171" s="29">
        <v>9975</v>
      </c>
      <c r="F171" s="29">
        <v>-8404.5400000000009</v>
      </c>
      <c r="G171" s="29">
        <v>1570.46</v>
      </c>
      <c r="H171" t="s">
        <v>1141</v>
      </c>
      <c r="I171" t="s">
        <v>681</v>
      </c>
    </row>
    <row r="172" spans="1:9" customFormat="1" ht="21">
      <c r="A172" s="28" t="s">
        <v>1215</v>
      </c>
      <c r="B172" s="28" t="s">
        <v>108</v>
      </c>
      <c r="C172" s="28" t="s">
        <v>1171</v>
      </c>
      <c r="D172" s="28" t="s">
        <v>1047</v>
      </c>
      <c r="E172" s="29">
        <v>21525</v>
      </c>
      <c r="F172" s="29">
        <v>-21524</v>
      </c>
      <c r="G172" s="29">
        <v>1</v>
      </c>
      <c r="H172" t="s">
        <v>1141</v>
      </c>
      <c r="I172" t="s">
        <v>681</v>
      </c>
    </row>
    <row r="173" spans="1:9" customFormat="1" ht="21">
      <c r="A173" s="28" t="s">
        <v>1216</v>
      </c>
      <c r="B173" s="28" t="s">
        <v>91</v>
      </c>
      <c r="C173" s="28" t="s">
        <v>1171</v>
      </c>
      <c r="D173" s="28" t="s">
        <v>1217</v>
      </c>
      <c r="E173" s="29">
        <v>59814.53</v>
      </c>
      <c r="F173" s="29">
        <v>-50397.36</v>
      </c>
      <c r="G173" s="29">
        <v>9417.17</v>
      </c>
      <c r="H173" t="s">
        <v>1141</v>
      </c>
      <c r="I173" t="s">
        <v>681</v>
      </c>
    </row>
    <row r="174" spans="1:9" customFormat="1" ht="21">
      <c r="A174" s="28" t="s">
        <v>1216</v>
      </c>
      <c r="B174" s="28" t="s">
        <v>108</v>
      </c>
      <c r="C174" s="28" t="s">
        <v>1171</v>
      </c>
      <c r="D174" s="28" t="s">
        <v>1217</v>
      </c>
      <c r="E174" s="29">
        <v>129073.47</v>
      </c>
      <c r="F174" s="29">
        <v>-129072.47</v>
      </c>
      <c r="G174" s="29">
        <v>1</v>
      </c>
      <c r="H174" t="s">
        <v>1141</v>
      </c>
      <c r="I174" t="s">
        <v>681</v>
      </c>
    </row>
    <row r="175" spans="1:9" customFormat="1" ht="21">
      <c r="A175" s="28" t="s">
        <v>1218</v>
      </c>
      <c r="B175" s="28" t="s">
        <v>91</v>
      </c>
      <c r="C175" s="28" t="s">
        <v>1171</v>
      </c>
      <c r="D175" s="28" t="s">
        <v>1217</v>
      </c>
      <c r="E175" s="29">
        <v>59814.53</v>
      </c>
      <c r="F175" s="29">
        <v>-50397.36</v>
      </c>
      <c r="G175" s="29">
        <v>9417.17</v>
      </c>
      <c r="H175" t="s">
        <v>1141</v>
      </c>
      <c r="I175" t="s">
        <v>681</v>
      </c>
    </row>
    <row r="176" spans="1:9" customFormat="1" ht="21">
      <c r="A176" s="28" t="s">
        <v>1218</v>
      </c>
      <c r="B176" s="28" t="s">
        <v>108</v>
      </c>
      <c r="C176" s="28" t="s">
        <v>1171</v>
      </c>
      <c r="D176" s="28" t="s">
        <v>1217</v>
      </c>
      <c r="E176" s="29">
        <v>129073.47</v>
      </c>
      <c r="F176" s="29">
        <v>-129072.47</v>
      </c>
      <c r="G176" s="29">
        <v>1</v>
      </c>
      <c r="H176" t="s">
        <v>1141</v>
      </c>
      <c r="I176" t="s">
        <v>681</v>
      </c>
    </row>
    <row r="177" spans="1:9" customFormat="1" ht="21">
      <c r="A177" s="28" t="s">
        <v>1219</v>
      </c>
      <c r="B177" s="28" t="s">
        <v>91</v>
      </c>
      <c r="C177" s="28" t="s">
        <v>1171</v>
      </c>
      <c r="D177" s="28" t="s">
        <v>1220</v>
      </c>
      <c r="E177" s="29">
        <v>59814.53</v>
      </c>
      <c r="F177" s="29">
        <v>-50397.36</v>
      </c>
      <c r="G177" s="29">
        <v>9417.17</v>
      </c>
      <c r="H177" t="s">
        <v>1141</v>
      </c>
      <c r="I177" t="s">
        <v>681</v>
      </c>
    </row>
    <row r="178" spans="1:9" customFormat="1" ht="21">
      <c r="A178" s="28" t="s">
        <v>1219</v>
      </c>
      <c r="B178" s="28" t="s">
        <v>108</v>
      </c>
      <c r="C178" s="28" t="s">
        <v>1171</v>
      </c>
      <c r="D178" s="28" t="s">
        <v>1220</v>
      </c>
      <c r="E178" s="29">
        <v>129073.47</v>
      </c>
      <c r="F178" s="29">
        <v>-129072.47</v>
      </c>
      <c r="G178" s="29">
        <v>1</v>
      </c>
      <c r="H178" t="s">
        <v>1141</v>
      </c>
      <c r="I178" t="s">
        <v>681</v>
      </c>
    </row>
    <row r="179" spans="1:9" customFormat="1" ht="21">
      <c r="A179" s="28" t="s">
        <v>1221</v>
      </c>
      <c r="B179" s="28" t="s">
        <v>91</v>
      </c>
      <c r="C179" s="28" t="s">
        <v>1171</v>
      </c>
      <c r="D179" s="28" t="s">
        <v>1222</v>
      </c>
      <c r="E179" s="29">
        <v>464216.67</v>
      </c>
      <c r="F179" s="29">
        <v>-322962.17</v>
      </c>
      <c r="G179" s="29">
        <v>141254.5</v>
      </c>
      <c r="H179" t="s">
        <v>1141</v>
      </c>
      <c r="I179" t="s">
        <v>681</v>
      </c>
    </row>
    <row r="180" spans="1:9" customFormat="1" ht="21">
      <c r="A180" s="28" t="s">
        <v>1221</v>
      </c>
      <c r="B180" s="28" t="s">
        <v>108</v>
      </c>
      <c r="C180" s="28" t="s">
        <v>1171</v>
      </c>
      <c r="D180" s="28" t="s">
        <v>1222</v>
      </c>
      <c r="E180" s="29">
        <v>746783.33</v>
      </c>
      <c r="F180" s="29">
        <v>-746782.33</v>
      </c>
      <c r="G180" s="29">
        <v>1</v>
      </c>
      <c r="H180" t="s">
        <v>1141</v>
      </c>
      <c r="I180" t="s">
        <v>681</v>
      </c>
    </row>
    <row r="181" spans="1:9" customFormat="1" ht="21">
      <c r="A181" s="28" t="s">
        <v>1223</v>
      </c>
      <c r="B181" s="28" t="s">
        <v>91</v>
      </c>
      <c r="C181" s="28" t="s">
        <v>1171</v>
      </c>
      <c r="D181" s="28" t="s">
        <v>1222</v>
      </c>
      <c r="E181" s="29">
        <v>388800</v>
      </c>
      <c r="F181" s="29">
        <v>-172918.36</v>
      </c>
      <c r="G181" s="29">
        <v>215881.64</v>
      </c>
      <c r="H181" t="s">
        <v>1141</v>
      </c>
      <c r="I181" t="s">
        <v>681</v>
      </c>
    </row>
    <row r="182" spans="1:9" customFormat="1" ht="21">
      <c r="A182" s="28" t="s">
        <v>1223</v>
      </c>
      <c r="B182" s="28" t="s">
        <v>108</v>
      </c>
      <c r="C182" s="28" t="s">
        <v>1171</v>
      </c>
      <c r="D182" s="28" t="s">
        <v>1222</v>
      </c>
      <c r="E182" s="29">
        <v>259200</v>
      </c>
      <c r="F182" s="29">
        <v>-259199</v>
      </c>
      <c r="G182" s="29">
        <v>1</v>
      </c>
      <c r="H182" t="s">
        <v>1141</v>
      </c>
      <c r="I182" t="s">
        <v>681</v>
      </c>
    </row>
    <row r="183" spans="1:9" customFormat="1" ht="21">
      <c r="A183" s="28" t="s">
        <v>1224</v>
      </c>
      <c r="B183" s="28" t="s">
        <v>91</v>
      </c>
      <c r="C183" s="28" t="s">
        <v>1171</v>
      </c>
      <c r="D183" s="28" t="s">
        <v>1225</v>
      </c>
      <c r="E183" s="29">
        <v>478800</v>
      </c>
      <c r="F183" s="29">
        <v>-212945.75</v>
      </c>
      <c r="G183" s="29">
        <v>265854.25</v>
      </c>
      <c r="H183" t="s">
        <v>1141</v>
      </c>
      <c r="I183" t="s">
        <v>681</v>
      </c>
    </row>
    <row r="184" spans="1:9" customFormat="1" ht="21">
      <c r="A184" s="28" t="s">
        <v>1224</v>
      </c>
      <c r="B184" s="28" t="s">
        <v>108</v>
      </c>
      <c r="C184" s="28" t="s">
        <v>1171</v>
      </c>
      <c r="D184" s="28" t="s">
        <v>1225</v>
      </c>
      <c r="E184" s="29">
        <v>319200</v>
      </c>
      <c r="F184" s="29">
        <v>-319199</v>
      </c>
      <c r="G184" s="29">
        <v>1</v>
      </c>
      <c r="H184" t="s">
        <v>1141</v>
      </c>
      <c r="I184" t="s">
        <v>681</v>
      </c>
    </row>
    <row r="185" spans="1:9" customFormat="1" ht="21">
      <c r="A185" s="28" t="s">
        <v>1226</v>
      </c>
      <c r="B185" s="28" t="s">
        <v>91</v>
      </c>
      <c r="C185" s="28" t="s">
        <v>770</v>
      </c>
      <c r="D185" s="28" t="s">
        <v>1227</v>
      </c>
      <c r="E185" s="29">
        <v>3798375</v>
      </c>
      <c r="F185" s="29">
        <v>-930341.71</v>
      </c>
      <c r="G185" s="29">
        <v>2868033.29</v>
      </c>
      <c r="H185" t="s">
        <v>1141</v>
      </c>
      <c r="I185" t="s">
        <v>681</v>
      </c>
    </row>
    <row r="186" spans="1:9" customFormat="1" ht="21">
      <c r="A186" s="28" t="s">
        <v>1228</v>
      </c>
      <c r="B186" s="28" t="s">
        <v>91</v>
      </c>
      <c r="C186" s="28" t="s">
        <v>774</v>
      </c>
      <c r="D186" s="28" t="s">
        <v>775</v>
      </c>
      <c r="E186" s="29">
        <v>1998400</v>
      </c>
      <c r="F186" s="29">
        <v>-497136.22</v>
      </c>
      <c r="G186" s="29">
        <v>1501263.78</v>
      </c>
      <c r="H186" t="s">
        <v>1141</v>
      </c>
      <c r="I186" t="s">
        <v>681</v>
      </c>
    </row>
    <row r="187" spans="1:9" customFormat="1" ht="21">
      <c r="A187" s="28" t="s">
        <v>1229</v>
      </c>
      <c r="B187" s="28" t="s">
        <v>91</v>
      </c>
      <c r="C187" s="28" t="s">
        <v>1230</v>
      </c>
      <c r="D187" s="28" t="s">
        <v>1231</v>
      </c>
      <c r="E187" s="29">
        <v>998000</v>
      </c>
      <c r="F187" s="29">
        <v>-238426.3</v>
      </c>
      <c r="G187" s="29">
        <v>759573.7</v>
      </c>
      <c r="H187" t="s">
        <v>1141</v>
      </c>
      <c r="I187" t="s">
        <v>681</v>
      </c>
    </row>
    <row r="188" spans="1:9" customFormat="1" ht="21">
      <c r="A188" s="28" t="s">
        <v>1232</v>
      </c>
      <c r="B188" s="28" t="s">
        <v>91</v>
      </c>
      <c r="C188" s="28" t="s">
        <v>679</v>
      </c>
      <c r="D188" s="28" t="s">
        <v>680</v>
      </c>
      <c r="E188" s="29">
        <v>449663</v>
      </c>
      <c r="F188" s="29">
        <v>-103237.7</v>
      </c>
      <c r="G188" s="29">
        <v>346425.3</v>
      </c>
      <c r="H188" t="s">
        <v>1141</v>
      </c>
      <c r="I188" t="s">
        <v>681</v>
      </c>
    </row>
    <row r="189" spans="1:9" customFormat="1" ht="21">
      <c r="A189" s="28" t="s">
        <v>1233</v>
      </c>
      <c r="B189" s="28" t="s">
        <v>91</v>
      </c>
      <c r="C189" s="28" t="s">
        <v>679</v>
      </c>
      <c r="D189" s="28" t="s">
        <v>680</v>
      </c>
      <c r="E189" s="29">
        <v>449663</v>
      </c>
      <c r="F189" s="29">
        <v>-103237.7</v>
      </c>
      <c r="G189" s="29">
        <v>346425.3</v>
      </c>
      <c r="H189" t="s">
        <v>1141</v>
      </c>
      <c r="I189" t="s">
        <v>681</v>
      </c>
    </row>
    <row r="190" spans="1:9" customFormat="1" ht="21">
      <c r="A190" s="28" t="s">
        <v>1234</v>
      </c>
      <c r="B190" s="28" t="s">
        <v>91</v>
      </c>
      <c r="C190" s="28" t="s">
        <v>679</v>
      </c>
      <c r="D190" s="28" t="s">
        <v>683</v>
      </c>
      <c r="E190" s="29">
        <v>49870</v>
      </c>
      <c r="F190" s="29">
        <v>-11449.61</v>
      </c>
      <c r="G190" s="29">
        <v>38420.39</v>
      </c>
      <c r="H190" t="s">
        <v>1141</v>
      </c>
      <c r="I190" t="s">
        <v>681</v>
      </c>
    </row>
    <row r="191" spans="1:9" customFormat="1" ht="21">
      <c r="A191" s="28" t="s">
        <v>1235</v>
      </c>
      <c r="B191" s="28" t="s">
        <v>91</v>
      </c>
      <c r="C191" s="28" t="s">
        <v>679</v>
      </c>
      <c r="D191" s="28" t="s">
        <v>683</v>
      </c>
      <c r="E191" s="29">
        <v>49870</v>
      </c>
      <c r="F191" s="29">
        <v>-11449.61</v>
      </c>
      <c r="G191" s="29">
        <v>38420.39</v>
      </c>
      <c r="H191" t="s">
        <v>1141</v>
      </c>
      <c r="I191" t="s">
        <v>681</v>
      </c>
    </row>
    <row r="192" spans="1:9" customFormat="1" ht="21">
      <c r="A192" s="28" t="s">
        <v>1236</v>
      </c>
      <c r="B192" s="28" t="s">
        <v>91</v>
      </c>
      <c r="C192" s="28" t="s">
        <v>679</v>
      </c>
      <c r="D192" s="28" t="s">
        <v>683</v>
      </c>
      <c r="E192" s="29">
        <v>49870</v>
      </c>
      <c r="F192" s="29">
        <v>-11449.61</v>
      </c>
      <c r="G192" s="29">
        <v>38420.39</v>
      </c>
      <c r="H192" t="s">
        <v>1141</v>
      </c>
      <c r="I192" t="s">
        <v>681</v>
      </c>
    </row>
    <row r="193" spans="1:9" customFormat="1" ht="21">
      <c r="A193" s="28" t="s">
        <v>1237</v>
      </c>
      <c r="B193" s="28" t="s">
        <v>91</v>
      </c>
      <c r="C193" s="28" t="s">
        <v>679</v>
      </c>
      <c r="D193" s="28" t="s">
        <v>683</v>
      </c>
      <c r="E193" s="29">
        <v>49870</v>
      </c>
      <c r="F193" s="29">
        <v>-11449.61</v>
      </c>
      <c r="G193" s="29">
        <v>38420.39</v>
      </c>
      <c r="H193" t="s">
        <v>1141</v>
      </c>
      <c r="I193" t="s">
        <v>681</v>
      </c>
    </row>
    <row r="194" spans="1:9" customFormat="1" ht="21">
      <c r="A194" s="28" t="s">
        <v>1238</v>
      </c>
      <c r="B194" s="28" t="s">
        <v>91</v>
      </c>
      <c r="C194" s="28" t="s">
        <v>686</v>
      </c>
      <c r="D194" s="28" t="s">
        <v>687</v>
      </c>
      <c r="E194" s="29">
        <v>349650</v>
      </c>
      <c r="F194" s="29">
        <v>-91004.800000000003</v>
      </c>
      <c r="G194" s="29">
        <v>258645.2</v>
      </c>
      <c r="H194" t="s">
        <v>1141</v>
      </c>
      <c r="I194" t="s">
        <v>681</v>
      </c>
    </row>
    <row r="195" spans="1:9" customFormat="1" ht="21">
      <c r="A195" s="28" t="s">
        <v>1239</v>
      </c>
      <c r="B195" s="28" t="s">
        <v>91</v>
      </c>
      <c r="C195" s="28" t="s">
        <v>1240</v>
      </c>
      <c r="D195" s="28" t="s">
        <v>1241</v>
      </c>
      <c r="E195" s="29">
        <v>460000</v>
      </c>
      <c r="F195" s="29">
        <v>-101073.97</v>
      </c>
      <c r="G195" s="29">
        <v>358926.03</v>
      </c>
      <c r="H195" t="s">
        <v>1141</v>
      </c>
      <c r="I195" t="s">
        <v>681</v>
      </c>
    </row>
    <row r="196" spans="1:9" customFormat="1" ht="21">
      <c r="A196" s="28" t="s">
        <v>1242</v>
      </c>
      <c r="B196" s="28" t="s">
        <v>91</v>
      </c>
      <c r="C196" s="28" t="s">
        <v>1240</v>
      </c>
      <c r="D196" s="28" t="s">
        <v>1241</v>
      </c>
      <c r="E196" s="29">
        <v>460000</v>
      </c>
      <c r="F196" s="29">
        <v>-101073.97</v>
      </c>
      <c r="G196" s="29">
        <v>358926.03</v>
      </c>
      <c r="H196" t="s">
        <v>1141</v>
      </c>
      <c r="I196" t="s">
        <v>681</v>
      </c>
    </row>
    <row r="197" spans="1:9" customFormat="1" ht="21">
      <c r="A197" s="28" t="s">
        <v>1243</v>
      </c>
      <c r="B197" s="28" t="s">
        <v>91</v>
      </c>
      <c r="C197" s="28" t="s">
        <v>605</v>
      </c>
      <c r="D197" s="28" t="s">
        <v>1244</v>
      </c>
      <c r="E197" s="29">
        <v>495000</v>
      </c>
      <c r="F197" s="29">
        <v>-136430.14000000001</v>
      </c>
      <c r="G197" s="29">
        <v>358569.86</v>
      </c>
      <c r="H197" t="s">
        <v>1141</v>
      </c>
      <c r="I197" t="s">
        <v>681</v>
      </c>
    </row>
    <row r="198" spans="1:9" customFormat="1" ht="21">
      <c r="A198" s="28" t="s">
        <v>1245</v>
      </c>
      <c r="B198" s="28" t="s">
        <v>91</v>
      </c>
      <c r="C198" s="28" t="s">
        <v>605</v>
      </c>
      <c r="D198" s="28" t="s">
        <v>1246</v>
      </c>
      <c r="E198" s="29">
        <v>2980000</v>
      </c>
      <c r="F198" s="29">
        <v>-775616.44</v>
      </c>
      <c r="G198" s="29">
        <v>2204383.56</v>
      </c>
      <c r="H198" t="s">
        <v>1141</v>
      </c>
      <c r="I198" t="s">
        <v>681</v>
      </c>
    </row>
  </sheetData>
  <mergeCells count="105">
    <mergeCell ref="A3:A4"/>
    <mergeCell ref="B3:B4"/>
    <mergeCell ref="C3:N3"/>
    <mergeCell ref="P3:P4"/>
    <mergeCell ref="Q3:Q4"/>
    <mergeCell ref="R3:AC3"/>
    <mergeCell ref="A1:N1"/>
    <mergeCell ref="P1:AC1"/>
    <mergeCell ref="AE1:BD1"/>
    <mergeCell ref="A2:N2"/>
    <mergeCell ref="P2:AC2"/>
    <mergeCell ref="AE2:BD2"/>
    <mergeCell ref="C14:N14"/>
    <mergeCell ref="P14:P15"/>
    <mergeCell ref="Q14:Q15"/>
    <mergeCell ref="R14:AC14"/>
    <mergeCell ref="BA3:BB3"/>
    <mergeCell ref="BC3:BD3"/>
    <mergeCell ref="A12:N12"/>
    <mergeCell ref="P12:AC12"/>
    <mergeCell ref="AE12:BD12"/>
    <mergeCell ref="A13:N13"/>
    <mergeCell ref="P13:AC13"/>
    <mergeCell ref="AE13:BD13"/>
    <mergeCell ref="AO3:AP3"/>
    <mergeCell ref="AQ3:AR3"/>
    <mergeCell ref="AS3:AT3"/>
    <mergeCell ref="AU3:AV3"/>
    <mergeCell ref="AW3:AX3"/>
    <mergeCell ref="AY3:AZ3"/>
    <mergeCell ref="AE3:AE4"/>
    <mergeCell ref="AF3:AF4"/>
    <mergeCell ref="AG3:AH3"/>
    <mergeCell ref="AI3:AJ3"/>
    <mergeCell ref="AK3:AL3"/>
    <mergeCell ref="AM3:AN3"/>
    <mergeCell ref="Q25:Q26"/>
    <mergeCell ref="R25:AC25"/>
    <mergeCell ref="BA14:BB14"/>
    <mergeCell ref="BC14:BD14"/>
    <mergeCell ref="A23:N23"/>
    <mergeCell ref="P23:AC23"/>
    <mergeCell ref="AE23:BD23"/>
    <mergeCell ref="A24:N24"/>
    <mergeCell ref="P24:AC24"/>
    <mergeCell ref="AE24:BD24"/>
    <mergeCell ref="AO14:AP14"/>
    <mergeCell ref="AQ14:AR14"/>
    <mergeCell ref="AS14:AT14"/>
    <mergeCell ref="AU14:AV14"/>
    <mergeCell ref="AW14:AX14"/>
    <mergeCell ref="AY14:AZ14"/>
    <mergeCell ref="AE14:AE15"/>
    <mergeCell ref="AF14:AF15"/>
    <mergeCell ref="AG14:AH14"/>
    <mergeCell ref="AI14:AJ14"/>
    <mergeCell ref="AK14:AL14"/>
    <mergeCell ref="AM14:AN14"/>
    <mergeCell ref="A14:A15"/>
    <mergeCell ref="B14:B15"/>
    <mergeCell ref="BA25:BB25"/>
    <mergeCell ref="BC25:BD25"/>
    <mergeCell ref="A43:N43"/>
    <mergeCell ref="P43:AC43"/>
    <mergeCell ref="AE43:BD43"/>
    <mergeCell ref="A44:N44"/>
    <mergeCell ref="P44:AC44"/>
    <mergeCell ref="AE44:BD44"/>
    <mergeCell ref="AO25:AP25"/>
    <mergeCell ref="AQ25:AR25"/>
    <mergeCell ref="AS25:AT25"/>
    <mergeCell ref="AU25:AV25"/>
    <mergeCell ref="AW25:AX25"/>
    <mergeCell ref="AY25:AZ25"/>
    <mergeCell ref="AE25:AE26"/>
    <mergeCell ref="AF25:AF26"/>
    <mergeCell ref="AG25:AH25"/>
    <mergeCell ref="AI25:AJ25"/>
    <mergeCell ref="AK25:AL25"/>
    <mergeCell ref="AM25:AN25"/>
    <mergeCell ref="A25:A26"/>
    <mergeCell ref="B25:B26"/>
    <mergeCell ref="C25:N25"/>
    <mergeCell ref="P25:P26"/>
    <mergeCell ref="BA45:BB45"/>
    <mergeCell ref="BC45:BD45"/>
    <mergeCell ref="A63:I63"/>
    <mergeCell ref="AO45:AP45"/>
    <mergeCell ref="AQ45:AR45"/>
    <mergeCell ref="AS45:AT45"/>
    <mergeCell ref="AU45:AV45"/>
    <mergeCell ref="AW45:AX45"/>
    <mergeCell ref="AY45:AZ45"/>
    <mergeCell ref="AE45:AE46"/>
    <mergeCell ref="AF45:AF46"/>
    <mergeCell ref="AG45:AH45"/>
    <mergeCell ref="AI45:AJ45"/>
    <mergeCell ref="AK45:AL45"/>
    <mergeCell ref="AM45:AN45"/>
    <mergeCell ref="A45:A46"/>
    <mergeCell ref="B45:B46"/>
    <mergeCell ref="C45:N45"/>
    <mergeCell ref="P45:P46"/>
    <mergeCell ref="Q45:Q46"/>
    <mergeCell ref="R45:AC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8622-48E8-4372-B903-09B930AE1108}">
  <dimension ref="A1:BD135"/>
  <sheetViews>
    <sheetView workbookViewId="0">
      <selection activeCell="E52" sqref="E52"/>
    </sheetView>
  </sheetViews>
  <sheetFormatPr defaultColWidth="18.75" defaultRowHeight="24.6"/>
  <cols>
    <col min="1" max="1" width="6.75" style="24" bestFit="1" customWidth="1"/>
    <col min="2" max="2" width="53" style="13" bestFit="1" customWidth="1"/>
    <col min="3" max="15" width="18.75" style="13"/>
    <col min="16" max="16" width="6.75" style="24" bestFit="1" customWidth="1"/>
    <col min="17" max="17" width="53" style="13" bestFit="1" customWidth="1"/>
    <col min="18" max="30" width="18.75" style="13"/>
    <col min="31" max="31" width="6.75" style="24" bestFit="1" customWidth="1"/>
    <col min="32" max="32" width="53" style="13" bestFit="1" customWidth="1"/>
    <col min="33" max="16384" width="18.75" style="13"/>
  </cols>
  <sheetData>
    <row r="1" spans="1:56">
      <c r="A1" s="37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2"/>
      <c r="P1" s="37" t="s">
        <v>49</v>
      </c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E1" s="37" t="s">
        <v>0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</row>
    <row r="2" spans="1:56">
      <c r="A2" s="37" t="s">
        <v>1945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2"/>
      <c r="P2" s="37" t="s">
        <v>1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E2" s="37" t="s">
        <v>1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</row>
    <row r="3" spans="1:56" s="15" customFormat="1">
      <c r="A3" s="35" t="s">
        <v>2</v>
      </c>
      <c r="B3" s="35" t="s">
        <v>3</v>
      </c>
      <c r="C3" s="38" t="s">
        <v>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  <c r="O3" s="14"/>
      <c r="P3" s="35" t="s">
        <v>2</v>
      </c>
      <c r="Q3" s="35" t="s">
        <v>3</v>
      </c>
      <c r="R3" s="38" t="s">
        <v>5</v>
      </c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E3" s="35" t="s">
        <v>2</v>
      </c>
      <c r="AF3" s="35" t="s">
        <v>3</v>
      </c>
      <c r="AG3" s="33">
        <v>25112</v>
      </c>
      <c r="AH3" s="34"/>
      <c r="AI3" s="33">
        <v>25143</v>
      </c>
      <c r="AJ3" s="34"/>
      <c r="AK3" s="33">
        <v>25173</v>
      </c>
      <c r="AL3" s="34"/>
      <c r="AM3" s="33">
        <v>25204</v>
      </c>
      <c r="AN3" s="34"/>
      <c r="AO3" s="33">
        <v>25235</v>
      </c>
      <c r="AP3" s="34"/>
      <c r="AQ3" s="33">
        <v>25263</v>
      </c>
      <c r="AR3" s="34"/>
      <c r="AS3" s="33">
        <v>25294</v>
      </c>
      <c r="AT3" s="34"/>
      <c r="AU3" s="33">
        <v>25324</v>
      </c>
      <c r="AV3" s="34"/>
      <c r="AW3" s="33">
        <v>25355</v>
      </c>
      <c r="AX3" s="34"/>
      <c r="AY3" s="33">
        <v>25385</v>
      </c>
      <c r="AZ3" s="34"/>
      <c r="BA3" s="33">
        <v>25416</v>
      </c>
      <c r="BB3" s="34"/>
      <c r="BC3" s="33">
        <v>25447</v>
      </c>
      <c r="BD3" s="34"/>
    </row>
    <row r="4" spans="1:56" s="15" customFormat="1">
      <c r="A4" s="36"/>
      <c r="B4" s="36"/>
      <c r="C4" s="16">
        <v>25112</v>
      </c>
      <c r="D4" s="16">
        <v>25143</v>
      </c>
      <c r="E4" s="16">
        <v>25173</v>
      </c>
      <c r="F4" s="16">
        <v>25204</v>
      </c>
      <c r="G4" s="16">
        <v>25235</v>
      </c>
      <c r="H4" s="16">
        <v>25263</v>
      </c>
      <c r="I4" s="16">
        <v>25294</v>
      </c>
      <c r="J4" s="16">
        <v>25324</v>
      </c>
      <c r="K4" s="16">
        <v>25355</v>
      </c>
      <c r="L4" s="16">
        <v>25385</v>
      </c>
      <c r="M4" s="16">
        <v>25416</v>
      </c>
      <c r="N4" s="16">
        <v>25447</v>
      </c>
      <c r="P4" s="36"/>
      <c r="Q4" s="36"/>
      <c r="R4" s="16">
        <v>25112</v>
      </c>
      <c r="S4" s="16">
        <v>25143</v>
      </c>
      <c r="T4" s="16">
        <v>25173</v>
      </c>
      <c r="U4" s="16">
        <v>25204</v>
      </c>
      <c r="V4" s="16">
        <v>25235</v>
      </c>
      <c r="W4" s="16">
        <v>25263</v>
      </c>
      <c r="X4" s="16">
        <v>25294</v>
      </c>
      <c r="Y4" s="16">
        <v>25324</v>
      </c>
      <c r="Z4" s="16">
        <v>25355</v>
      </c>
      <c r="AA4" s="16">
        <v>25385</v>
      </c>
      <c r="AB4" s="16">
        <v>25416</v>
      </c>
      <c r="AC4" s="16">
        <v>25447</v>
      </c>
      <c r="AE4" s="36"/>
      <c r="AF4" s="36"/>
      <c r="AG4" s="16" t="s">
        <v>85</v>
      </c>
      <c r="AH4" s="16" t="s">
        <v>86</v>
      </c>
      <c r="AI4" s="16" t="s">
        <v>85</v>
      </c>
      <c r="AJ4" s="16" t="s">
        <v>86</v>
      </c>
      <c r="AK4" s="16" t="s">
        <v>85</v>
      </c>
      <c r="AL4" s="16" t="s">
        <v>86</v>
      </c>
      <c r="AM4" s="16" t="s">
        <v>85</v>
      </c>
      <c r="AN4" s="16" t="s">
        <v>86</v>
      </c>
      <c r="AO4" s="16" t="s">
        <v>85</v>
      </c>
      <c r="AP4" s="16" t="s">
        <v>86</v>
      </c>
      <c r="AQ4" s="16" t="s">
        <v>85</v>
      </c>
      <c r="AR4" s="16" t="s">
        <v>86</v>
      </c>
      <c r="AS4" s="16" t="s">
        <v>85</v>
      </c>
      <c r="AT4" s="16" t="s">
        <v>86</v>
      </c>
      <c r="AU4" s="16" t="s">
        <v>85</v>
      </c>
      <c r="AV4" s="16" t="s">
        <v>86</v>
      </c>
      <c r="AW4" s="16" t="s">
        <v>85</v>
      </c>
      <c r="AX4" s="16" t="s">
        <v>86</v>
      </c>
      <c r="AY4" s="16" t="s">
        <v>85</v>
      </c>
      <c r="AZ4" s="16" t="s">
        <v>86</v>
      </c>
      <c r="BA4" s="16" t="s">
        <v>85</v>
      </c>
      <c r="BB4" s="16" t="s">
        <v>86</v>
      </c>
      <c r="BC4" s="16" t="s">
        <v>85</v>
      </c>
      <c r="BD4" s="16" t="s">
        <v>86</v>
      </c>
    </row>
    <row r="5" spans="1:56">
      <c r="A5" s="17">
        <v>1</v>
      </c>
      <c r="B5" s="18" t="s">
        <v>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P5" s="17">
        <v>1</v>
      </c>
      <c r="Q5" s="18" t="s">
        <v>8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E5" s="17">
        <v>1</v>
      </c>
      <c r="AF5" s="18" t="s">
        <v>8</v>
      </c>
      <c r="AG5" s="19">
        <f>+C5-R5</f>
        <v>0</v>
      </c>
      <c r="AH5" s="19" t="e">
        <f>+AG5/C5*100</f>
        <v>#DIV/0!</v>
      </c>
      <c r="AI5" s="19">
        <f>+D5-S5</f>
        <v>0</v>
      </c>
      <c r="AJ5" s="19" t="e">
        <f>+AI5/D5*100</f>
        <v>#DIV/0!</v>
      </c>
      <c r="AK5" s="19">
        <f>+E5-T5</f>
        <v>0</v>
      </c>
      <c r="AL5" s="19" t="e">
        <f>+AK5/E5*100</f>
        <v>#DIV/0!</v>
      </c>
      <c r="AM5" s="19">
        <f>+F5-U5</f>
        <v>0</v>
      </c>
      <c r="AN5" s="19" t="e">
        <f>+AM5/F5*100</f>
        <v>#DIV/0!</v>
      </c>
      <c r="AO5" s="19">
        <f>+G5-V5</f>
        <v>0</v>
      </c>
      <c r="AP5" s="19" t="e">
        <f>+AO5/G5*100</f>
        <v>#DIV/0!</v>
      </c>
      <c r="AQ5" s="19">
        <f>+H5-W5</f>
        <v>0</v>
      </c>
      <c r="AR5" s="19" t="e">
        <f>+AQ5/H5*100</f>
        <v>#DIV/0!</v>
      </c>
      <c r="AS5" s="19">
        <f>+I5-X5</f>
        <v>0</v>
      </c>
      <c r="AT5" s="19" t="e">
        <f>+AS5/I5*100</f>
        <v>#DIV/0!</v>
      </c>
      <c r="AU5" s="19">
        <f>+J5-Y5</f>
        <v>0</v>
      </c>
      <c r="AV5" s="19" t="e">
        <f>+AU5/J5*100</f>
        <v>#DIV/0!</v>
      </c>
      <c r="AW5" s="19">
        <f>+K5-Z5</f>
        <v>0</v>
      </c>
      <c r="AX5" s="19" t="e">
        <f>+AW5/K5*100</f>
        <v>#DIV/0!</v>
      </c>
      <c r="AY5" s="19">
        <f>+L5-AA5</f>
        <v>0</v>
      </c>
      <c r="AZ5" s="19" t="e">
        <f>+AY5/L5*100</f>
        <v>#DIV/0!</v>
      </c>
      <c r="BA5" s="19">
        <f>+M5-AB5</f>
        <v>0</v>
      </c>
      <c r="BB5" s="19" t="e">
        <f>+BA5/M5*100</f>
        <v>#DIV/0!</v>
      </c>
      <c r="BC5" s="19">
        <f>+N5-AC5</f>
        <v>0</v>
      </c>
      <c r="BD5" s="19" t="e">
        <f>+BC5/N5*100</f>
        <v>#DIV/0!</v>
      </c>
    </row>
    <row r="6" spans="1:56">
      <c r="A6" s="17">
        <v>2</v>
      </c>
      <c r="B6" s="18" t="s">
        <v>9</v>
      </c>
      <c r="C6" s="19">
        <v>28466795</v>
      </c>
      <c r="D6" s="19">
        <v>28466795</v>
      </c>
      <c r="E6" s="19">
        <v>28466795</v>
      </c>
      <c r="F6" s="19"/>
      <c r="G6" s="19"/>
      <c r="H6" s="19"/>
      <c r="I6" s="19"/>
      <c r="J6" s="19"/>
      <c r="K6" s="19"/>
      <c r="L6" s="19"/>
      <c r="M6" s="19"/>
      <c r="N6" s="19"/>
      <c r="P6" s="17">
        <v>2</v>
      </c>
      <c r="Q6" s="18" t="s">
        <v>9</v>
      </c>
      <c r="R6" s="19">
        <v>28466795</v>
      </c>
      <c r="S6" s="19">
        <v>28466795</v>
      </c>
      <c r="T6" s="19">
        <v>28466795</v>
      </c>
      <c r="U6" s="19"/>
      <c r="V6" s="19"/>
      <c r="W6" s="19"/>
      <c r="X6" s="19"/>
      <c r="Y6" s="19"/>
      <c r="Z6" s="19"/>
      <c r="AA6" s="19"/>
      <c r="AB6" s="19"/>
      <c r="AC6" s="19"/>
      <c r="AE6" s="17">
        <v>2</v>
      </c>
      <c r="AF6" s="18" t="s">
        <v>9</v>
      </c>
      <c r="AG6" s="19">
        <f t="shared" ref="AG6:AG10" si="0">+C6-R6</f>
        <v>0</v>
      </c>
      <c r="AH6" s="19">
        <f t="shared" ref="AH6:AH10" si="1">+AG6/C6*100</f>
        <v>0</v>
      </c>
      <c r="AI6" s="19">
        <f t="shared" ref="AI6:AI10" si="2">+D6-S6</f>
        <v>0</v>
      </c>
      <c r="AJ6" s="19">
        <f t="shared" ref="AJ6:AJ10" si="3">+AI6/D6*100</f>
        <v>0</v>
      </c>
      <c r="AK6" s="19">
        <f t="shared" ref="AK6:AK10" si="4">+E6-T6</f>
        <v>0</v>
      </c>
      <c r="AL6" s="19">
        <f t="shared" ref="AL6:AL10" si="5">+AK6/E6*100</f>
        <v>0</v>
      </c>
      <c r="AM6" s="19">
        <f t="shared" ref="AM6:AM10" si="6">+F6-U6</f>
        <v>0</v>
      </c>
      <c r="AN6" s="19" t="e">
        <f t="shared" ref="AN6:AN10" si="7">+AM6/F6*100</f>
        <v>#DIV/0!</v>
      </c>
      <c r="AO6" s="19">
        <f t="shared" ref="AO6:AO10" si="8">+G6-V6</f>
        <v>0</v>
      </c>
      <c r="AP6" s="19" t="e">
        <f t="shared" ref="AP6:AP10" si="9">+AO6/G6*100</f>
        <v>#DIV/0!</v>
      </c>
      <c r="AQ6" s="19">
        <f t="shared" ref="AQ6:AQ10" si="10">+H6-W6</f>
        <v>0</v>
      </c>
      <c r="AR6" s="19" t="e">
        <f t="shared" ref="AR6:AR10" si="11">+AQ6/H6*100</f>
        <v>#DIV/0!</v>
      </c>
      <c r="AS6" s="19">
        <f t="shared" ref="AS6:AS10" si="12">+I6-X6</f>
        <v>0</v>
      </c>
      <c r="AT6" s="19" t="e">
        <f t="shared" ref="AT6:AT10" si="13">+AS6/I6*100</f>
        <v>#DIV/0!</v>
      </c>
      <c r="AU6" s="19">
        <f t="shared" ref="AU6:AU10" si="14">+J6-Y6</f>
        <v>0</v>
      </c>
      <c r="AV6" s="19" t="e">
        <f t="shared" ref="AV6:AV10" si="15">+AU6/J6*100</f>
        <v>#DIV/0!</v>
      </c>
      <c r="AW6" s="19">
        <f t="shared" ref="AW6:AW10" si="16">+K6-Z6</f>
        <v>0</v>
      </c>
      <c r="AX6" s="19" t="e">
        <f t="shared" ref="AX6:AX10" si="17">+AW6/K6*100</f>
        <v>#DIV/0!</v>
      </c>
      <c r="AY6" s="19">
        <f t="shared" ref="AY6:AY10" si="18">+L6-AA6</f>
        <v>0</v>
      </c>
      <c r="AZ6" s="19" t="e">
        <f t="shared" ref="AZ6:AZ10" si="19">+AY6/L6*100</f>
        <v>#DIV/0!</v>
      </c>
      <c r="BA6" s="19">
        <f t="shared" ref="BA6:BA10" si="20">+M6-AB6</f>
        <v>0</v>
      </c>
      <c r="BB6" s="19" t="e">
        <f t="shared" ref="BB6:BB10" si="21">+BA6/M6*100</f>
        <v>#DIV/0!</v>
      </c>
      <c r="BC6" s="19">
        <f t="shared" ref="BC6:BC10" si="22">+N6-AC6</f>
        <v>0</v>
      </c>
      <c r="BD6" s="19" t="e">
        <f t="shared" ref="BD6:BD10" si="23">+BC6/N6*100</f>
        <v>#DIV/0!</v>
      </c>
    </row>
    <row r="7" spans="1:56">
      <c r="A7" s="17">
        <v>3</v>
      </c>
      <c r="B7" s="18" t="s">
        <v>11</v>
      </c>
      <c r="C7" s="19">
        <v>16634032.449999999</v>
      </c>
      <c r="D7" s="19">
        <v>16634032.449999999</v>
      </c>
      <c r="E7" s="19">
        <v>16634032.449999999</v>
      </c>
      <c r="F7" s="19"/>
      <c r="G7" s="19"/>
      <c r="H7" s="19"/>
      <c r="I7" s="19"/>
      <c r="J7" s="19"/>
      <c r="K7" s="19"/>
      <c r="L7" s="19"/>
      <c r="M7" s="19"/>
      <c r="N7" s="19"/>
      <c r="P7" s="17">
        <v>3</v>
      </c>
      <c r="Q7" s="18" t="s">
        <v>11</v>
      </c>
      <c r="R7" s="19">
        <v>25907032.449999999</v>
      </c>
      <c r="S7" s="19">
        <v>25907032.449999999</v>
      </c>
      <c r="T7" s="19">
        <v>25907032.449999999</v>
      </c>
      <c r="U7" s="19"/>
      <c r="V7" s="19"/>
      <c r="W7" s="19"/>
      <c r="X7" s="19"/>
      <c r="Y7" s="19"/>
      <c r="Z7" s="19"/>
      <c r="AA7" s="19"/>
      <c r="AB7" s="19"/>
      <c r="AC7" s="19"/>
      <c r="AE7" s="17">
        <v>3</v>
      </c>
      <c r="AF7" s="18" t="s">
        <v>11</v>
      </c>
      <c r="AG7" s="19">
        <f t="shared" si="0"/>
        <v>-9273000</v>
      </c>
      <c r="AH7" s="19">
        <f t="shared" si="1"/>
        <v>-55.747155885823709</v>
      </c>
      <c r="AI7" s="19">
        <f t="shared" si="2"/>
        <v>-9273000</v>
      </c>
      <c r="AJ7" s="19">
        <f t="shared" si="3"/>
        <v>-55.747155885823709</v>
      </c>
      <c r="AK7" s="19">
        <f t="shared" si="4"/>
        <v>-9273000</v>
      </c>
      <c r="AL7" s="19">
        <f t="shared" si="5"/>
        <v>-55.747155885823709</v>
      </c>
      <c r="AM7" s="19">
        <f t="shared" si="6"/>
        <v>0</v>
      </c>
      <c r="AN7" s="19" t="e">
        <f t="shared" si="7"/>
        <v>#DIV/0!</v>
      </c>
      <c r="AO7" s="19">
        <f t="shared" si="8"/>
        <v>0</v>
      </c>
      <c r="AP7" s="19" t="e">
        <f t="shared" si="9"/>
        <v>#DIV/0!</v>
      </c>
      <c r="AQ7" s="19">
        <f t="shared" si="10"/>
        <v>0</v>
      </c>
      <c r="AR7" s="19" t="e">
        <f t="shared" si="11"/>
        <v>#DIV/0!</v>
      </c>
      <c r="AS7" s="19">
        <f t="shared" si="12"/>
        <v>0</v>
      </c>
      <c r="AT7" s="19" t="e">
        <f t="shared" si="13"/>
        <v>#DIV/0!</v>
      </c>
      <c r="AU7" s="19">
        <f t="shared" si="14"/>
        <v>0</v>
      </c>
      <c r="AV7" s="19" t="e">
        <f t="shared" si="15"/>
        <v>#DIV/0!</v>
      </c>
      <c r="AW7" s="19">
        <f t="shared" si="16"/>
        <v>0</v>
      </c>
      <c r="AX7" s="19" t="e">
        <f t="shared" si="17"/>
        <v>#DIV/0!</v>
      </c>
      <c r="AY7" s="19">
        <f t="shared" si="18"/>
        <v>0</v>
      </c>
      <c r="AZ7" s="19" t="e">
        <f t="shared" si="19"/>
        <v>#DIV/0!</v>
      </c>
      <c r="BA7" s="19">
        <f t="shared" si="20"/>
        <v>0</v>
      </c>
      <c r="BB7" s="19" t="e">
        <f t="shared" si="21"/>
        <v>#DIV/0!</v>
      </c>
      <c r="BC7" s="19">
        <f t="shared" si="22"/>
        <v>0</v>
      </c>
      <c r="BD7" s="19" t="e">
        <f t="shared" si="23"/>
        <v>#DIV/0!</v>
      </c>
    </row>
    <row r="8" spans="1:56">
      <c r="A8" s="17">
        <v>4</v>
      </c>
      <c r="B8" s="18" t="s">
        <v>13</v>
      </c>
      <c r="C8" s="19">
        <v>2006005</v>
      </c>
      <c r="D8" s="19">
        <v>2006005</v>
      </c>
      <c r="E8" s="19">
        <v>2006005</v>
      </c>
      <c r="F8" s="19"/>
      <c r="G8" s="19"/>
      <c r="H8" s="19"/>
      <c r="I8" s="19"/>
      <c r="J8" s="19"/>
      <c r="K8" s="19"/>
      <c r="L8" s="19"/>
      <c r="M8" s="19"/>
      <c r="N8" s="19"/>
      <c r="P8" s="17">
        <v>4</v>
      </c>
      <c r="Q8" s="18" t="s">
        <v>13</v>
      </c>
      <c r="R8" s="19">
        <v>2006005</v>
      </c>
      <c r="S8" s="19">
        <v>2006005</v>
      </c>
      <c r="T8" s="19">
        <v>2006005</v>
      </c>
      <c r="U8" s="19"/>
      <c r="V8" s="19"/>
      <c r="W8" s="19"/>
      <c r="X8" s="19"/>
      <c r="Y8" s="19"/>
      <c r="Z8" s="19"/>
      <c r="AA8" s="19"/>
      <c r="AB8" s="19"/>
      <c r="AC8" s="19"/>
      <c r="AE8" s="17">
        <v>4</v>
      </c>
      <c r="AF8" s="18" t="s">
        <v>13</v>
      </c>
      <c r="AG8" s="19">
        <f t="shared" si="0"/>
        <v>0</v>
      </c>
      <c r="AH8" s="19">
        <f t="shared" si="1"/>
        <v>0</v>
      </c>
      <c r="AI8" s="19">
        <f t="shared" si="2"/>
        <v>0</v>
      </c>
      <c r="AJ8" s="19">
        <f t="shared" si="3"/>
        <v>0</v>
      </c>
      <c r="AK8" s="19">
        <f t="shared" si="4"/>
        <v>0</v>
      </c>
      <c r="AL8" s="19">
        <f t="shared" si="5"/>
        <v>0</v>
      </c>
      <c r="AM8" s="19">
        <f t="shared" si="6"/>
        <v>0</v>
      </c>
      <c r="AN8" s="19" t="e">
        <f t="shared" si="7"/>
        <v>#DIV/0!</v>
      </c>
      <c r="AO8" s="19">
        <f t="shared" si="8"/>
        <v>0</v>
      </c>
      <c r="AP8" s="19" t="e">
        <f t="shared" si="9"/>
        <v>#DIV/0!</v>
      </c>
      <c r="AQ8" s="19">
        <f t="shared" si="10"/>
        <v>0</v>
      </c>
      <c r="AR8" s="19" t="e">
        <f t="shared" si="11"/>
        <v>#DIV/0!</v>
      </c>
      <c r="AS8" s="19">
        <f t="shared" si="12"/>
        <v>0</v>
      </c>
      <c r="AT8" s="19" t="e">
        <f t="shared" si="13"/>
        <v>#DIV/0!</v>
      </c>
      <c r="AU8" s="19">
        <f t="shared" si="14"/>
        <v>0</v>
      </c>
      <c r="AV8" s="19" t="e">
        <f t="shared" si="15"/>
        <v>#DIV/0!</v>
      </c>
      <c r="AW8" s="19">
        <f t="shared" si="16"/>
        <v>0</v>
      </c>
      <c r="AX8" s="19" t="e">
        <f t="shared" si="17"/>
        <v>#DIV/0!</v>
      </c>
      <c r="AY8" s="19">
        <f t="shared" si="18"/>
        <v>0</v>
      </c>
      <c r="AZ8" s="19" t="e">
        <f t="shared" si="19"/>
        <v>#DIV/0!</v>
      </c>
      <c r="BA8" s="19">
        <f t="shared" si="20"/>
        <v>0</v>
      </c>
      <c r="BB8" s="19" t="e">
        <f t="shared" si="21"/>
        <v>#DIV/0!</v>
      </c>
      <c r="BC8" s="19">
        <f t="shared" si="22"/>
        <v>0</v>
      </c>
      <c r="BD8" s="19" t="e">
        <f t="shared" si="23"/>
        <v>#DIV/0!</v>
      </c>
    </row>
    <row r="9" spans="1:56">
      <c r="A9" s="17">
        <v>5</v>
      </c>
      <c r="B9" s="18" t="s">
        <v>15</v>
      </c>
      <c r="C9" s="19">
        <v>4544509.3</v>
      </c>
      <c r="D9" s="19">
        <v>4544509.3</v>
      </c>
      <c r="E9" s="19">
        <v>4544509.3</v>
      </c>
      <c r="F9" s="19"/>
      <c r="G9" s="19"/>
      <c r="H9" s="19"/>
      <c r="I9" s="19"/>
      <c r="J9" s="19"/>
      <c r="K9" s="19"/>
      <c r="L9" s="19"/>
      <c r="M9" s="19"/>
      <c r="N9" s="19"/>
      <c r="P9" s="17">
        <v>5</v>
      </c>
      <c r="Q9" s="18" t="s">
        <v>15</v>
      </c>
      <c r="R9" s="19">
        <v>4544509.3</v>
      </c>
      <c r="S9" s="19">
        <v>4544509.3</v>
      </c>
      <c r="T9" s="19">
        <v>4544509.3</v>
      </c>
      <c r="U9" s="19"/>
      <c r="V9" s="19"/>
      <c r="W9" s="19"/>
      <c r="X9" s="19"/>
      <c r="Y9" s="19"/>
      <c r="Z9" s="19"/>
      <c r="AA9" s="19"/>
      <c r="AB9" s="19"/>
      <c r="AC9" s="19"/>
      <c r="AE9" s="17">
        <v>5</v>
      </c>
      <c r="AF9" s="18" t="s">
        <v>15</v>
      </c>
      <c r="AG9" s="19">
        <f t="shared" si="0"/>
        <v>0</v>
      </c>
      <c r="AH9" s="19">
        <f t="shared" si="1"/>
        <v>0</v>
      </c>
      <c r="AI9" s="19">
        <f t="shared" si="2"/>
        <v>0</v>
      </c>
      <c r="AJ9" s="19">
        <f t="shared" si="3"/>
        <v>0</v>
      </c>
      <c r="AK9" s="19">
        <f t="shared" si="4"/>
        <v>0</v>
      </c>
      <c r="AL9" s="19">
        <f t="shared" si="5"/>
        <v>0</v>
      </c>
      <c r="AM9" s="19">
        <f t="shared" si="6"/>
        <v>0</v>
      </c>
      <c r="AN9" s="19" t="e">
        <f t="shared" si="7"/>
        <v>#DIV/0!</v>
      </c>
      <c r="AO9" s="19">
        <f t="shared" si="8"/>
        <v>0</v>
      </c>
      <c r="AP9" s="19" t="e">
        <f t="shared" si="9"/>
        <v>#DIV/0!</v>
      </c>
      <c r="AQ9" s="19">
        <f t="shared" si="10"/>
        <v>0</v>
      </c>
      <c r="AR9" s="19" t="e">
        <f t="shared" si="11"/>
        <v>#DIV/0!</v>
      </c>
      <c r="AS9" s="19">
        <f t="shared" si="12"/>
        <v>0</v>
      </c>
      <c r="AT9" s="19" t="e">
        <f t="shared" si="13"/>
        <v>#DIV/0!</v>
      </c>
      <c r="AU9" s="19">
        <f t="shared" si="14"/>
        <v>0</v>
      </c>
      <c r="AV9" s="19" t="e">
        <f t="shared" si="15"/>
        <v>#DIV/0!</v>
      </c>
      <c r="AW9" s="19">
        <f t="shared" si="16"/>
        <v>0</v>
      </c>
      <c r="AX9" s="19" t="e">
        <f t="shared" si="17"/>
        <v>#DIV/0!</v>
      </c>
      <c r="AY9" s="19">
        <f t="shared" si="18"/>
        <v>0</v>
      </c>
      <c r="AZ9" s="19" t="e">
        <f t="shared" si="19"/>
        <v>#DIV/0!</v>
      </c>
      <c r="BA9" s="19">
        <f t="shared" si="20"/>
        <v>0</v>
      </c>
      <c r="BB9" s="19" t="e">
        <f t="shared" si="21"/>
        <v>#DIV/0!</v>
      </c>
      <c r="BC9" s="19">
        <f t="shared" si="22"/>
        <v>0</v>
      </c>
      <c r="BD9" s="19" t="e">
        <f t="shared" si="23"/>
        <v>#DIV/0!</v>
      </c>
    </row>
    <row r="10" spans="1:56" s="22" customFormat="1" ht="25.2" thickBot="1">
      <c r="A10" s="20"/>
      <c r="B10" s="20" t="s">
        <v>17</v>
      </c>
      <c r="C10" s="21">
        <f>SUM(C5:C9)</f>
        <v>51651341.75</v>
      </c>
      <c r="D10" s="21">
        <f t="shared" ref="D10:N10" si="24">SUM(D5:D9)</f>
        <v>51651341.75</v>
      </c>
      <c r="E10" s="21">
        <f t="shared" si="24"/>
        <v>51651341.75</v>
      </c>
      <c r="F10" s="21">
        <f t="shared" si="24"/>
        <v>0</v>
      </c>
      <c r="G10" s="21">
        <f t="shared" si="24"/>
        <v>0</v>
      </c>
      <c r="H10" s="21">
        <f t="shared" si="24"/>
        <v>0</v>
      </c>
      <c r="I10" s="21">
        <f t="shared" si="24"/>
        <v>0</v>
      </c>
      <c r="J10" s="21">
        <f t="shared" si="24"/>
        <v>0</v>
      </c>
      <c r="K10" s="21">
        <f t="shared" si="24"/>
        <v>0</v>
      </c>
      <c r="L10" s="21">
        <f t="shared" si="24"/>
        <v>0</v>
      </c>
      <c r="M10" s="21">
        <f t="shared" si="24"/>
        <v>0</v>
      </c>
      <c r="N10" s="21">
        <f t="shared" si="24"/>
        <v>0</v>
      </c>
      <c r="P10" s="20"/>
      <c r="Q10" s="20" t="s">
        <v>17</v>
      </c>
      <c r="R10" s="21">
        <f>SUM(R5:R9)</f>
        <v>60924341.75</v>
      </c>
      <c r="S10" s="21">
        <f t="shared" ref="S10:AC10" si="25">SUM(S5:S9)</f>
        <v>60924341.75</v>
      </c>
      <c r="T10" s="21">
        <f t="shared" si="25"/>
        <v>60924341.75</v>
      </c>
      <c r="U10" s="21">
        <f t="shared" si="25"/>
        <v>0</v>
      </c>
      <c r="V10" s="21">
        <f t="shared" si="25"/>
        <v>0</v>
      </c>
      <c r="W10" s="21">
        <f t="shared" si="25"/>
        <v>0</v>
      </c>
      <c r="X10" s="21">
        <f t="shared" si="25"/>
        <v>0</v>
      </c>
      <c r="Y10" s="21">
        <f t="shared" si="25"/>
        <v>0</v>
      </c>
      <c r="Z10" s="21">
        <f t="shared" si="25"/>
        <v>0</v>
      </c>
      <c r="AA10" s="21">
        <f t="shared" si="25"/>
        <v>0</v>
      </c>
      <c r="AB10" s="21">
        <f t="shared" si="25"/>
        <v>0</v>
      </c>
      <c r="AC10" s="21">
        <f t="shared" si="25"/>
        <v>0</v>
      </c>
      <c r="AE10" s="20"/>
      <c r="AF10" s="20" t="s">
        <v>17</v>
      </c>
      <c r="AG10" s="23">
        <f t="shared" si="0"/>
        <v>-9273000</v>
      </c>
      <c r="AH10" s="23">
        <f t="shared" si="1"/>
        <v>-17.953067017857286</v>
      </c>
      <c r="AI10" s="23">
        <f t="shared" si="2"/>
        <v>-9273000</v>
      </c>
      <c r="AJ10" s="23">
        <f t="shared" si="3"/>
        <v>-17.953067017857286</v>
      </c>
      <c r="AK10" s="23">
        <f t="shared" si="4"/>
        <v>-9273000</v>
      </c>
      <c r="AL10" s="23">
        <f t="shared" si="5"/>
        <v>-17.953067017857286</v>
      </c>
      <c r="AM10" s="23">
        <f t="shared" si="6"/>
        <v>0</v>
      </c>
      <c r="AN10" s="23" t="e">
        <f t="shared" si="7"/>
        <v>#DIV/0!</v>
      </c>
      <c r="AO10" s="23">
        <f t="shared" si="8"/>
        <v>0</v>
      </c>
      <c r="AP10" s="23" t="e">
        <f t="shared" si="9"/>
        <v>#DIV/0!</v>
      </c>
      <c r="AQ10" s="23">
        <f t="shared" si="10"/>
        <v>0</v>
      </c>
      <c r="AR10" s="23" t="e">
        <f t="shared" si="11"/>
        <v>#DIV/0!</v>
      </c>
      <c r="AS10" s="23">
        <f t="shared" si="12"/>
        <v>0</v>
      </c>
      <c r="AT10" s="23" t="e">
        <f t="shared" si="13"/>
        <v>#DIV/0!</v>
      </c>
      <c r="AU10" s="23">
        <f t="shared" si="14"/>
        <v>0</v>
      </c>
      <c r="AV10" s="23" t="e">
        <f t="shared" si="15"/>
        <v>#DIV/0!</v>
      </c>
      <c r="AW10" s="23">
        <f t="shared" si="16"/>
        <v>0</v>
      </c>
      <c r="AX10" s="23" t="e">
        <f t="shared" si="17"/>
        <v>#DIV/0!</v>
      </c>
      <c r="AY10" s="23">
        <f t="shared" si="18"/>
        <v>0</v>
      </c>
      <c r="AZ10" s="23" t="e">
        <f t="shared" si="19"/>
        <v>#DIV/0!</v>
      </c>
      <c r="BA10" s="23">
        <f t="shared" si="20"/>
        <v>0</v>
      </c>
      <c r="BB10" s="23" t="e">
        <f t="shared" si="21"/>
        <v>#DIV/0!</v>
      </c>
      <c r="BC10" s="23">
        <f t="shared" si="22"/>
        <v>0</v>
      </c>
      <c r="BD10" s="23" t="e">
        <f t="shared" si="23"/>
        <v>#DIV/0!</v>
      </c>
    </row>
    <row r="11" spans="1:56" ht="25.2" thickTop="1"/>
    <row r="12" spans="1:56">
      <c r="A12" s="37" t="s">
        <v>46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P12" s="37" t="s">
        <v>50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E12" s="37" t="s">
        <v>87</v>
      </c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</row>
    <row r="13" spans="1:56">
      <c r="A13" s="37" t="s">
        <v>1945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P13" s="37" t="s">
        <v>1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E13" s="37" t="s">
        <v>1</v>
      </c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</row>
    <row r="14" spans="1:56" s="15" customFormat="1">
      <c r="A14" s="35" t="s">
        <v>2</v>
      </c>
      <c r="B14" s="35" t="s">
        <v>3</v>
      </c>
      <c r="C14" s="38" t="s">
        <v>4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0"/>
      <c r="P14" s="35" t="s">
        <v>2</v>
      </c>
      <c r="Q14" s="35" t="s">
        <v>3</v>
      </c>
      <c r="R14" s="38" t="s">
        <v>5</v>
      </c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40"/>
      <c r="AE14" s="35" t="s">
        <v>2</v>
      </c>
      <c r="AF14" s="35" t="s">
        <v>3</v>
      </c>
      <c r="AG14" s="33">
        <v>25112</v>
      </c>
      <c r="AH14" s="34"/>
      <c r="AI14" s="33">
        <v>25143</v>
      </c>
      <c r="AJ14" s="34"/>
      <c r="AK14" s="33">
        <v>25173</v>
      </c>
      <c r="AL14" s="34"/>
      <c r="AM14" s="33">
        <v>25204</v>
      </c>
      <c r="AN14" s="34"/>
      <c r="AO14" s="33">
        <v>25235</v>
      </c>
      <c r="AP14" s="34"/>
      <c r="AQ14" s="33">
        <v>25263</v>
      </c>
      <c r="AR14" s="34"/>
      <c r="AS14" s="33">
        <v>25294</v>
      </c>
      <c r="AT14" s="34"/>
      <c r="AU14" s="33">
        <v>25324</v>
      </c>
      <c r="AV14" s="34"/>
      <c r="AW14" s="33">
        <v>25355</v>
      </c>
      <c r="AX14" s="34"/>
      <c r="AY14" s="33">
        <v>25385</v>
      </c>
      <c r="AZ14" s="34"/>
      <c r="BA14" s="33">
        <v>25416</v>
      </c>
      <c r="BB14" s="34"/>
      <c r="BC14" s="33">
        <v>25447</v>
      </c>
      <c r="BD14" s="34"/>
    </row>
    <row r="15" spans="1:56" s="15" customFormat="1">
      <c r="A15" s="36"/>
      <c r="B15" s="36"/>
      <c r="C15" s="16">
        <v>25112</v>
      </c>
      <c r="D15" s="16">
        <v>25143</v>
      </c>
      <c r="E15" s="16">
        <v>25173</v>
      </c>
      <c r="F15" s="16">
        <v>25204</v>
      </c>
      <c r="G15" s="16">
        <v>25235</v>
      </c>
      <c r="H15" s="16">
        <v>25263</v>
      </c>
      <c r="I15" s="16">
        <v>25294</v>
      </c>
      <c r="J15" s="16">
        <v>25324</v>
      </c>
      <c r="K15" s="16">
        <v>25355</v>
      </c>
      <c r="L15" s="16">
        <v>25385</v>
      </c>
      <c r="M15" s="16">
        <v>25416</v>
      </c>
      <c r="N15" s="16">
        <v>25447</v>
      </c>
      <c r="P15" s="36"/>
      <c r="Q15" s="36"/>
      <c r="R15" s="16">
        <v>25112</v>
      </c>
      <c r="S15" s="16">
        <v>25143</v>
      </c>
      <c r="T15" s="16">
        <v>25173</v>
      </c>
      <c r="U15" s="16">
        <v>25204</v>
      </c>
      <c r="V15" s="16">
        <v>25235</v>
      </c>
      <c r="W15" s="16">
        <v>25263</v>
      </c>
      <c r="X15" s="16">
        <v>25294</v>
      </c>
      <c r="Y15" s="16">
        <v>25324</v>
      </c>
      <c r="Z15" s="16">
        <v>25355</v>
      </c>
      <c r="AA15" s="16">
        <v>25385</v>
      </c>
      <c r="AB15" s="16">
        <v>25416</v>
      </c>
      <c r="AC15" s="16">
        <v>25447</v>
      </c>
      <c r="AE15" s="36"/>
      <c r="AF15" s="36"/>
      <c r="AG15" s="16" t="s">
        <v>85</v>
      </c>
      <c r="AH15" s="16" t="s">
        <v>86</v>
      </c>
      <c r="AI15" s="16" t="s">
        <v>85</v>
      </c>
      <c r="AJ15" s="16" t="s">
        <v>86</v>
      </c>
      <c r="AK15" s="16" t="s">
        <v>85</v>
      </c>
      <c r="AL15" s="16" t="s">
        <v>86</v>
      </c>
      <c r="AM15" s="16" t="s">
        <v>85</v>
      </c>
      <c r="AN15" s="16" t="s">
        <v>86</v>
      </c>
      <c r="AO15" s="16" t="s">
        <v>85</v>
      </c>
      <c r="AP15" s="16" t="s">
        <v>86</v>
      </c>
      <c r="AQ15" s="16" t="s">
        <v>85</v>
      </c>
      <c r="AR15" s="16" t="s">
        <v>86</v>
      </c>
      <c r="AS15" s="16" t="s">
        <v>85</v>
      </c>
      <c r="AT15" s="16" t="s">
        <v>86</v>
      </c>
      <c r="AU15" s="16" t="s">
        <v>85</v>
      </c>
      <c r="AV15" s="16" t="s">
        <v>86</v>
      </c>
      <c r="AW15" s="16" t="s">
        <v>85</v>
      </c>
      <c r="AX15" s="16" t="s">
        <v>86</v>
      </c>
      <c r="AY15" s="16" t="s">
        <v>85</v>
      </c>
      <c r="AZ15" s="16" t="s">
        <v>86</v>
      </c>
      <c r="BA15" s="16" t="s">
        <v>85</v>
      </c>
      <c r="BB15" s="16" t="s">
        <v>86</v>
      </c>
      <c r="BC15" s="16" t="s">
        <v>85</v>
      </c>
      <c r="BD15" s="16" t="s">
        <v>86</v>
      </c>
    </row>
    <row r="16" spans="1:56">
      <c r="A16" s="17"/>
      <c r="B16" s="18"/>
      <c r="C16" s="19"/>
      <c r="D16" s="19"/>
      <c r="E16" s="19"/>
      <c r="F16" s="19"/>
      <c r="G16" s="18"/>
      <c r="H16" s="18"/>
      <c r="I16" s="18"/>
      <c r="J16" s="18"/>
      <c r="K16" s="18"/>
      <c r="L16" s="18"/>
      <c r="M16" s="18"/>
      <c r="N16" s="18"/>
      <c r="P16" s="17"/>
      <c r="Q16" s="18"/>
      <c r="R16" s="19"/>
      <c r="S16" s="19"/>
      <c r="T16" s="19"/>
      <c r="U16" s="19"/>
      <c r="V16" s="18"/>
      <c r="W16" s="18"/>
      <c r="X16" s="18"/>
      <c r="Y16" s="18"/>
      <c r="Z16" s="18"/>
      <c r="AA16" s="18"/>
      <c r="AB16" s="18"/>
      <c r="AC16" s="18"/>
      <c r="AE16" s="17"/>
      <c r="AF16" s="18"/>
      <c r="AG16" s="19"/>
      <c r="AH16" s="19"/>
      <c r="AI16" s="19"/>
      <c r="AJ16" s="19"/>
      <c r="AK16" s="19"/>
      <c r="AL16" s="19"/>
      <c r="AM16" s="19"/>
      <c r="AN16" s="19"/>
      <c r="AO16" s="18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</row>
    <row r="17" spans="1:56">
      <c r="A17" s="17">
        <v>1</v>
      </c>
      <c r="B17" s="18" t="s">
        <v>10</v>
      </c>
      <c r="C17" s="19">
        <v>26005094.649999999</v>
      </c>
      <c r="D17" s="19">
        <v>26033007.059999999</v>
      </c>
      <c r="E17" s="19">
        <v>-26061849.890000001</v>
      </c>
      <c r="F17" s="19"/>
      <c r="G17" s="18"/>
      <c r="H17" s="18"/>
      <c r="I17" s="18"/>
      <c r="J17" s="18"/>
      <c r="K17" s="18"/>
      <c r="L17" s="18"/>
      <c r="M17" s="18"/>
      <c r="N17" s="18"/>
      <c r="P17" s="17">
        <v>1</v>
      </c>
      <c r="Q17" s="18" t="s">
        <v>10</v>
      </c>
      <c r="R17" s="19">
        <v>26040298.800000001</v>
      </c>
      <c r="S17" s="19">
        <v>26068601.600000001</v>
      </c>
      <c r="T17" s="19">
        <v>26096904.399999999</v>
      </c>
      <c r="U17" s="19"/>
      <c r="V17" s="18"/>
      <c r="W17" s="18"/>
      <c r="X17" s="18"/>
      <c r="Y17" s="18"/>
      <c r="Z17" s="18"/>
      <c r="AA17" s="18"/>
      <c r="AB17" s="18"/>
      <c r="AC17" s="18"/>
      <c r="AE17" s="17">
        <v>1</v>
      </c>
      <c r="AF17" s="18" t="s">
        <v>10</v>
      </c>
      <c r="AG17" s="19">
        <f t="shared" ref="AG17:AG21" si="26">+C17-R17</f>
        <v>-35204.150000002235</v>
      </c>
      <c r="AH17" s="19">
        <f t="shared" ref="AH17:AH21" si="27">+AG17/C17*100</f>
        <v>-0.13537405063819768</v>
      </c>
      <c r="AI17" s="19">
        <f t="shared" ref="AI17:AI21" si="28">+D17-S17</f>
        <v>-35594.540000002831</v>
      </c>
      <c r="AJ17" s="19">
        <f t="shared" ref="AJ17:AJ21" si="29">+AI17/D17*100</f>
        <v>-0.1367284997770935</v>
      </c>
      <c r="AK17" s="19">
        <f t="shared" ref="AK17:AK21" si="30">+E17-T17</f>
        <v>-52158754.289999999</v>
      </c>
      <c r="AL17" s="19">
        <f t="shared" ref="AL17:AL21" si="31">+AK17/E17*100</f>
        <v>200.13450507215703</v>
      </c>
      <c r="AM17" s="19">
        <f t="shared" ref="AM17:AM21" si="32">+F17-U17</f>
        <v>0</v>
      </c>
      <c r="AN17" s="19" t="e">
        <f t="shared" ref="AN17:AN21" si="33">+AM17/F17*100</f>
        <v>#DIV/0!</v>
      </c>
      <c r="AO17" s="19">
        <f t="shared" ref="AO17:AO21" si="34">+G17-V17</f>
        <v>0</v>
      </c>
      <c r="AP17" s="19" t="e">
        <f t="shared" ref="AP17:AP21" si="35">+AO17/G17*100</f>
        <v>#DIV/0!</v>
      </c>
      <c r="AQ17" s="19">
        <f t="shared" ref="AQ17:AQ21" si="36">+H17-W17</f>
        <v>0</v>
      </c>
      <c r="AR17" s="19" t="e">
        <f t="shared" ref="AR17:AR21" si="37">+AQ17/H17*100</f>
        <v>#DIV/0!</v>
      </c>
      <c r="AS17" s="19">
        <f t="shared" ref="AS17:AS21" si="38">+I17-X17</f>
        <v>0</v>
      </c>
      <c r="AT17" s="19" t="e">
        <f t="shared" ref="AT17:AT21" si="39">+AS17/I17*100</f>
        <v>#DIV/0!</v>
      </c>
      <c r="AU17" s="19">
        <f t="shared" ref="AU17:AU21" si="40">+J17-Y17</f>
        <v>0</v>
      </c>
      <c r="AV17" s="19" t="e">
        <f t="shared" ref="AV17:AV21" si="41">+AU17/J17*100</f>
        <v>#DIV/0!</v>
      </c>
      <c r="AW17" s="19">
        <f t="shared" ref="AW17:AW21" si="42">+K17-Z17</f>
        <v>0</v>
      </c>
      <c r="AX17" s="19" t="e">
        <f t="shared" ref="AX17:AX21" si="43">+AW17/K17*100</f>
        <v>#DIV/0!</v>
      </c>
      <c r="AY17" s="19">
        <f t="shared" ref="AY17:AY21" si="44">+L17-AA17</f>
        <v>0</v>
      </c>
      <c r="AZ17" s="19" t="e">
        <f t="shared" ref="AZ17:AZ21" si="45">+AY17/L17*100</f>
        <v>#DIV/0!</v>
      </c>
      <c r="BA17" s="19">
        <f t="shared" ref="BA17:BA21" si="46">+M17-AB17</f>
        <v>0</v>
      </c>
      <c r="BB17" s="19" t="e">
        <f t="shared" ref="BB17:BB21" si="47">+BA17/M17*100</f>
        <v>#DIV/0!</v>
      </c>
      <c r="BC17" s="19">
        <f t="shared" ref="BC17:BC21" si="48">+N17-AC17</f>
        <v>0</v>
      </c>
      <c r="BD17" s="19" t="e">
        <f t="shared" ref="BD17:BD21" si="49">+BC17/N17*100</f>
        <v>#DIV/0!</v>
      </c>
    </row>
    <row r="18" spans="1:56">
      <c r="A18" s="17">
        <v>2</v>
      </c>
      <c r="B18" s="18" t="s">
        <v>12</v>
      </c>
      <c r="C18" s="19">
        <v>14335553.859999999</v>
      </c>
      <c r="D18" s="19">
        <v>14361325.140000001</v>
      </c>
      <c r="E18" s="19">
        <v>-14387955.460000001</v>
      </c>
      <c r="F18" s="19"/>
      <c r="G18" s="18"/>
      <c r="H18" s="18"/>
      <c r="I18" s="18"/>
      <c r="J18" s="18"/>
      <c r="K18" s="18"/>
      <c r="L18" s="18"/>
      <c r="M18" s="18"/>
      <c r="N18" s="18"/>
      <c r="P18" s="17">
        <v>2</v>
      </c>
      <c r="Q18" s="18" t="s">
        <v>12</v>
      </c>
      <c r="R18" s="19">
        <v>18941543.670000002</v>
      </c>
      <c r="S18" s="19">
        <v>18998582.780000001</v>
      </c>
      <c r="T18" s="19">
        <v>19055621.890000001</v>
      </c>
      <c r="U18" s="19"/>
      <c r="V18" s="18"/>
      <c r="W18" s="18"/>
      <c r="X18" s="18"/>
      <c r="Y18" s="18"/>
      <c r="Z18" s="18"/>
      <c r="AA18" s="18"/>
      <c r="AB18" s="18"/>
      <c r="AC18" s="18"/>
      <c r="AE18" s="17">
        <v>2</v>
      </c>
      <c r="AF18" s="18" t="s">
        <v>12</v>
      </c>
      <c r="AG18" s="19">
        <f t="shared" si="26"/>
        <v>-4605989.8100000024</v>
      </c>
      <c r="AH18" s="19">
        <f t="shared" si="27"/>
        <v>-32.12983505891556</v>
      </c>
      <c r="AI18" s="19">
        <f t="shared" si="28"/>
        <v>-4637257.6400000006</v>
      </c>
      <c r="AJ18" s="19">
        <f t="shared" si="29"/>
        <v>-32.289900791146636</v>
      </c>
      <c r="AK18" s="19">
        <f t="shared" si="30"/>
        <v>-33443577.350000001</v>
      </c>
      <c r="AL18" s="19">
        <f t="shared" si="31"/>
        <v>232.44148512258462</v>
      </c>
      <c r="AM18" s="19">
        <f t="shared" si="32"/>
        <v>0</v>
      </c>
      <c r="AN18" s="19" t="e">
        <f t="shared" si="33"/>
        <v>#DIV/0!</v>
      </c>
      <c r="AO18" s="19">
        <f t="shared" si="34"/>
        <v>0</v>
      </c>
      <c r="AP18" s="19" t="e">
        <f t="shared" si="35"/>
        <v>#DIV/0!</v>
      </c>
      <c r="AQ18" s="19">
        <f t="shared" si="36"/>
        <v>0</v>
      </c>
      <c r="AR18" s="19" t="e">
        <f t="shared" si="37"/>
        <v>#DIV/0!</v>
      </c>
      <c r="AS18" s="19">
        <f t="shared" si="38"/>
        <v>0</v>
      </c>
      <c r="AT18" s="19" t="e">
        <f t="shared" si="39"/>
        <v>#DIV/0!</v>
      </c>
      <c r="AU18" s="19">
        <f t="shared" si="40"/>
        <v>0</v>
      </c>
      <c r="AV18" s="19" t="e">
        <f t="shared" si="41"/>
        <v>#DIV/0!</v>
      </c>
      <c r="AW18" s="19">
        <f t="shared" si="42"/>
        <v>0</v>
      </c>
      <c r="AX18" s="19" t="e">
        <f t="shared" si="43"/>
        <v>#DIV/0!</v>
      </c>
      <c r="AY18" s="19">
        <f t="shared" si="44"/>
        <v>0</v>
      </c>
      <c r="AZ18" s="19" t="e">
        <f t="shared" si="45"/>
        <v>#DIV/0!</v>
      </c>
      <c r="BA18" s="19">
        <f t="shared" si="46"/>
        <v>0</v>
      </c>
      <c r="BB18" s="19" t="e">
        <f t="shared" si="47"/>
        <v>#DIV/0!</v>
      </c>
      <c r="BC18" s="19">
        <f t="shared" si="48"/>
        <v>0</v>
      </c>
      <c r="BD18" s="19" t="e">
        <f t="shared" si="49"/>
        <v>#DIV/0!</v>
      </c>
    </row>
    <row r="19" spans="1:56">
      <c r="A19" s="17">
        <v>3</v>
      </c>
      <c r="B19" s="18" t="s">
        <v>14</v>
      </c>
      <c r="C19" s="19">
        <v>1683987.95</v>
      </c>
      <c r="D19" s="19">
        <v>1688112.82</v>
      </c>
      <c r="E19" s="19">
        <v>-1692375.19</v>
      </c>
      <c r="F19" s="19"/>
      <c r="G19" s="18"/>
      <c r="H19" s="18"/>
      <c r="I19" s="18"/>
      <c r="J19" s="18"/>
      <c r="K19" s="18"/>
      <c r="L19" s="18"/>
      <c r="M19" s="18"/>
      <c r="N19" s="18"/>
      <c r="P19" s="17">
        <v>3</v>
      </c>
      <c r="Q19" s="18" t="s">
        <v>14</v>
      </c>
      <c r="R19" s="19">
        <v>1683937.37</v>
      </c>
      <c r="S19" s="19">
        <v>1688120.05</v>
      </c>
      <c r="T19" s="19">
        <v>1692302.73</v>
      </c>
      <c r="U19" s="19"/>
      <c r="V19" s="18"/>
      <c r="W19" s="18"/>
      <c r="X19" s="18"/>
      <c r="Y19" s="18"/>
      <c r="Z19" s="18"/>
      <c r="AA19" s="18"/>
      <c r="AB19" s="18"/>
      <c r="AC19" s="18"/>
      <c r="AE19" s="17">
        <v>3</v>
      </c>
      <c r="AF19" s="18" t="s">
        <v>14</v>
      </c>
      <c r="AG19" s="19">
        <f t="shared" si="26"/>
        <v>50.579999999841675</v>
      </c>
      <c r="AH19" s="19">
        <f t="shared" si="27"/>
        <v>3.0035844377533506E-3</v>
      </c>
      <c r="AI19" s="19">
        <f t="shared" si="28"/>
        <v>-7.2299999999813735</v>
      </c>
      <c r="AJ19" s="19">
        <f t="shared" si="29"/>
        <v>-4.2828891021521736E-4</v>
      </c>
      <c r="AK19" s="19">
        <f t="shared" si="30"/>
        <v>-3384677.92</v>
      </c>
      <c r="AL19" s="19">
        <f t="shared" si="31"/>
        <v>199.99571844349714</v>
      </c>
      <c r="AM19" s="19">
        <f t="shared" si="32"/>
        <v>0</v>
      </c>
      <c r="AN19" s="19" t="e">
        <f t="shared" si="33"/>
        <v>#DIV/0!</v>
      </c>
      <c r="AO19" s="19">
        <f t="shared" si="34"/>
        <v>0</v>
      </c>
      <c r="AP19" s="19" t="e">
        <f t="shared" si="35"/>
        <v>#DIV/0!</v>
      </c>
      <c r="AQ19" s="19">
        <f t="shared" si="36"/>
        <v>0</v>
      </c>
      <c r="AR19" s="19" t="e">
        <f t="shared" si="37"/>
        <v>#DIV/0!</v>
      </c>
      <c r="AS19" s="19">
        <f t="shared" si="38"/>
        <v>0</v>
      </c>
      <c r="AT19" s="19" t="e">
        <f t="shared" si="39"/>
        <v>#DIV/0!</v>
      </c>
      <c r="AU19" s="19">
        <f t="shared" si="40"/>
        <v>0</v>
      </c>
      <c r="AV19" s="19" t="e">
        <f t="shared" si="41"/>
        <v>#DIV/0!</v>
      </c>
      <c r="AW19" s="19">
        <f t="shared" si="42"/>
        <v>0</v>
      </c>
      <c r="AX19" s="19" t="e">
        <f t="shared" si="43"/>
        <v>#DIV/0!</v>
      </c>
      <c r="AY19" s="19">
        <f t="shared" si="44"/>
        <v>0</v>
      </c>
      <c r="AZ19" s="19" t="e">
        <f t="shared" si="45"/>
        <v>#DIV/0!</v>
      </c>
      <c r="BA19" s="19">
        <f t="shared" si="46"/>
        <v>0</v>
      </c>
      <c r="BB19" s="19" t="e">
        <f t="shared" si="47"/>
        <v>#DIV/0!</v>
      </c>
      <c r="BC19" s="19">
        <f t="shared" si="48"/>
        <v>0</v>
      </c>
      <c r="BD19" s="19" t="e">
        <f t="shared" si="49"/>
        <v>#DIV/0!</v>
      </c>
    </row>
    <row r="20" spans="1:56">
      <c r="A20" s="17">
        <v>4</v>
      </c>
      <c r="B20" s="18" t="s">
        <v>16</v>
      </c>
      <c r="C20" s="19">
        <v>4544507.3</v>
      </c>
      <c r="D20" s="19">
        <v>4544507.3</v>
      </c>
      <c r="E20" s="19">
        <v>-4544507.3</v>
      </c>
      <c r="F20" s="19"/>
      <c r="G20" s="18"/>
      <c r="H20" s="18"/>
      <c r="I20" s="18"/>
      <c r="J20" s="18"/>
      <c r="K20" s="18"/>
      <c r="L20" s="18"/>
      <c r="M20" s="18"/>
      <c r="N20" s="18"/>
      <c r="P20" s="17">
        <v>4</v>
      </c>
      <c r="Q20" s="18" t="s">
        <v>16</v>
      </c>
      <c r="R20" s="19">
        <v>4544507.3</v>
      </c>
      <c r="S20" s="19">
        <v>4544507.3</v>
      </c>
      <c r="T20" s="19">
        <v>4544507.3</v>
      </c>
      <c r="U20" s="19"/>
      <c r="V20" s="18"/>
      <c r="W20" s="18"/>
      <c r="X20" s="18"/>
      <c r="Y20" s="18"/>
      <c r="Z20" s="18"/>
      <c r="AA20" s="18"/>
      <c r="AB20" s="18"/>
      <c r="AC20" s="18"/>
      <c r="AE20" s="17">
        <v>4</v>
      </c>
      <c r="AF20" s="18" t="s">
        <v>16</v>
      </c>
      <c r="AG20" s="19">
        <f t="shared" si="26"/>
        <v>0</v>
      </c>
      <c r="AH20" s="19">
        <f t="shared" si="27"/>
        <v>0</v>
      </c>
      <c r="AI20" s="19">
        <f t="shared" si="28"/>
        <v>0</v>
      </c>
      <c r="AJ20" s="19">
        <f t="shared" si="29"/>
        <v>0</v>
      </c>
      <c r="AK20" s="19">
        <f t="shared" si="30"/>
        <v>-9089014.5999999996</v>
      </c>
      <c r="AL20" s="19">
        <f t="shared" si="31"/>
        <v>200</v>
      </c>
      <c r="AM20" s="19">
        <f t="shared" si="32"/>
        <v>0</v>
      </c>
      <c r="AN20" s="19" t="e">
        <f t="shared" si="33"/>
        <v>#DIV/0!</v>
      </c>
      <c r="AO20" s="19">
        <f t="shared" si="34"/>
        <v>0</v>
      </c>
      <c r="AP20" s="19" t="e">
        <f t="shared" si="35"/>
        <v>#DIV/0!</v>
      </c>
      <c r="AQ20" s="19">
        <f t="shared" si="36"/>
        <v>0</v>
      </c>
      <c r="AR20" s="19" t="e">
        <f t="shared" si="37"/>
        <v>#DIV/0!</v>
      </c>
      <c r="AS20" s="19">
        <f t="shared" si="38"/>
        <v>0</v>
      </c>
      <c r="AT20" s="19" t="e">
        <f t="shared" si="39"/>
        <v>#DIV/0!</v>
      </c>
      <c r="AU20" s="19">
        <f t="shared" si="40"/>
        <v>0</v>
      </c>
      <c r="AV20" s="19" t="e">
        <f t="shared" si="41"/>
        <v>#DIV/0!</v>
      </c>
      <c r="AW20" s="19">
        <f t="shared" si="42"/>
        <v>0</v>
      </c>
      <c r="AX20" s="19" t="e">
        <f t="shared" si="43"/>
        <v>#DIV/0!</v>
      </c>
      <c r="AY20" s="19">
        <f t="shared" si="44"/>
        <v>0</v>
      </c>
      <c r="AZ20" s="19" t="e">
        <f t="shared" si="45"/>
        <v>#DIV/0!</v>
      </c>
      <c r="BA20" s="19">
        <f t="shared" si="46"/>
        <v>0</v>
      </c>
      <c r="BB20" s="19" t="e">
        <f t="shared" si="47"/>
        <v>#DIV/0!</v>
      </c>
      <c r="BC20" s="19">
        <f t="shared" si="48"/>
        <v>0</v>
      </c>
      <c r="BD20" s="19" t="e">
        <f t="shared" si="49"/>
        <v>#DIV/0!</v>
      </c>
    </row>
    <row r="21" spans="1:56" ht="25.2" thickBot="1">
      <c r="A21" s="20"/>
      <c r="B21" s="20" t="s">
        <v>17</v>
      </c>
      <c r="C21" s="21">
        <f>SUM(C16:C20)</f>
        <v>46569143.759999998</v>
      </c>
      <c r="D21" s="21">
        <f t="shared" ref="D21:N21" si="50">SUM(D16:D20)</f>
        <v>46626952.32</v>
      </c>
      <c r="E21" s="21">
        <f t="shared" si="50"/>
        <v>-46686687.839999996</v>
      </c>
      <c r="F21" s="21">
        <f t="shared" si="50"/>
        <v>0</v>
      </c>
      <c r="G21" s="21">
        <f t="shared" si="50"/>
        <v>0</v>
      </c>
      <c r="H21" s="21">
        <f t="shared" si="50"/>
        <v>0</v>
      </c>
      <c r="I21" s="21">
        <f t="shared" si="50"/>
        <v>0</v>
      </c>
      <c r="J21" s="21">
        <f t="shared" si="50"/>
        <v>0</v>
      </c>
      <c r="K21" s="21">
        <f t="shared" si="50"/>
        <v>0</v>
      </c>
      <c r="L21" s="21">
        <f t="shared" si="50"/>
        <v>0</v>
      </c>
      <c r="M21" s="21">
        <f t="shared" si="50"/>
        <v>0</v>
      </c>
      <c r="N21" s="21">
        <f t="shared" si="50"/>
        <v>0</v>
      </c>
      <c r="P21" s="20"/>
      <c r="Q21" s="20" t="s">
        <v>17</v>
      </c>
      <c r="R21" s="21">
        <f>SUM(R16:R20)</f>
        <v>51210287.139999993</v>
      </c>
      <c r="S21" s="21">
        <f t="shared" ref="S21:AC21" si="51">SUM(S16:S20)</f>
        <v>51299811.729999997</v>
      </c>
      <c r="T21" s="21">
        <f t="shared" si="51"/>
        <v>51389336.319999993</v>
      </c>
      <c r="U21" s="21">
        <f t="shared" si="51"/>
        <v>0</v>
      </c>
      <c r="V21" s="21">
        <f t="shared" si="51"/>
        <v>0</v>
      </c>
      <c r="W21" s="21">
        <f t="shared" si="51"/>
        <v>0</v>
      </c>
      <c r="X21" s="21">
        <f t="shared" si="51"/>
        <v>0</v>
      </c>
      <c r="Y21" s="21">
        <f t="shared" si="51"/>
        <v>0</v>
      </c>
      <c r="Z21" s="21">
        <f t="shared" si="51"/>
        <v>0</v>
      </c>
      <c r="AA21" s="21">
        <f t="shared" si="51"/>
        <v>0</v>
      </c>
      <c r="AB21" s="21">
        <f t="shared" si="51"/>
        <v>0</v>
      </c>
      <c r="AC21" s="21">
        <f t="shared" si="51"/>
        <v>0</v>
      </c>
      <c r="AE21" s="20"/>
      <c r="AF21" s="20" t="s">
        <v>17</v>
      </c>
      <c r="AG21" s="23">
        <f t="shared" si="26"/>
        <v>-4641143.3799999952</v>
      </c>
      <c r="AH21" s="23">
        <f t="shared" si="27"/>
        <v>-9.9661342366926853</v>
      </c>
      <c r="AI21" s="23">
        <f t="shared" si="28"/>
        <v>-4672859.4099999964</v>
      </c>
      <c r="AJ21" s="23">
        <f t="shared" si="29"/>
        <v>-10.02179893279372</v>
      </c>
      <c r="AK21" s="23">
        <f t="shared" si="30"/>
        <v>-98076024.159999996</v>
      </c>
      <c r="AL21" s="23">
        <f t="shared" si="31"/>
        <v>210.0727824088024</v>
      </c>
      <c r="AM21" s="23">
        <f t="shared" si="32"/>
        <v>0</v>
      </c>
      <c r="AN21" s="23" t="e">
        <f t="shared" si="33"/>
        <v>#DIV/0!</v>
      </c>
      <c r="AO21" s="23">
        <f t="shared" si="34"/>
        <v>0</v>
      </c>
      <c r="AP21" s="23" t="e">
        <f t="shared" si="35"/>
        <v>#DIV/0!</v>
      </c>
      <c r="AQ21" s="23">
        <f t="shared" si="36"/>
        <v>0</v>
      </c>
      <c r="AR21" s="23" t="e">
        <f t="shared" si="37"/>
        <v>#DIV/0!</v>
      </c>
      <c r="AS21" s="23">
        <f t="shared" si="38"/>
        <v>0</v>
      </c>
      <c r="AT21" s="23" t="e">
        <f t="shared" si="39"/>
        <v>#DIV/0!</v>
      </c>
      <c r="AU21" s="23">
        <f t="shared" si="40"/>
        <v>0</v>
      </c>
      <c r="AV21" s="23" t="e">
        <f t="shared" si="41"/>
        <v>#DIV/0!</v>
      </c>
      <c r="AW21" s="23">
        <f t="shared" si="42"/>
        <v>0</v>
      </c>
      <c r="AX21" s="23" t="e">
        <f t="shared" si="43"/>
        <v>#DIV/0!</v>
      </c>
      <c r="AY21" s="23">
        <f t="shared" si="44"/>
        <v>0</v>
      </c>
      <c r="AZ21" s="23" t="e">
        <f t="shared" si="45"/>
        <v>#DIV/0!</v>
      </c>
      <c r="BA21" s="23">
        <f t="shared" si="46"/>
        <v>0</v>
      </c>
      <c r="BB21" s="23" t="e">
        <f t="shared" si="47"/>
        <v>#DIV/0!</v>
      </c>
      <c r="BC21" s="23">
        <f t="shared" si="48"/>
        <v>0</v>
      </c>
      <c r="BD21" s="23" t="e">
        <f t="shared" si="49"/>
        <v>#DIV/0!</v>
      </c>
    </row>
    <row r="22" spans="1:56" ht="25.2" thickTop="1"/>
    <row r="23" spans="1:56">
      <c r="A23" s="37" t="s">
        <v>47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P23" s="37" t="s">
        <v>51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E23" s="37" t="s">
        <v>88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</row>
    <row r="24" spans="1:56">
      <c r="A24" s="37" t="s">
        <v>1945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P24" s="37" t="s">
        <v>1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E24" s="37" t="s">
        <v>1</v>
      </c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</row>
    <row r="25" spans="1:56" s="25" customFormat="1">
      <c r="A25" s="35" t="s">
        <v>2</v>
      </c>
      <c r="B25" s="35" t="s">
        <v>3</v>
      </c>
      <c r="C25" s="38" t="s">
        <v>4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P25" s="35" t="s">
        <v>2</v>
      </c>
      <c r="Q25" s="35" t="s">
        <v>3</v>
      </c>
      <c r="R25" s="38" t="s">
        <v>5</v>
      </c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/>
      <c r="AE25" s="35" t="s">
        <v>2</v>
      </c>
      <c r="AF25" s="35" t="s">
        <v>3</v>
      </c>
      <c r="AG25" s="33">
        <v>25112</v>
      </c>
      <c r="AH25" s="34"/>
      <c r="AI25" s="33">
        <v>25143</v>
      </c>
      <c r="AJ25" s="34"/>
      <c r="AK25" s="33">
        <v>25173</v>
      </c>
      <c r="AL25" s="34"/>
      <c r="AM25" s="33">
        <v>25204</v>
      </c>
      <c r="AN25" s="34"/>
      <c r="AO25" s="33">
        <v>25235</v>
      </c>
      <c r="AP25" s="34"/>
      <c r="AQ25" s="33">
        <v>25263</v>
      </c>
      <c r="AR25" s="34"/>
      <c r="AS25" s="33">
        <v>25294</v>
      </c>
      <c r="AT25" s="34"/>
      <c r="AU25" s="33">
        <v>25324</v>
      </c>
      <c r="AV25" s="34"/>
      <c r="AW25" s="33">
        <v>25355</v>
      </c>
      <c r="AX25" s="34"/>
      <c r="AY25" s="33">
        <v>25385</v>
      </c>
      <c r="AZ25" s="34"/>
      <c r="BA25" s="33">
        <v>25416</v>
      </c>
      <c r="BB25" s="34"/>
      <c r="BC25" s="33">
        <v>25447</v>
      </c>
      <c r="BD25" s="34"/>
    </row>
    <row r="26" spans="1:56" s="25" customFormat="1">
      <c r="A26" s="36"/>
      <c r="B26" s="36"/>
      <c r="C26" s="16">
        <v>25112</v>
      </c>
      <c r="D26" s="16">
        <v>25143</v>
      </c>
      <c r="E26" s="16">
        <v>25173</v>
      </c>
      <c r="F26" s="16">
        <v>25204</v>
      </c>
      <c r="G26" s="16">
        <v>25235</v>
      </c>
      <c r="H26" s="16">
        <v>25263</v>
      </c>
      <c r="I26" s="16">
        <v>25294</v>
      </c>
      <c r="J26" s="16">
        <v>25324</v>
      </c>
      <c r="K26" s="16">
        <v>25355</v>
      </c>
      <c r="L26" s="16">
        <v>25385</v>
      </c>
      <c r="M26" s="16">
        <v>25416</v>
      </c>
      <c r="N26" s="16">
        <v>25447</v>
      </c>
      <c r="P26" s="36"/>
      <c r="Q26" s="36"/>
      <c r="R26" s="16">
        <v>25112</v>
      </c>
      <c r="S26" s="16">
        <v>25143</v>
      </c>
      <c r="T26" s="16">
        <v>25173</v>
      </c>
      <c r="U26" s="16">
        <v>25204</v>
      </c>
      <c r="V26" s="16">
        <v>25235</v>
      </c>
      <c r="W26" s="16">
        <v>25263</v>
      </c>
      <c r="X26" s="16">
        <v>25294</v>
      </c>
      <c r="Y26" s="16">
        <v>25324</v>
      </c>
      <c r="Z26" s="16">
        <v>25355</v>
      </c>
      <c r="AA26" s="16">
        <v>25385</v>
      </c>
      <c r="AB26" s="16">
        <v>25416</v>
      </c>
      <c r="AC26" s="16">
        <v>25447</v>
      </c>
      <c r="AE26" s="36"/>
      <c r="AF26" s="36"/>
      <c r="AG26" s="16" t="s">
        <v>85</v>
      </c>
      <c r="AH26" s="16" t="s">
        <v>86</v>
      </c>
      <c r="AI26" s="16" t="s">
        <v>85</v>
      </c>
      <c r="AJ26" s="16" t="s">
        <v>86</v>
      </c>
      <c r="AK26" s="16" t="s">
        <v>85</v>
      </c>
      <c r="AL26" s="16" t="s">
        <v>86</v>
      </c>
      <c r="AM26" s="16" t="s">
        <v>85</v>
      </c>
      <c r="AN26" s="16" t="s">
        <v>86</v>
      </c>
      <c r="AO26" s="16" t="s">
        <v>85</v>
      </c>
      <c r="AP26" s="16" t="s">
        <v>86</v>
      </c>
      <c r="AQ26" s="16" t="s">
        <v>85</v>
      </c>
      <c r="AR26" s="16" t="s">
        <v>86</v>
      </c>
      <c r="AS26" s="16" t="s">
        <v>85</v>
      </c>
      <c r="AT26" s="16" t="s">
        <v>86</v>
      </c>
      <c r="AU26" s="16" t="s">
        <v>85</v>
      </c>
      <c r="AV26" s="16" t="s">
        <v>86</v>
      </c>
      <c r="AW26" s="16" t="s">
        <v>85</v>
      </c>
      <c r="AX26" s="16" t="s">
        <v>86</v>
      </c>
      <c r="AY26" s="16" t="s">
        <v>85</v>
      </c>
      <c r="AZ26" s="16" t="s">
        <v>86</v>
      </c>
      <c r="BA26" s="16" t="s">
        <v>85</v>
      </c>
      <c r="BB26" s="16" t="s">
        <v>86</v>
      </c>
      <c r="BC26" s="16" t="s">
        <v>85</v>
      </c>
      <c r="BD26" s="16" t="s">
        <v>86</v>
      </c>
    </row>
    <row r="27" spans="1:56">
      <c r="A27" s="17">
        <v>1</v>
      </c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>
        <v>104270</v>
      </c>
      <c r="M27" s="19"/>
      <c r="N27" s="19"/>
      <c r="O27" s="26"/>
      <c r="P27" s="17">
        <v>1</v>
      </c>
      <c r="Q27" s="18" t="s">
        <v>18</v>
      </c>
      <c r="R27" s="19"/>
      <c r="S27" s="19"/>
      <c r="T27" s="19"/>
      <c r="U27" s="19"/>
      <c r="V27" s="19"/>
      <c r="W27" s="19"/>
      <c r="X27" s="19"/>
      <c r="Y27" s="19"/>
      <c r="Z27" s="19"/>
      <c r="AA27" s="19">
        <v>104270</v>
      </c>
      <c r="AB27" s="19"/>
      <c r="AC27" s="19"/>
      <c r="AE27" s="17">
        <v>1</v>
      </c>
      <c r="AF27" s="18" t="s">
        <v>18</v>
      </c>
      <c r="AG27" s="19">
        <f t="shared" ref="AG27:AG41" si="52">+C27-R27</f>
        <v>0</v>
      </c>
      <c r="AH27" s="19" t="e">
        <f t="shared" ref="AH27:AH41" si="53">+AG27/C27*100</f>
        <v>#DIV/0!</v>
      </c>
      <c r="AI27" s="19">
        <f t="shared" ref="AI27:AI41" si="54">+D27-S27</f>
        <v>0</v>
      </c>
      <c r="AJ27" s="19" t="e">
        <f t="shared" ref="AJ27:AJ41" si="55">+AI27/D27*100</f>
        <v>#DIV/0!</v>
      </c>
      <c r="AK27" s="19">
        <f t="shared" ref="AK27:AK41" si="56">+E27-T27</f>
        <v>0</v>
      </c>
      <c r="AL27" s="19" t="e">
        <f t="shared" ref="AL27:AL41" si="57">+AK27/E27*100</f>
        <v>#DIV/0!</v>
      </c>
      <c r="AM27" s="19">
        <f t="shared" ref="AM27:AM41" si="58">+F27-U27</f>
        <v>0</v>
      </c>
      <c r="AN27" s="19" t="e">
        <f t="shared" ref="AN27:AN41" si="59">+AM27/F27*100</f>
        <v>#DIV/0!</v>
      </c>
      <c r="AO27" s="19">
        <f t="shared" ref="AO27:AO41" si="60">+G27-V27</f>
        <v>0</v>
      </c>
      <c r="AP27" s="19" t="e">
        <f t="shared" ref="AP27:AP41" si="61">+AO27/G27*100</f>
        <v>#DIV/0!</v>
      </c>
      <c r="AQ27" s="19">
        <f t="shared" ref="AQ27:AQ41" si="62">+H27-W27</f>
        <v>0</v>
      </c>
      <c r="AR27" s="19" t="e">
        <f t="shared" ref="AR27:AR41" si="63">+AQ27/H27*100</f>
        <v>#DIV/0!</v>
      </c>
      <c r="AS27" s="19">
        <f t="shared" ref="AS27:AS41" si="64">+I27-X27</f>
        <v>0</v>
      </c>
      <c r="AT27" s="19" t="e">
        <f t="shared" ref="AT27:AT41" si="65">+AS27/I27*100</f>
        <v>#DIV/0!</v>
      </c>
      <c r="AU27" s="19">
        <f t="shared" ref="AU27:AU41" si="66">+J27-Y27</f>
        <v>0</v>
      </c>
      <c r="AV27" s="19" t="e">
        <f t="shared" ref="AV27:AV41" si="67">+AU27/J27*100</f>
        <v>#DIV/0!</v>
      </c>
      <c r="AW27" s="19">
        <f t="shared" ref="AW27:AW41" si="68">+K27-Z27</f>
        <v>0</v>
      </c>
      <c r="AX27" s="19" t="e">
        <f t="shared" ref="AX27:AX41" si="69">+AW27/K27*100</f>
        <v>#DIV/0!</v>
      </c>
      <c r="AY27" s="19">
        <f t="shared" ref="AY27:AY41" si="70">+L27-AA27</f>
        <v>0</v>
      </c>
      <c r="AZ27" s="19">
        <f t="shared" ref="AZ27:AZ41" si="71">+AY27/L27*100</f>
        <v>0</v>
      </c>
      <c r="BA27" s="19">
        <f t="shared" ref="BA27:BA41" si="72">+M27-AB27</f>
        <v>0</v>
      </c>
      <c r="BB27" s="19" t="e">
        <f t="shared" ref="BB27:BB41" si="73">+BA27/M27*100</f>
        <v>#DIV/0!</v>
      </c>
      <c r="BC27" s="19">
        <f t="shared" ref="BC27:BC41" si="74">+N27-AC27</f>
        <v>0</v>
      </c>
      <c r="BD27" s="19" t="e">
        <f t="shared" ref="BD27:BD41" si="75">+BC27/N27*100</f>
        <v>#DIV/0!</v>
      </c>
    </row>
    <row r="28" spans="1:56">
      <c r="A28" s="17">
        <v>2</v>
      </c>
      <c r="B28" s="18" t="s">
        <v>20</v>
      </c>
      <c r="C28" s="19">
        <v>1999830</v>
      </c>
      <c r="D28" s="19">
        <v>1999830</v>
      </c>
      <c r="E28" s="19">
        <v>1999830</v>
      </c>
      <c r="F28" s="19"/>
      <c r="G28" s="19"/>
      <c r="H28" s="19"/>
      <c r="I28" s="19"/>
      <c r="J28" s="19"/>
      <c r="K28" s="19"/>
      <c r="L28" s="19">
        <v>1645000</v>
      </c>
      <c r="M28" s="19"/>
      <c r="N28" s="19"/>
      <c r="O28" s="26"/>
      <c r="P28" s="17">
        <v>2</v>
      </c>
      <c r="Q28" s="18" t="s">
        <v>20</v>
      </c>
      <c r="R28" s="19">
        <v>9018570</v>
      </c>
      <c r="S28" s="19">
        <v>9018570</v>
      </c>
      <c r="T28" s="19">
        <v>9018570</v>
      </c>
      <c r="U28" s="19"/>
      <c r="V28" s="19"/>
      <c r="W28" s="19"/>
      <c r="X28" s="19"/>
      <c r="Y28" s="19"/>
      <c r="Z28" s="19"/>
      <c r="AA28" s="19">
        <v>1645000</v>
      </c>
      <c r="AB28" s="19"/>
      <c r="AC28" s="19"/>
      <c r="AE28" s="17">
        <v>2</v>
      </c>
      <c r="AF28" s="18" t="s">
        <v>20</v>
      </c>
      <c r="AG28" s="19">
        <f t="shared" si="52"/>
        <v>-7018740</v>
      </c>
      <c r="AH28" s="19">
        <f t="shared" si="53"/>
        <v>-350.96683218073537</v>
      </c>
      <c r="AI28" s="19">
        <f t="shared" si="54"/>
        <v>-7018740</v>
      </c>
      <c r="AJ28" s="19">
        <f t="shared" si="55"/>
        <v>-350.96683218073537</v>
      </c>
      <c r="AK28" s="19">
        <f t="shared" si="56"/>
        <v>-7018740</v>
      </c>
      <c r="AL28" s="19">
        <f t="shared" si="57"/>
        <v>-350.96683218073537</v>
      </c>
      <c r="AM28" s="19">
        <f t="shared" si="58"/>
        <v>0</v>
      </c>
      <c r="AN28" s="19" t="e">
        <f t="shared" si="59"/>
        <v>#DIV/0!</v>
      </c>
      <c r="AO28" s="19">
        <f t="shared" si="60"/>
        <v>0</v>
      </c>
      <c r="AP28" s="19" t="e">
        <f t="shared" si="61"/>
        <v>#DIV/0!</v>
      </c>
      <c r="AQ28" s="19">
        <f t="shared" si="62"/>
        <v>0</v>
      </c>
      <c r="AR28" s="19" t="e">
        <f t="shared" si="63"/>
        <v>#DIV/0!</v>
      </c>
      <c r="AS28" s="19">
        <f t="shared" si="64"/>
        <v>0</v>
      </c>
      <c r="AT28" s="19" t="e">
        <f t="shared" si="65"/>
        <v>#DIV/0!</v>
      </c>
      <c r="AU28" s="19">
        <f t="shared" si="66"/>
        <v>0</v>
      </c>
      <c r="AV28" s="19" t="e">
        <f t="shared" si="67"/>
        <v>#DIV/0!</v>
      </c>
      <c r="AW28" s="19">
        <f t="shared" si="68"/>
        <v>0</v>
      </c>
      <c r="AX28" s="19" t="e">
        <f t="shared" si="69"/>
        <v>#DIV/0!</v>
      </c>
      <c r="AY28" s="19">
        <f t="shared" si="70"/>
        <v>0</v>
      </c>
      <c r="AZ28" s="19">
        <f t="shared" si="71"/>
        <v>0</v>
      </c>
      <c r="BA28" s="19">
        <f t="shared" si="72"/>
        <v>0</v>
      </c>
      <c r="BB28" s="19" t="e">
        <f t="shared" si="73"/>
        <v>#DIV/0!</v>
      </c>
      <c r="BC28" s="19">
        <f t="shared" si="74"/>
        <v>0</v>
      </c>
      <c r="BD28" s="19" t="e">
        <f t="shared" si="75"/>
        <v>#DIV/0!</v>
      </c>
    </row>
    <row r="29" spans="1:56">
      <c r="A29" s="17">
        <v>3</v>
      </c>
      <c r="B29" s="18" t="s">
        <v>22</v>
      </c>
      <c r="C29" s="19"/>
      <c r="D29" s="19"/>
      <c r="E29" s="19"/>
      <c r="F29" s="19"/>
      <c r="G29" s="19"/>
      <c r="H29" s="19"/>
      <c r="I29" s="19"/>
      <c r="J29" s="19"/>
      <c r="K29" s="19"/>
      <c r="L29" s="19">
        <v>745000</v>
      </c>
      <c r="M29" s="19"/>
      <c r="N29" s="19"/>
      <c r="O29" s="26"/>
      <c r="P29" s="17">
        <v>3</v>
      </c>
      <c r="Q29" s="18" t="s">
        <v>22</v>
      </c>
      <c r="R29" s="19"/>
      <c r="S29" s="19"/>
      <c r="T29" s="19"/>
      <c r="U29" s="19"/>
      <c r="V29" s="19"/>
      <c r="W29" s="19"/>
      <c r="X29" s="19"/>
      <c r="Y29" s="19"/>
      <c r="Z29" s="19"/>
      <c r="AA29" s="19">
        <v>745000</v>
      </c>
      <c r="AB29" s="19"/>
      <c r="AC29" s="19"/>
      <c r="AE29" s="17">
        <v>3</v>
      </c>
      <c r="AF29" s="18" t="s">
        <v>22</v>
      </c>
      <c r="AG29" s="19">
        <f t="shared" si="52"/>
        <v>0</v>
      </c>
      <c r="AH29" s="19" t="e">
        <f t="shared" si="53"/>
        <v>#DIV/0!</v>
      </c>
      <c r="AI29" s="19">
        <f t="shared" si="54"/>
        <v>0</v>
      </c>
      <c r="AJ29" s="19" t="e">
        <f t="shared" si="55"/>
        <v>#DIV/0!</v>
      </c>
      <c r="AK29" s="19">
        <f t="shared" si="56"/>
        <v>0</v>
      </c>
      <c r="AL29" s="19" t="e">
        <f t="shared" si="57"/>
        <v>#DIV/0!</v>
      </c>
      <c r="AM29" s="19">
        <f t="shared" si="58"/>
        <v>0</v>
      </c>
      <c r="AN29" s="19" t="e">
        <f t="shared" si="59"/>
        <v>#DIV/0!</v>
      </c>
      <c r="AO29" s="19">
        <f t="shared" si="60"/>
        <v>0</v>
      </c>
      <c r="AP29" s="19" t="e">
        <f t="shared" si="61"/>
        <v>#DIV/0!</v>
      </c>
      <c r="AQ29" s="19">
        <f t="shared" si="62"/>
        <v>0</v>
      </c>
      <c r="AR29" s="19" t="e">
        <f t="shared" si="63"/>
        <v>#DIV/0!</v>
      </c>
      <c r="AS29" s="19">
        <f t="shared" si="64"/>
        <v>0</v>
      </c>
      <c r="AT29" s="19" t="e">
        <f t="shared" si="65"/>
        <v>#DIV/0!</v>
      </c>
      <c r="AU29" s="19">
        <f t="shared" si="66"/>
        <v>0</v>
      </c>
      <c r="AV29" s="19" t="e">
        <f t="shared" si="67"/>
        <v>#DIV/0!</v>
      </c>
      <c r="AW29" s="19">
        <f t="shared" si="68"/>
        <v>0</v>
      </c>
      <c r="AX29" s="19" t="e">
        <f t="shared" si="69"/>
        <v>#DIV/0!</v>
      </c>
      <c r="AY29" s="19">
        <f t="shared" si="70"/>
        <v>0</v>
      </c>
      <c r="AZ29" s="19">
        <f t="shared" si="71"/>
        <v>0</v>
      </c>
      <c r="BA29" s="19">
        <f t="shared" si="72"/>
        <v>0</v>
      </c>
      <c r="BB29" s="19" t="e">
        <f t="shared" si="73"/>
        <v>#DIV/0!</v>
      </c>
      <c r="BC29" s="19">
        <f t="shared" si="74"/>
        <v>0</v>
      </c>
      <c r="BD29" s="19" t="e">
        <f t="shared" si="75"/>
        <v>#DIV/0!</v>
      </c>
    </row>
    <row r="30" spans="1:56">
      <c r="A30" s="17">
        <v>4</v>
      </c>
      <c r="B30" s="18" t="s">
        <v>24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6"/>
      <c r="P30" s="17">
        <v>4</v>
      </c>
      <c r="Q30" s="18" t="s">
        <v>24</v>
      </c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E30" s="17">
        <v>4</v>
      </c>
      <c r="AF30" s="18" t="s">
        <v>24</v>
      </c>
      <c r="AG30" s="19">
        <f t="shared" si="52"/>
        <v>0</v>
      </c>
      <c r="AH30" s="19" t="e">
        <f t="shared" si="53"/>
        <v>#DIV/0!</v>
      </c>
      <c r="AI30" s="19">
        <f t="shared" si="54"/>
        <v>0</v>
      </c>
      <c r="AJ30" s="19" t="e">
        <f t="shared" si="55"/>
        <v>#DIV/0!</v>
      </c>
      <c r="AK30" s="19">
        <f t="shared" si="56"/>
        <v>0</v>
      </c>
      <c r="AL30" s="19" t="e">
        <f t="shared" si="57"/>
        <v>#DIV/0!</v>
      </c>
      <c r="AM30" s="19">
        <f t="shared" si="58"/>
        <v>0</v>
      </c>
      <c r="AN30" s="19" t="e">
        <f t="shared" si="59"/>
        <v>#DIV/0!</v>
      </c>
      <c r="AO30" s="19">
        <f t="shared" si="60"/>
        <v>0</v>
      </c>
      <c r="AP30" s="19" t="e">
        <f t="shared" si="61"/>
        <v>#DIV/0!</v>
      </c>
      <c r="AQ30" s="19">
        <f t="shared" si="62"/>
        <v>0</v>
      </c>
      <c r="AR30" s="19" t="e">
        <f t="shared" si="63"/>
        <v>#DIV/0!</v>
      </c>
      <c r="AS30" s="19">
        <f t="shared" si="64"/>
        <v>0</v>
      </c>
      <c r="AT30" s="19" t="e">
        <f t="shared" si="65"/>
        <v>#DIV/0!</v>
      </c>
      <c r="AU30" s="19">
        <f t="shared" si="66"/>
        <v>0</v>
      </c>
      <c r="AV30" s="19" t="e">
        <f t="shared" si="67"/>
        <v>#DIV/0!</v>
      </c>
      <c r="AW30" s="19">
        <f t="shared" si="68"/>
        <v>0</v>
      </c>
      <c r="AX30" s="19" t="e">
        <f t="shared" si="69"/>
        <v>#DIV/0!</v>
      </c>
      <c r="AY30" s="19">
        <f t="shared" si="70"/>
        <v>0</v>
      </c>
      <c r="AZ30" s="19" t="e">
        <f t="shared" si="71"/>
        <v>#DIV/0!</v>
      </c>
      <c r="BA30" s="19">
        <f t="shared" si="72"/>
        <v>0</v>
      </c>
      <c r="BB30" s="19" t="e">
        <f t="shared" si="73"/>
        <v>#DIV/0!</v>
      </c>
      <c r="BC30" s="19">
        <f t="shared" si="74"/>
        <v>0</v>
      </c>
      <c r="BD30" s="19" t="e">
        <f t="shared" si="75"/>
        <v>#DIV/0!</v>
      </c>
    </row>
    <row r="31" spans="1:56">
      <c r="A31" s="17">
        <v>5</v>
      </c>
      <c r="B31" s="18" t="s">
        <v>26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6"/>
      <c r="P31" s="17">
        <v>5</v>
      </c>
      <c r="Q31" s="18" t="s">
        <v>26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E31" s="17">
        <v>5</v>
      </c>
      <c r="AF31" s="18" t="s">
        <v>26</v>
      </c>
      <c r="AG31" s="19">
        <f t="shared" si="52"/>
        <v>0</v>
      </c>
      <c r="AH31" s="19" t="e">
        <f t="shared" si="53"/>
        <v>#DIV/0!</v>
      </c>
      <c r="AI31" s="19">
        <f t="shared" si="54"/>
        <v>0</v>
      </c>
      <c r="AJ31" s="19" t="e">
        <f t="shared" si="55"/>
        <v>#DIV/0!</v>
      </c>
      <c r="AK31" s="19">
        <f t="shared" si="56"/>
        <v>0</v>
      </c>
      <c r="AL31" s="19" t="e">
        <f t="shared" si="57"/>
        <v>#DIV/0!</v>
      </c>
      <c r="AM31" s="19">
        <f t="shared" si="58"/>
        <v>0</v>
      </c>
      <c r="AN31" s="19" t="e">
        <f t="shared" si="59"/>
        <v>#DIV/0!</v>
      </c>
      <c r="AO31" s="19">
        <f t="shared" si="60"/>
        <v>0</v>
      </c>
      <c r="AP31" s="19" t="e">
        <f t="shared" si="61"/>
        <v>#DIV/0!</v>
      </c>
      <c r="AQ31" s="19">
        <f t="shared" si="62"/>
        <v>0</v>
      </c>
      <c r="AR31" s="19" t="e">
        <f t="shared" si="63"/>
        <v>#DIV/0!</v>
      </c>
      <c r="AS31" s="19">
        <f t="shared" si="64"/>
        <v>0</v>
      </c>
      <c r="AT31" s="19" t="e">
        <f t="shared" si="65"/>
        <v>#DIV/0!</v>
      </c>
      <c r="AU31" s="19">
        <f t="shared" si="66"/>
        <v>0</v>
      </c>
      <c r="AV31" s="19" t="e">
        <f t="shared" si="67"/>
        <v>#DIV/0!</v>
      </c>
      <c r="AW31" s="19">
        <f t="shared" si="68"/>
        <v>0</v>
      </c>
      <c r="AX31" s="19" t="e">
        <f t="shared" si="69"/>
        <v>#DIV/0!</v>
      </c>
      <c r="AY31" s="19">
        <f t="shared" si="70"/>
        <v>0</v>
      </c>
      <c r="AZ31" s="19" t="e">
        <f t="shared" si="71"/>
        <v>#DIV/0!</v>
      </c>
      <c r="BA31" s="19">
        <f t="shared" si="72"/>
        <v>0</v>
      </c>
      <c r="BB31" s="19" t="e">
        <f t="shared" si="73"/>
        <v>#DIV/0!</v>
      </c>
      <c r="BC31" s="19">
        <f t="shared" si="74"/>
        <v>0</v>
      </c>
      <c r="BD31" s="19" t="e">
        <f t="shared" si="75"/>
        <v>#DIV/0!</v>
      </c>
    </row>
    <row r="32" spans="1:56">
      <c r="A32" s="17">
        <v>6</v>
      </c>
      <c r="B32" s="18" t="s">
        <v>28</v>
      </c>
      <c r="C32" s="19">
        <v>9100647</v>
      </c>
      <c r="D32" s="19">
        <v>9100647</v>
      </c>
      <c r="E32" s="19">
        <v>9100647</v>
      </c>
      <c r="F32" s="19"/>
      <c r="G32" s="19"/>
      <c r="H32" s="19"/>
      <c r="I32" s="19"/>
      <c r="J32" s="19"/>
      <c r="K32" s="19"/>
      <c r="L32" s="19">
        <v>7908423</v>
      </c>
      <c r="M32" s="19"/>
      <c r="N32" s="19"/>
      <c r="O32" s="26"/>
      <c r="P32" s="17">
        <v>6</v>
      </c>
      <c r="Q32" s="18" t="s">
        <v>28</v>
      </c>
      <c r="R32" s="19">
        <v>9328987</v>
      </c>
      <c r="S32" s="19">
        <v>9328987</v>
      </c>
      <c r="T32" s="19">
        <v>9328987</v>
      </c>
      <c r="U32" s="19"/>
      <c r="V32" s="19"/>
      <c r="W32" s="19"/>
      <c r="X32" s="19"/>
      <c r="Y32" s="19"/>
      <c r="Z32" s="19"/>
      <c r="AA32" s="19">
        <v>7908423</v>
      </c>
      <c r="AB32" s="19"/>
      <c r="AC32" s="19"/>
      <c r="AE32" s="17">
        <v>6</v>
      </c>
      <c r="AF32" s="18" t="s">
        <v>28</v>
      </c>
      <c r="AG32" s="19">
        <f t="shared" si="52"/>
        <v>-228340</v>
      </c>
      <c r="AH32" s="19">
        <f t="shared" si="53"/>
        <v>-2.5090523783638679</v>
      </c>
      <c r="AI32" s="19">
        <f t="shared" si="54"/>
        <v>-228340</v>
      </c>
      <c r="AJ32" s="19">
        <f t="shared" si="55"/>
        <v>-2.5090523783638679</v>
      </c>
      <c r="AK32" s="19">
        <f t="shared" si="56"/>
        <v>-228340</v>
      </c>
      <c r="AL32" s="19">
        <f t="shared" si="57"/>
        <v>-2.5090523783638679</v>
      </c>
      <c r="AM32" s="19">
        <f t="shared" si="58"/>
        <v>0</v>
      </c>
      <c r="AN32" s="19" t="e">
        <f t="shared" si="59"/>
        <v>#DIV/0!</v>
      </c>
      <c r="AO32" s="19">
        <f t="shared" si="60"/>
        <v>0</v>
      </c>
      <c r="AP32" s="19" t="e">
        <f t="shared" si="61"/>
        <v>#DIV/0!</v>
      </c>
      <c r="AQ32" s="19">
        <f t="shared" si="62"/>
        <v>0</v>
      </c>
      <c r="AR32" s="19" t="e">
        <f t="shared" si="63"/>
        <v>#DIV/0!</v>
      </c>
      <c r="AS32" s="19">
        <f t="shared" si="64"/>
        <v>0</v>
      </c>
      <c r="AT32" s="19" t="e">
        <f t="shared" si="65"/>
        <v>#DIV/0!</v>
      </c>
      <c r="AU32" s="19">
        <f t="shared" si="66"/>
        <v>0</v>
      </c>
      <c r="AV32" s="19" t="e">
        <f t="shared" si="67"/>
        <v>#DIV/0!</v>
      </c>
      <c r="AW32" s="19">
        <f t="shared" si="68"/>
        <v>0</v>
      </c>
      <c r="AX32" s="19" t="e">
        <f t="shared" si="69"/>
        <v>#DIV/0!</v>
      </c>
      <c r="AY32" s="19">
        <f t="shared" si="70"/>
        <v>0</v>
      </c>
      <c r="AZ32" s="19">
        <f t="shared" si="71"/>
        <v>0</v>
      </c>
      <c r="BA32" s="19">
        <f t="shared" si="72"/>
        <v>0</v>
      </c>
      <c r="BB32" s="19" t="e">
        <f t="shared" si="73"/>
        <v>#DIV/0!</v>
      </c>
      <c r="BC32" s="19">
        <f t="shared" si="74"/>
        <v>0</v>
      </c>
      <c r="BD32" s="19" t="e">
        <f t="shared" si="75"/>
        <v>#DIV/0!</v>
      </c>
    </row>
    <row r="33" spans="1:56">
      <c r="A33" s="17">
        <v>7</v>
      </c>
      <c r="B33" s="18" t="s">
        <v>30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6"/>
      <c r="P33" s="17">
        <v>7</v>
      </c>
      <c r="Q33" s="18" t="s">
        <v>30</v>
      </c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E33" s="17">
        <v>7</v>
      </c>
      <c r="AF33" s="18" t="s">
        <v>30</v>
      </c>
      <c r="AG33" s="19">
        <f t="shared" si="52"/>
        <v>0</v>
      </c>
      <c r="AH33" s="19" t="e">
        <f t="shared" si="53"/>
        <v>#DIV/0!</v>
      </c>
      <c r="AI33" s="19">
        <f t="shared" si="54"/>
        <v>0</v>
      </c>
      <c r="AJ33" s="19" t="e">
        <f t="shared" si="55"/>
        <v>#DIV/0!</v>
      </c>
      <c r="AK33" s="19">
        <f t="shared" si="56"/>
        <v>0</v>
      </c>
      <c r="AL33" s="19" t="e">
        <f t="shared" si="57"/>
        <v>#DIV/0!</v>
      </c>
      <c r="AM33" s="19">
        <f t="shared" si="58"/>
        <v>0</v>
      </c>
      <c r="AN33" s="19" t="e">
        <f t="shared" si="59"/>
        <v>#DIV/0!</v>
      </c>
      <c r="AO33" s="19">
        <f t="shared" si="60"/>
        <v>0</v>
      </c>
      <c r="AP33" s="19" t="e">
        <f t="shared" si="61"/>
        <v>#DIV/0!</v>
      </c>
      <c r="AQ33" s="19">
        <f t="shared" si="62"/>
        <v>0</v>
      </c>
      <c r="AR33" s="19" t="e">
        <f t="shared" si="63"/>
        <v>#DIV/0!</v>
      </c>
      <c r="AS33" s="19">
        <f t="shared" si="64"/>
        <v>0</v>
      </c>
      <c r="AT33" s="19" t="e">
        <f t="shared" si="65"/>
        <v>#DIV/0!</v>
      </c>
      <c r="AU33" s="19">
        <f t="shared" si="66"/>
        <v>0</v>
      </c>
      <c r="AV33" s="19" t="e">
        <f t="shared" si="67"/>
        <v>#DIV/0!</v>
      </c>
      <c r="AW33" s="19">
        <f t="shared" si="68"/>
        <v>0</v>
      </c>
      <c r="AX33" s="19" t="e">
        <f t="shared" si="69"/>
        <v>#DIV/0!</v>
      </c>
      <c r="AY33" s="19">
        <f t="shared" si="70"/>
        <v>0</v>
      </c>
      <c r="AZ33" s="19" t="e">
        <f t="shared" si="71"/>
        <v>#DIV/0!</v>
      </c>
      <c r="BA33" s="19">
        <f t="shared" si="72"/>
        <v>0</v>
      </c>
      <c r="BB33" s="19" t="e">
        <f t="shared" si="73"/>
        <v>#DIV/0!</v>
      </c>
      <c r="BC33" s="19">
        <f t="shared" si="74"/>
        <v>0</v>
      </c>
      <c r="BD33" s="19" t="e">
        <f t="shared" si="75"/>
        <v>#DIV/0!</v>
      </c>
    </row>
    <row r="34" spans="1:56">
      <c r="A34" s="17">
        <v>8</v>
      </c>
      <c r="B34" s="18" t="s">
        <v>32</v>
      </c>
      <c r="C34" s="19"/>
      <c r="D34" s="19"/>
      <c r="E34" s="19"/>
      <c r="F34" s="19"/>
      <c r="G34" s="19"/>
      <c r="H34" s="19"/>
      <c r="I34" s="19"/>
      <c r="J34" s="19"/>
      <c r="K34" s="19"/>
      <c r="L34" s="19">
        <v>18280</v>
      </c>
      <c r="M34" s="19"/>
      <c r="N34" s="19"/>
      <c r="O34" s="26"/>
      <c r="P34" s="17">
        <v>8</v>
      </c>
      <c r="Q34" s="18" t="s">
        <v>32</v>
      </c>
      <c r="R34" s="19">
        <v>807250</v>
      </c>
      <c r="S34" s="19">
        <v>807250</v>
      </c>
      <c r="T34" s="19">
        <v>807250</v>
      </c>
      <c r="U34" s="19"/>
      <c r="V34" s="19"/>
      <c r="W34" s="19"/>
      <c r="X34" s="19"/>
      <c r="Y34" s="19"/>
      <c r="Z34" s="19"/>
      <c r="AA34" s="19">
        <v>18280</v>
      </c>
      <c r="AB34" s="19"/>
      <c r="AC34" s="19"/>
      <c r="AE34" s="17">
        <v>8</v>
      </c>
      <c r="AF34" s="18" t="s">
        <v>32</v>
      </c>
      <c r="AG34" s="19">
        <f t="shared" si="52"/>
        <v>-807250</v>
      </c>
      <c r="AH34" s="19" t="e">
        <f t="shared" si="53"/>
        <v>#DIV/0!</v>
      </c>
      <c r="AI34" s="19">
        <f t="shared" si="54"/>
        <v>-807250</v>
      </c>
      <c r="AJ34" s="19" t="e">
        <f t="shared" si="55"/>
        <v>#DIV/0!</v>
      </c>
      <c r="AK34" s="19">
        <f t="shared" si="56"/>
        <v>-807250</v>
      </c>
      <c r="AL34" s="19" t="e">
        <f t="shared" si="57"/>
        <v>#DIV/0!</v>
      </c>
      <c r="AM34" s="19">
        <f t="shared" si="58"/>
        <v>0</v>
      </c>
      <c r="AN34" s="19" t="e">
        <f t="shared" si="59"/>
        <v>#DIV/0!</v>
      </c>
      <c r="AO34" s="19">
        <f t="shared" si="60"/>
        <v>0</v>
      </c>
      <c r="AP34" s="19" t="e">
        <f t="shared" si="61"/>
        <v>#DIV/0!</v>
      </c>
      <c r="AQ34" s="19">
        <f t="shared" si="62"/>
        <v>0</v>
      </c>
      <c r="AR34" s="19" t="e">
        <f t="shared" si="63"/>
        <v>#DIV/0!</v>
      </c>
      <c r="AS34" s="19">
        <f t="shared" si="64"/>
        <v>0</v>
      </c>
      <c r="AT34" s="19" t="e">
        <f t="shared" si="65"/>
        <v>#DIV/0!</v>
      </c>
      <c r="AU34" s="19">
        <f t="shared" si="66"/>
        <v>0</v>
      </c>
      <c r="AV34" s="19" t="e">
        <f t="shared" si="67"/>
        <v>#DIV/0!</v>
      </c>
      <c r="AW34" s="19">
        <f t="shared" si="68"/>
        <v>0</v>
      </c>
      <c r="AX34" s="19" t="e">
        <f t="shared" si="69"/>
        <v>#DIV/0!</v>
      </c>
      <c r="AY34" s="19">
        <f t="shared" si="70"/>
        <v>0</v>
      </c>
      <c r="AZ34" s="19">
        <f t="shared" si="71"/>
        <v>0</v>
      </c>
      <c r="BA34" s="19">
        <f t="shared" si="72"/>
        <v>0</v>
      </c>
      <c r="BB34" s="19" t="e">
        <f t="shared" si="73"/>
        <v>#DIV/0!</v>
      </c>
      <c r="BC34" s="19">
        <f t="shared" si="74"/>
        <v>0</v>
      </c>
      <c r="BD34" s="19" t="e">
        <f t="shared" si="75"/>
        <v>#DIV/0!</v>
      </c>
    </row>
    <row r="35" spans="1:56">
      <c r="A35" s="17">
        <v>9</v>
      </c>
      <c r="B35" s="18" t="s">
        <v>34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6"/>
      <c r="P35" s="17">
        <v>9</v>
      </c>
      <c r="Q35" s="18" t="s">
        <v>34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E35" s="17">
        <v>9</v>
      </c>
      <c r="AF35" s="18" t="s">
        <v>34</v>
      </c>
      <c r="AG35" s="19">
        <f t="shared" si="52"/>
        <v>0</v>
      </c>
      <c r="AH35" s="19" t="e">
        <f t="shared" si="53"/>
        <v>#DIV/0!</v>
      </c>
      <c r="AI35" s="19">
        <f t="shared" si="54"/>
        <v>0</v>
      </c>
      <c r="AJ35" s="19" t="e">
        <f t="shared" si="55"/>
        <v>#DIV/0!</v>
      </c>
      <c r="AK35" s="19">
        <f t="shared" si="56"/>
        <v>0</v>
      </c>
      <c r="AL35" s="19" t="e">
        <f t="shared" si="57"/>
        <v>#DIV/0!</v>
      </c>
      <c r="AM35" s="19">
        <f t="shared" si="58"/>
        <v>0</v>
      </c>
      <c r="AN35" s="19" t="e">
        <f t="shared" si="59"/>
        <v>#DIV/0!</v>
      </c>
      <c r="AO35" s="19">
        <f t="shared" si="60"/>
        <v>0</v>
      </c>
      <c r="AP35" s="19" t="e">
        <f t="shared" si="61"/>
        <v>#DIV/0!</v>
      </c>
      <c r="AQ35" s="19">
        <f t="shared" si="62"/>
        <v>0</v>
      </c>
      <c r="AR35" s="19" t="e">
        <f t="shared" si="63"/>
        <v>#DIV/0!</v>
      </c>
      <c r="AS35" s="19">
        <f t="shared" si="64"/>
        <v>0</v>
      </c>
      <c r="AT35" s="19" t="e">
        <f t="shared" si="65"/>
        <v>#DIV/0!</v>
      </c>
      <c r="AU35" s="19">
        <f t="shared" si="66"/>
        <v>0</v>
      </c>
      <c r="AV35" s="19" t="e">
        <f t="shared" si="67"/>
        <v>#DIV/0!</v>
      </c>
      <c r="AW35" s="19">
        <f t="shared" si="68"/>
        <v>0</v>
      </c>
      <c r="AX35" s="19" t="e">
        <f t="shared" si="69"/>
        <v>#DIV/0!</v>
      </c>
      <c r="AY35" s="19">
        <f t="shared" si="70"/>
        <v>0</v>
      </c>
      <c r="AZ35" s="19" t="e">
        <f t="shared" si="71"/>
        <v>#DIV/0!</v>
      </c>
      <c r="BA35" s="19">
        <f t="shared" si="72"/>
        <v>0</v>
      </c>
      <c r="BB35" s="19" t="e">
        <f t="shared" si="73"/>
        <v>#DIV/0!</v>
      </c>
      <c r="BC35" s="19">
        <f t="shared" si="74"/>
        <v>0</v>
      </c>
      <c r="BD35" s="19" t="e">
        <f t="shared" si="75"/>
        <v>#DIV/0!</v>
      </c>
    </row>
    <row r="36" spans="1:56">
      <c r="A36" s="17">
        <v>10</v>
      </c>
      <c r="B36" s="18" t="s">
        <v>36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6"/>
      <c r="P36" s="17">
        <v>10</v>
      </c>
      <c r="Q36" s="18" t="s">
        <v>36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E36" s="17">
        <v>10</v>
      </c>
      <c r="AF36" s="18" t="s">
        <v>36</v>
      </c>
      <c r="AG36" s="19">
        <f t="shared" si="52"/>
        <v>0</v>
      </c>
      <c r="AH36" s="19" t="e">
        <f t="shared" si="53"/>
        <v>#DIV/0!</v>
      </c>
      <c r="AI36" s="19">
        <f t="shared" si="54"/>
        <v>0</v>
      </c>
      <c r="AJ36" s="19" t="e">
        <f t="shared" si="55"/>
        <v>#DIV/0!</v>
      </c>
      <c r="AK36" s="19">
        <f t="shared" si="56"/>
        <v>0</v>
      </c>
      <c r="AL36" s="19" t="e">
        <f t="shared" si="57"/>
        <v>#DIV/0!</v>
      </c>
      <c r="AM36" s="19">
        <f t="shared" si="58"/>
        <v>0</v>
      </c>
      <c r="AN36" s="19" t="e">
        <f t="shared" si="59"/>
        <v>#DIV/0!</v>
      </c>
      <c r="AO36" s="19">
        <f t="shared" si="60"/>
        <v>0</v>
      </c>
      <c r="AP36" s="19" t="e">
        <f t="shared" si="61"/>
        <v>#DIV/0!</v>
      </c>
      <c r="AQ36" s="19">
        <f t="shared" si="62"/>
        <v>0</v>
      </c>
      <c r="AR36" s="19" t="e">
        <f t="shared" si="63"/>
        <v>#DIV/0!</v>
      </c>
      <c r="AS36" s="19">
        <f t="shared" si="64"/>
        <v>0</v>
      </c>
      <c r="AT36" s="19" t="e">
        <f t="shared" si="65"/>
        <v>#DIV/0!</v>
      </c>
      <c r="AU36" s="19">
        <f t="shared" si="66"/>
        <v>0</v>
      </c>
      <c r="AV36" s="19" t="e">
        <f t="shared" si="67"/>
        <v>#DIV/0!</v>
      </c>
      <c r="AW36" s="19">
        <f t="shared" si="68"/>
        <v>0</v>
      </c>
      <c r="AX36" s="19" t="e">
        <f t="shared" si="69"/>
        <v>#DIV/0!</v>
      </c>
      <c r="AY36" s="19">
        <f t="shared" si="70"/>
        <v>0</v>
      </c>
      <c r="AZ36" s="19" t="e">
        <f t="shared" si="71"/>
        <v>#DIV/0!</v>
      </c>
      <c r="BA36" s="19">
        <f t="shared" si="72"/>
        <v>0</v>
      </c>
      <c r="BB36" s="19" t="e">
        <f t="shared" si="73"/>
        <v>#DIV/0!</v>
      </c>
      <c r="BC36" s="19">
        <f t="shared" si="74"/>
        <v>0</v>
      </c>
      <c r="BD36" s="19" t="e">
        <f t="shared" si="75"/>
        <v>#DIV/0!</v>
      </c>
    </row>
    <row r="37" spans="1:56">
      <c r="A37" s="17">
        <v>11</v>
      </c>
      <c r="B37" s="18" t="s">
        <v>38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6"/>
      <c r="P37" s="17">
        <v>11</v>
      </c>
      <c r="Q37" s="18" t="s">
        <v>38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E37" s="17">
        <v>11</v>
      </c>
      <c r="AF37" s="18" t="s">
        <v>38</v>
      </c>
      <c r="AG37" s="19">
        <f t="shared" si="52"/>
        <v>0</v>
      </c>
      <c r="AH37" s="19" t="e">
        <f t="shared" si="53"/>
        <v>#DIV/0!</v>
      </c>
      <c r="AI37" s="19">
        <f t="shared" si="54"/>
        <v>0</v>
      </c>
      <c r="AJ37" s="19" t="e">
        <f t="shared" si="55"/>
        <v>#DIV/0!</v>
      </c>
      <c r="AK37" s="19">
        <f t="shared" si="56"/>
        <v>0</v>
      </c>
      <c r="AL37" s="19" t="e">
        <f t="shared" si="57"/>
        <v>#DIV/0!</v>
      </c>
      <c r="AM37" s="19">
        <f t="shared" si="58"/>
        <v>0</v>
      </c>
      <c r="AN37" s="19" t="e">
        <f t="shared" si="59"/>
        <v>#DIV/0!</v>
      </c>
      <c r="AO37" s="19">
        <f t="shared" si="60"/>
        <v>0</v>
      </c>
      <c r="AP37" s="19" t="e">
        <f t="shared" si="61"/>
        <v>#DIV/0!</v>
      </c>
      <c r="AQ37" s="19">
        <f t="shared" si="62"/>
        <v>0</v>
      </c>
      <c r="AR37" s="19" t="e">
        <f t="shared" si="63"/>
        <v>#DIV/0!</v>
      </c>
      <c r="AS37" s="19">
        <f t="shared" si="64"/>
        <v>0</v>
      </c>
      <c r="AT37" s="19" t="e">
        <f t="shared" si="65"/>
        <v>#DIV/0!</v>
      </c>
      <c r="AU37" s="19">
        <f t="shared" si="66"/>
        <v>0</v>
      </c>
      <c r="AV37" s="19" t="e">
        <f t="shared" si="67"/>
        <v>#DIV/0!</v>
      </c>
      <c r="AW37" s="19">
        <f t="shared" si="68"/>
        <v>0</v>
      </c>
      <c r="AX37" s="19" t="e">
        <f t="shared" si="69"/>
        <v>#DIV/0!</v>
      </c>
      <c r="AY37" s="19">
        <f t="shared" si="70"/>
        <v>0</v>
      </c>
      <c r="AZ37" s="19" t="e">
        <f t="shared" si="71"/>
        <v>#DIV/0!</v>
      </c>
      <c r="BA37" s="19">
        <f t="shared" si="72"/>
        <v>0</v>
      </c>
      <c r="BB37" s="19" t="e">
        <f t="shared" si="73"/>
        <v>#DIV/0!</v>
      </c>
      <c r="BC37" s="19">
        <f t="shared" si="74"/>
        <v>0</v>
      </c>
      <c r="BD37" s="19" t="e">
        <f t="shared" si="75"/>
        <v>#DIV/0!</v>
      </c>
    </row>
    <row r="38" spans="1:56">
      <c r="A38" s="17">
        <v>12</v>
      </c>
      <c r="B38" s="18" t="s">
        <v>40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6"/>
      <c r="P38" s="17">
        <v>12</v>
      </c>
      <c r="Q38" s="18" t="s">
        <v>40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E38" s="17">
        <v>12</v>
      </c>
      <c r="AF38" s="18" t="s">
        <v>40</v>
      </c>
      <c r="AG38" s="19">
        <f t="shared" si="52"/>
        <v>0</v>
      </c>
      <c r="AH38" s="19" t="e">
        <f t="shared" si="53"/>
        <v>#DIV/0!</v>
      </c>
      <c r="AI38" s="19">
        <f t="shared" si="54"/>
        <v>0</v>
      </c>
      <c r="AJ38" s="19" t="e">
        <f t="shared" si="55"/>
        <v>#DIV/0!</v>
      </c>
      <c r="AK38" s="19">
        <f t="shared" si="56"/>
        <v>0</v>
      </c>
      <c r="AL38" s="19" t="e">
        <f t="shared" si="57"/>
        <v>#DIV/0!</v>
      </c>
      <c r="AM38" s="19">
        <f t="shared" si="58"/>
        <v>0</v>
      </c>
      <c r="AN38" s="19" t="e">
        <f t="shared" si="59"/>
        <v>#DIV/0!</v>
      </c>
      <c r="AO38" s="19">
        <f t="shared" si="60"/>
        <v>0</v>
      </c>
      <c r="AP38" s="19" t="e">
        <f t="shared" si="61"/>
        <v>#DIV/0!</v>
      </c>
      <c r="AQ38" s="19">
        <f t="shared" si="62"/>
        <v>0</v>
      </c>
      <c r="AR38" s="19" t="e">
        <f t="shared" si="63"/>
        <v>#DIV/0!</v>
      </c>
      <c r="AS38" s="19">
        <f t="shared" si="64"/>
        <v>0</v>
      </c>
      <c r="AT38" s="19" t="e">
        <f t="shared" si="65"/>
        <v>#DIV/0!</v>
      </c>
      <c r="AU38" s="19">
        <f t="shared" si="66"/>
        <v>0</v>
      </c>
      <c r="AV38" s="19" t="e">
        <f t="shared" si="67"/>
        <v>#DIV/0!</v>
      </c>
      <c r="AW38" s="19">
        <f t="shared" si="68"/>
        <v>0</v>
      </c>
      <c r="AX38" s="19" t="e">
        <f t="shared" si="69"/>
        <v>#DIV/0!</v>
      </c>
      <c r="AY38" s="19">
        <f t="shared" si="70"/>
        <v>0</v>
      </c>
      <c r="AZ38" s="19" t="e">
        <f t="shared" si="71"/>
        <v>#DIV/0!</v>
      </c>
      <c r="BA38" s="19">
        <f t="shared" si="72"/>
        <v>0</v>
      </c>
      <c r="BB38" s="19" t="e">
        <f t="shared" si="73"/>
        <v>#DIV/0!</v>
      </c>
      <c r="BC38" s="19">
        <f t="shared" si="74"/>
        <v>0</v>
      </c>
      <c r="BD38" s="19" t="e">
        <f t="shared" si="75"/>
        <v>#DIV/0!</v>
      </c>
    </row>
    <row r="39" spans="1:56">
      <c r="A39" s="17">
        <v>13</v>
      </c>
      <c r="B39" s="18" t="s">
        <v>42</v>
      </c>
      <c r="C39" s="19"/>
      <c r="D39" s="19"/>
      <c r="E39" s="19"/>
      <c r="F39" s="19"/>
      <c r="G39" s="19"/>
      <c r="H39" s="19"/>
      <c r="I39" s="19"/>
      <c r="J39" s="19"/>
      <c r="K39" s="19"/>
      <c r="L39" s="19">
        <v>172860</v>
      </c>
      <c r="M39" s="19"/>
      <c r="N39" s="19"/>
      <c r="O39" s="26"/>
      <c r="P39" s="17">
        <v>13</v>
      </c>
      <c r="Q39" s="18" t="s">
        <v>42</v>
      </c>
      <c r="R39" s="19">
        <v>1327102.8</v>
      </c>
      <c r="S39" s="19">
        <v>1327102.8</v>
      </c>
      <c r="T39" s="19">
        <v>1327102.8</v>
      </c>
      <c r="U39" s="19"/>
      <c r="V39" s="19"/>
      <c r="W39" s="19"/>
      <c r="X39" s="19"/>
      <c r="Y39" s="19"/>
      <c r="Z39" s="19"/>
      <c r="AA39" s="19">
        <v>172860</v>
      </c>
      <c r="AB39" s="19"/>
      <c r="AC39" s="19"/>
      <c r="AE39" s="17">
        <v>13</v>
      </c>
      <c r="AF39" s="18" t="s">
        <v>42</v>
      </c>
      <c r="AG39" s="19">
        <f t="shared" si="52"/>
        <v>-1327102.8</v>
      </c>
      <c r="AH39" s="19" t="e">
        <f t="shared" si="53"/>
        <v>#DIV/0!</v>
      </c>
      <c r="AI39" s="19">
        <f t="shared" si="54"/>
        <v>-1327102.8</v>
      </c>
      <c r="AJ39" s="19" t="e">
        <f t="shared" si="55"/>
        <v>#DIV/0!</v>
      </c>
      <c r="AK39" s="19">
        <f t="shared" si="56"/>
        <v>-1327102.8</v>
      </c>
      <c r="AL39" s="19" t="e">
        <f t="shared" si="57"/>
        <v>#DIV/0!</v>
      </c>
      <c r="AM39" s="19">
        <f t="shared" si="58"/>
        <v>0</v>
      </c>
      <c r="AN39" s="19" t="e">
        <f t="shared" si="59"/>
        <v>#DIV/0!</v>
      </c>
      <c r="AO39" s="19">
        <f t="shared" si="60"/>
        <v>0</v>
      </c>
      <c r="AP39" s="19" t="e">
        <f t="shared" si="61"/>
        <v>#DIV/0!</v>
      </c>
      <c r="AQ39" s="19">
        <f t="shared" si="62"/>
        <v>0</v>
      </c>
      <c r="AR39" s="19" t="e">
        <f t="shared" si="63"/>
        <v>#DIV/0!</v>
      </c>
      <c r="AS39" s="19">
        <f t="shared" si="64"/>
        <v>0</v>
      </c>
      <c r="AT39" s="19" t="e">
        <f t="shared" si="65"/>
        <v>#DIV/0!</v>
      </c>
      <c r="AU39" s="19">
        <f t="shared" si="66"/>
        <v>0</v>
      </c>
      <c r="AV39" s="19" t="e">
        <f t="shared" si="67"/>
        <v>#DIV/0!</v>
      </c>
      <c r="AW39" s="19">
        <f t="shared" si="68"/>
        <v>0</v>
      </c>
      <c r="AX39" s="19" t="e">
        <f t="shared" si="69"/>
        <v>#DIV/0!</v>
      </c>
      <c r="AY39" s="19">
        <f t="shared" si="70"/>
        <v>0</v>
      </c>
      <c r="AZ39" s="19">
        <f t="shared" si="71"/>
        <v>0</v>
      </c>
      <c r="BA39" s="19">
        <f t="shared" si="72"/>
        <v>0</v>
      </c>
      <c r="BB39" s="19" t="e">
        <f t="shared" si="73"/>
        <v>#DIV/0!</v>
      </c>
      <c r="BC39" s="19">
        <f t="shared" si="74"/>
        <v>0</v>
      </c>
      <c r="BD39" s="19" t="e">
        <f t="shared" si="75"/>
        <v>#DIV/0!</v>
      </c>
    </row>
    <row r="40" spans="1:56">
      <c r="A40" s="17">
        <v>14</v>
      </c>
      <c r="B40" s="18" t="s">
        <v>44</v>
      </c>
      <c r="C40" s="19"/>
      <c r="D40" s="19"/>
      <c r="E40" s="19"/>
      <c r="F40" s="19"/>
      <c r="G40" s="19"/>
      <c r="H40" s="19"/>
      <c r="I40" s="19"/>
      <c r="J40" s="19"/>
      <c r="K40" s="19"/>
      <c r="L40" s="19">
        <v>21400</v>
      </c>
      <c r="M40" s="19"/>
      <c r="N40" s="19"/>
      <c r="O40" s="26"/>
      <c r="P40" s="17">
        <v>14</v>
      </c>
      <c r="Q40" s="18" t="s">
        <v>44</v>
      </c>
      <c r="R40" s="19"/>
      <c r="S40" s="19"/>
      <c r="T40" s="19"/>
      <c r="U40" s="19"/>
      <c r="V40" s="19"/>
      <c r="W40" s="19"/>
      <c r="X40" s="19"/>
      <c r="Y40" s="19"/>
      <c r="Z40" s="19"/>
      <c r="AA40" s="19">
        <v>21400</v>
      </c>
      <c r="AB40" s="19"/>
      <c r="AC40" s="19"/>
      <c r="AE40" s="17">
        <v>14</v>
      </c>
      <c r="AF40" s="18" t="s">
        <v>44</v>
      </c>
      <c r="AG40" s="19">
        <f t="shared" si="52"/>
        <v>0</v>
      </c>
      <c r="AH40" s="19" t="e">
        <f t="shared" si="53"/>
        <v>#DIV/0!</v>
      </c>
      <c r="AI40" s="19">
        <f t="shared" si="54"/>
        <v>0</v>
      </c>
      <c r="AJ40" s="19" t="e">
        <f t="shared" si="55"/>
        <v>#DIV/0!</v>
      </c>
      <c r="AK40" s="19">
        <f t="shared" si="56"/>
        <v>0</v>
      </c>
      <c r="AL40" s="19" t="e">
        <f t="shared" si="57"/>
        <v>#DIV/0!</v>
      </c>
      <c r="AM40" s="19">
        <f t="shared" si="58"/>
        <v>0</v>
      </c>
      <c r="AN40" s="19" t="e">
        <f t="shared" si="59"/>
        <v>#DIV/0!</v>
      </c>
      <c r="AO40" s="19">
        <f t="shared" si="60"/>
        <v>0</v>
      </c>
      <c r="AP40" s="19" t="e">
        <f t="shared" si="61"/>
        <v>#DIV/0!</v>
      </c>
      <c r="AQ40" s="19">
        <f t="shared" si="62"/>
        <v>0</v>
      </c>
      <c r="AR40" s="19" t="e">
        <f t="shared" si="63"/>
        <v>#DIV/0!</v>
      </c>
      <c r="AS40" s="19">
        <f t="shared" si="64"/>
        <v>0</v>
      </c>
      <c r="AT40" s="19" t="e">
        <f t="shared" si="65"/>
        <v>#DIV/0!</v>
      </c>
      <c r="AU40" s="19">
        <f t="shared" si="66"/>
        <v>0</v>
      </c>
      <c r="AV40" s="19" t="e">
        <f t="shared" si="67"/>
        <v>#DIV/0!</v>
      </c>
      <c r="AW40" s="19">
        <f t="shared" si="68"/>
        <v>0</v>
      </c>
      <c r="AX40" s="19" t="e">
        <f t="shared" si="69"/>
        <v>#DIV/0!</v>
      </c>
      <c r="AY40" s="19">
        <f t="shared" si="70"/>
        <v>0</v>
      </c>
      <c r="AZ40" s="19">
        <f t="shared" si="71"/>
        <v>0</v>
      </c>
      <c r="BA40" s="19">
        <f t="shared" si="72"/>
        <v>0</v>
      </c>
      <c r="BB40" s="19" t="e">
        <f t="shared" si="73"/>
        <v>#DIV/0!</v>
      </c>
      <c r="BC40" s="19">
        <f t="shared" si="74"/>
        <v>0</v>
      </c>
      <c r="BD40" s="19" t="e">
        <f t="shared" si="75"/>
        <v>#DIV/0!</v>
      </c>
    </row>
    <row r="41" spans="1:56" ht="25.2" thickBot="1">
      <c r="A41" s="17"/>
      <c r="B41" s="20" t="s">
        <v>17</v>
      </c>
      <c r="C41" s="27">
        <f>SUM(C27:C40)</f>
        <v>11100477</v>
      </c>
      <c r="D41" s="27">
        <f t="shared" ref="D41:N41" si="76">SUM(D27:D40)</f>
        <v>11100477</v>
      </c>
      <c r="E41" s="27">
        <f t="shared" si="76"/>
        <v>11100477</v>
      </c>
      <c r="F41" s="27">
        <f t="shared" si="76"/>
        <v>0</v>
      </c>
      <c r="G41" s="27">
        <f t="shared" si="76"/>
        <v>0</v>
      </c>
      <c r="H41" s="27">
        <f t="shared" si="76"/>
        <v>0</v>
      </c>
      <c r="I41" s="27">
        <f t="shared" si="76"/>
        <v>0</v>
      </c>
      <c r="J41" s="27">
        <f t="shared" si="76"/>
        <v>0</v>
      </c>
      <c r="K41" s="27">
        <f t="shared" si="76"/>
        <v>0</v>
      </c>
      <c r="L41" s="27">
        <f t="shared" si="76"/>
        <v>10615233</v>
      </c>
      <c r="M41" s="27">
        <f t="shared" si="76"/>
        <v>0</v>
      </c>
      <c r="N41" s="27">
        <f t="shared" si="76"/>
        <v>0</v>
      </c>
      <c r="P41" s="17"/>
      <c r="Q41" s="20" t="s">
        <v>17</v>
      </c>
      <c r="R41" s="27">
        <f>SUM(R27:R40)</f>
        <v>20481909.800000001</v>
      </c>
      <c r="S41" s="27">
        <f t="shared" ref="S41:AC41" si="77">SUM(S27:S40)</f>
        <v>20481909.800000001</v>
      </c>
      <c r="T41" s="27">
        <f t="shared" si="77"/>
        <v>20481909.800000001</v>
      </c>
      <c r="U41" s="27">
        <f t="shared" si="77"/>
        <v>0</v>
      </c>
      <c r="V41" s="27">
        <f t="shared" si="77"/>
        <v>0</v>
      </c>
      <c r="W41" s="27">
        <f t="shared" si="77"/>
        <v>0</v>
      </c>
      <c r="X41" s="27">
        <f t="shared" si="77"/>
        <v>0</v>
      </c>
      <c r="Y41" s="27">
        <f t="shared" si="77"/>
        <v>0</v>
      </c>
      <c r="Z41" s="27">
        <f t="shared" si="77"/>
        <v>0</v>
      </c>
      <c r="AA41" s="27">
        <f t="shared" si="77"/>
        <v>10615233</v>
      </c>
      <c r="AB41" s="27">
        <f t="shared" si="77"/>
        <v>0</v>
      </c>
      <c r="AC41" s="27">
        <f t="shared" si="77"/>
        <v>0</v>
      </c>
      <c r="AE41" s="17"/>
      <c r="AF41" s="20" t="s">
        <v>17</v>
      </c>
      <c r="AG41" s="23">
        <f t="shared" si="52"/>
        <v>-9381432.8000000007</v>
      </c>
      <c r="AH41" s="23">
        <f t="shared" si="53"/>
        <v>-84.513780804194269</v>
      </c>
      <c r="AI41" s="23">
        <f t="shared" si="54"/>
        <v>-9381432.8000000007</v>
      </c>
      <c r="AJ41" s="23">
        <f t="shared" si="55"/>
        <v>-84.513780804194269</v>
      </c>
      <c r="AK41" s="23">
        <f t="shared" si="56"/>
        <v>-9381432.8000000007</v>
      </c>
      <c r="AL41" s="23">
        <f t="shared" si="57"/>
        <v>-84.513780804194269</v>
      </c>
      <c r="AM41" s="23">
        <f t="shared" si="58"/>
        <v>0</v>
      </c>
      <c r="AN41" s="23" t="e">
        <f t="shared" si="59"/>
        <v>#DIV/0!</v>
      </c>
      <c r="AO41" s="23">
        <f t="shared" si="60"/>
        <v>0</v>
      </c>
      <c r="AP41" s="23" t="e">
        <f t="shared" si="61"/>
        <v>#DIV/0!</v>
      </c>
      <c r="AQ41" s="23">
        <f t="shared" si="62"/>
        <v>0</v>
      </c>
      <c r="AR41" s="23" t="e">
        <f t="shared" si="63"/>
        <v>#DIV/0!</v>
      </c>
      <c r="AS41" s="23">
        <f t="shared" si="64"/>
        <v>0</v>
      </c>
      <c r="AT41" s="23" t="e">
        <f t="shared" si="65"/>
        <v>#DIV/0!</v>
      </c>
      <c r="AU41" s="23">
        <f t="shared" si="66"/>
        <v>0</v>
      </c>
      <c r="AV41" s="23" t="e">
        <f t="shared" si="67"/>
        <v>#DIV/0!</v>
      </c>
      <c r="AW41" s="23">
        <f t="shared" si="68"/>
        <v>0</v>
      </c>
      <c r="AX41" s="23" t="e">
        <f t="shared" si="69"/>
        <v>#DIV/0!</v>
      </c>
      <c r="AY41" s="23">
        <f t="shared" si="70"/>
        <v>0</v>
      </c>
      <c r="AZ41" s="23">
        <f t="shared" si="71"/>
        <v>0</v>
      </c>
      <c r="BA41" s="23">
        <f t="shared" si="72"/>
        <v>0</v>
      </c>
      <c r="BB41" s="23" t="e">
        <f t="shared" si="73"/>
        <v>#DIV/0!</v>
      </c>
      <c r="BC41" s="23">
        <f t="shared" si="74"/>
        <v>0</v>
      </c>
      <c r="BD41" s="23" t="e">
        <f t="shared" si="75"/>
        <v>#DIV/0!</v>
      </c>
    </row>
    <row r="42" spans="1:56" ht="25.2" thickTop="1"/>
    <row r="43" spans="1:56">
      <c r="A43" s="37" t="s">
        <v>48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P43" s="37" t="s">
        <v>52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E43" s="37" t="s">
        <v>89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1:56">
      <c r="A44" s="37" t="s">
        <v>1945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P44" s="37" t="s">
        <v>1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E44" s="37" t="s">
        <v>1</v>
      </c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</row>
    <row r="45" spans="1:56" s="15" customFormat="1">
      <c r="A45" s="35" t="s">
        <v>2</v>
      </c>
      <c r="B45" s="35" t="s">
        <v>3</v>
      </c>
      <c r="C45" s="38" t="s">
        <v>4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P45" s="35" t="s">
        <v>2</v>
      </c>
      <c r="Q45" s="35" t="s">
        <v>3</v>
      </c>
      <c r="R45" s="38" t="s">
        <v>5</v>
      </c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40"/>
      <c r="AE45" s="35" t="s">
        <v>2</v>
      </c>
      <c r="AF45" s="35" t="s">
        <v>3</v>
      </c>
      <c r="AG45" s="33">
        <v>25112</v>
      </c>
      <c r="AH45" s="34"/>
      <c r="AI45" s="33">
        <v>25143</v>
      </c>
      <c r="AJ45" s="34"/>
      <c r="AK45" s="33">
        <v>25173</v>
      </c>
      <c r="AL45" s="34"/>
      <c r="AM45" s="33">
        <v>25204</v>
      </c>
      <c r="AN45" s="34"/>
      <c r="AO45" s="33">
        <v>25235</v>
      </c>
      <c r="AP45" s="34"/>
      <c r="AQ45" s="33">
        <v>25263</v>
      </c>
      <c r="AR45" s="34"/>
      <c r="AS45" s="33">
        <v>25294</v>
      </c>
      <c r="AT45" s="34"/>
      <c r="AU45" s="33">
        <v>25324</v>
      </c>
      <c r="AV45" s="34"/>
      <c r="AW45" s="33">
        <v>25355</v>
      </c>
      <c r="AX45" s="34"/>
      <c r="AY45" s="33">
        <v>25385</v>
      </c>
      <c r="AZ45" s="34"/>
      <c r="BA45" s="33">
        <v>25416</v>
      </c>
      <c r="BB45" s="34"/>
      <c r="BC45" s="33">
        <v>25447</v>
      </c>
      <c r="BD45" s="34"/>
    </row>
    <row r="46" spans="1:56" s="15" customFormat="1">
      <c r="A46" s="36"/>
      <c r="B46" s="36"/>
      <c r="C46" s="16">
        <v>25112</v>
      </c>
      <c r="D46" s="16">
        <v>25143</v>
      </c>
      <c r="E46" s="16">
        <v>25173</v>
      </c>
      <c r="F46" s="16">
        <v>25204</v>
      </c>
      <c r="G46" s="16">
        <v>25235</v>
      </c>
      <c r="H46" s="16">
        <v>25263</v>
      </c>
      <c r="I46" s="16">
        <v>25294</v>
      </c>
      <c r="J46" s="16">
        <v>25324</v>
      </c>
      <c r="K46" s="16">
        <v>25355</v>
      </c>
      <c r="L46" s="16">
        <v>25385</v>
      </c>
      <c r="M46" s="16">
        <v>25416</v>
      </c>
      <c r="N46" s="16">
        <v>25447</v>
      </c>
      <c r="P46" s="36"/>
      <c r="Q46" s="36"/>
      <c r="R46" s="16">
        <v>25112</v>
      </c>
      <c r="S46" s="16">
        <v>25143</v>
      </c>
      <c r="T46" s="16">
        <v>25173</v>
      </c>
      <c r="U46" s="16">
        <v>25204</v>
      </c>
      <c r="V46" s="16">
        <v>25235</v>
      </c>
      <c r="W46" s="16">
        <v>25263</v>
      </c>
      <c r="X46" s="16">
        <v>25294</v>
      </c>
      <c r="Y46" s="16">
        <v>25324</v>
      </c>
      <c r="Z46" s="16">
        <v>25355</v>
      </c>
      <c r="AA46" s="16">
        <v>25385</v>
      </c>
      <c r="AB46" s="16">
        <v>25416</v>
      </c>
      <c r="AC46" s="16">
        <v>25447</v>
      </c>
      <c r="AE46" s="36"/>
      <c r="AF46" s="36"/>
      <c r="AG46" s="16" t="s">
        <v>85</v>
      </c>
      <c r="AH46" s="16" t="s">
        <v>86</v>
      </c>
      <c r="AI46" s="16" t="s">
        <v>85</v>
      </c>
      <c r="AJ46" s="16" t="s">
        <v>86</v>
      </c>
      <c r="AK46" s="16" t="s">
        <v>85</v>
      </c>
      <c r="AL46" s="16" t="s">
        <v>86</v>
      </c>
      <c r="AM46" s="16" t="s">
        <v>85</v>
      </c>
      <c r="AN46" s="16" t="s">
        <v>86</v>
      </c>
      <c r="AO46" s="16" t="s">
        <v>85</v>
      </c>
      <c r="AP46" s="16" t="s">
        <v>86</v>
      </c>
      <c r="AQ46" s="16" t="s">
        <v>85</v>
      </c>
      <c r="AR46" s="16" t="s">
        <v>86</v>
      </c>
      <c r="AS46" s="16" t="s">
        <v>85</v>
      </c>
      <c r="AT46" s="16" t="s">
        <v>86</v>
      </c>
      <c r="AU46" s="16" t="s">
        <v>85</v>
      </c>
      <c r="AV46" s="16" t="s">
        <v>86</v>
      </c>
      <c r="AW46" s="16" t="s">
        <v>85</v>
      </c>
      <c r="AX46" s="16" t="s">
        <v>86</v>
      </c>
      <c r="AY46" s="16" t="s">
        <v>85</v>
      </c>
      <c r="AZ46" s="16" t="s">
        <v>86</v>
      </c>
      <c r="BA46" s="16" t="s">
        <v>85</v>
      </c>
      <c r="BB46" s="16" t="s">
        <v>86</v>
      </c>
      <c r="BC46" s="16" t="s">
        <v>85</v>
      </c>
      <c r="BD46" s="16" t="s">
        <v>86</v>
      </c>
    </row>
    <row r="47" spans="1:56">
      <c r="A47" s="17">
        <v>1</v>
      </c>
      <c r="B47" s="18" t="s">
        <v>19</v>
      </c>
      <c r="C47" s="19"/>
      <c r="D47" s="19"/>
      <c r="E47" s="19"/>
      <c r="F47" s="19"/>
      <c r="G47" s="18"/>
      <c r="H47" s="18"/>
      <c r="I47" s="18"/>
      <c r="J47" s="18"/>
      <c r="K47" s="18"/>
      <c r="L47" s="18"/>
      <c r="M47" s="18"/>
      <c r="N47" s="18"/>
      <c r="P47" s="17">
        <v>1</v>
      </c>
      <c r="Q47" s="18" t="s">
        <v>19</v>
      </c>
      <c r="R47" s="19"/>
      <c r="S47" s="19"/>
      <c r="T47" s="19"/>
      <c r="U47" s="19"/>
      <c r="V47" s="18"/>
      <c r="W47" s="18"/>
      <c r="X47" s="18"/>
      <c r="Y47" s="18"/>
      <c r="Z47" s="18"/>
      <c r="AA47" s="18"/>
      <c r="AB47" s="18"/>
      <c r="AC47" s="18"/>
      <c r="AE47" s="17">
        <v>1</v>
      </c>
      <c r="AF47" s="18" t="s">
        <v>19</v>
      </c>
      <c r="AG47" s="19">
        <f t="shared" ref="AG47:AG61" si="78">+C47-R47</f>
        <v>0</v>
      </c>
      <c r="AH47" s="19" t="e">
        <f t="shared" ref="AH47:AH61" si="79">+AG47/C47*100</f>
        <v>#DIV/0!</v>
      </c>
      <c r="AI47" s="19">
        <f t="shared" ref="AI47:AI61" si="80">+D47-S47</f>
        <v>0</v>
      </c>
      <c r="AJ47" s="19" t="e">
        <f t="shared" ref="AJ47:AJ61" si="81">+AI47/D47*100</f>
        <v>#DIV/0!</v>
      </c>
      <c r="AK47" s="19">
        <f t="shared" ref="AK47:AK61" si="82">+E47-T47</f>
        <v>0</v>
      </c>
      <c r="AL47" s="19" t="e">
        <f t="shared" ref="AL47:AL61" si="83">+AK47/E47*100</f>
        <v>#DIV/0!</v>
      </c>
      <c r="AM47" s="19">
        <f t="shared" ref="AM47:AM61" si="84">+F47-U47</f>
        <v>0</v>
      </c>
      <c r="AN47" s="19" t="e">
        <f t="shared" ref="AN47:AN61" si="85">+AM47/F47*100</f>
        <v>#DIV/0!</v>
      </c>
      <c r="AO47" s="19">
        <f t="shared" ref="AO47:AO61" si="86">+G47-V47</f>
        <v>0</v>
      </c>
      <c r="AP47" s="19" t="e">
        <f t="shared" ref="AP47:AP61" si="87">+AO47/G47*100</f>
        <v>#DIV/0!</v>
      </c>
      <c r="AQ47" s="19">
        <f t="shared" ref="AQ47:AQ61" si="88">+H47-W47</f>
        <v>0</v>
      </c>
      <c r="AR47" s="19" t="e">
        <f t="shared" ref="AR47:AR61" si="89">+AQ47/H47*100</f>
        <v>#DIV/0!</v>
      </c>
      <c r="AS47" s="19">
        <f t="shared" ref="AS47:AS61" si="90">+I47-X47</f>
        <v>0</v>
      </c>
      <c r="AT47" s="19" t="e">
        <f t="shared" ref="AT47:AT61" si="91">+AS47/I47*100</f>
        <v>#DIV/0!</v>
      </c>
      <c r="AU47" s="19">
        <f t="shared" ref="AU47:AU61" si="92">+J47-Y47</f>
        <v>0</v>
      </c>
      <c r="AV47" s="19" t="e">
        <f t="shared" ref="AV47:AV61" si="93">+AU47/J47*100</f>
        <v>#DIV/0!</v>
      </c>
      <c r="AW47" s="19">
        <f t="shared" ref="AW47:AW61" si="94">+K47-Z47</f>
        <v>0</v>
      </c>
      <c r="AX47" s="19" t="e">
        <f t="shared" ref="AX47:AX61" si="95">+AW47/K47*100</f>
        <v>#DIV/0!</v>
      </c>
      <c r="AY47" s="19">
        <f t="shared" ref="AY47:AY61" si="96">+L47-AA47</f>
        <v>0</v>
      </c>
      <c r="AZ47" s="19" t="e">
        <f t="shared" ref="AZ47:AZ61" si="97">+AY47/L47*100</f>
        <v>#DIV/0!</v>
      </c>
      <c r="BA47" s="19">
        <f t="shared" ref="BA47:BA61" si="98">+M47-AB47</f>
        <v>0</v>
      </c>
      <c r="BB47" s="19" t="e">
        <f t="shared" ref="BB47:BB61" si="99">+BA47/M47*100</f>
        <v>#DIV/0!</v>
      </c>
      <c r="BC47" s="19">
        <f t="shared" ref="BC47:BC61" si="100">+N47-AC47</f>
        <v>0</v>
      </c>
      <c r="BD47" s="19" t="e">
        <f t="shared" ref="BD47:BD61" si="101">+BC47/N47*100</f>
        <v>#DIV/0!</v>
      </c>
    </row>
    <row r="48" spans="1:56">
      <c r="A48" s="17">
        <v>2</v>
      </c>
      <c r="B48" s="18" t="s">
        <v>21</v>
      </c>
      <c r="C48" s="19">
        <v>1999829</v>
      </c>
      <c r="D48" s="19">
        <v>1999829</v>
      </c>
      <c r="E48" s="19">
        <v>-1999829</v>
      </c>
      <c r="F48" s="19"/>
      <c r="G48" s="18"/>
      <c r="H48" s="18"/>
      <c r="I48" s="18"/>
      <c r="J48" s="18"/>
      <c r="K48" s="18"/>
      <c r="L48" s="18"/>
      <c r="M48" s="18"/>
      <c r="N48" s="18"/>
      <c r="P48" s="17">
        <v>2</v>
      </c>
      <c r="Q48" s="18" t="s">
        <v>21</v>
      </c>
      <c r="R48" s="19">
        <v>9018565</v>
      </c>
      <c r="S48" s="19">
        <v>9018565</v>
      </c>
      <c r="T48" s="19">
        <v>9018565</v>
      </c>
      <c r="U48" s="19"/>
      <c r="V48" s="18"/>
      <c r="W48" s="18"/>
      <c r="X48" s="18"/>
      <c r="Y48" s="18"/>
      <c r="Z48" s="18"/>
      <c r="AA48" s="18"/>
      <c r="AB48" s="18"/>
      <c r="AC48" s="18"/>
      <c r="AE48" s="17">
        <v>2</v>
      </c>
      <c r="AF48" s="18" t="s">
        <v>21</v>
      </c>
      <c r="AG48" s="19">
        <f t="shared" si="78"/>
        <v>-7018736</v>
      </c>
      <c r="AH48" s="19">
        <f t="shared" si="79"/>
        <v>-350.96680766205515</v>
      </c>
      <c r="AI48" s="19">
        <f t="shared" si="80"/>
        <v>-7018736</v>
      </c>
      <c r="AJ48" s="19">
        <f t="shared" si="81"/>
        <v>-350.96680766205515</v>
      </c>
      <c r="AK48" s="19">
        <f t="shared" si="82"/>
        <v>-11018394</v>
      </c>
      <c r="AL48" s="19">
        <f t="shared" si="83"/>
        <v>550.96680766205509</v>
      </c>
      <c r="AM48" s="19">
        <f t="shared" si="84"/>
        <v>0</v>
      </c>
      <c r="AN48" s="19" t="e">
        <f t="shared" si="85"/>
        <v>#DIV/0!</v>
      </c>
      <c r="AO48" s="19">
        <f t="shared" si="86"/>
        <v>0</v>
      </c>
      <c r="AP48" s="19" t="e">
        <f t="shared" si="87"/>
        <v>#DIV/0!</v>
      </c>
      <c r="AQ48" s="19">
        <f t="shared" si="88"/>
        <v>0</v>
      </c>
      <c r="AR48" s="19" t="e">
        <f t="shared" si="89"/>
        <v>#DIV/0!</v>
      </c>
      <c r="AS48" s="19">
        <f t="shared" si="90"/>
        <v>0</v>
      </c>
      <c r="AT48" s="19" t="e">
        <f t="shared" si="91"/>
        <v>#DIV/0!</v>
      </c>
      <c r="AU48" s="19">
        <f t="shared" si="92"/>
        <v>0</v>
      </c>
      <c r="AV48" s="19" t="e">
        <f t="shared" si="93"/>
        <v>#DIV/0!</v>
      </c>
      <c r="AW48" s="19">
        <f t="shared" si="94"/>
        <v>0</v>
      </c>
      <c r="AX48" s="19" t="e">
        <f t="shared" si="95"/>
        <v>#DIV/0!</v>
      </c>
      <c r="AY48" s="19">
        <f t="shared" si="96"/>
        <v>0</v>
      </c>
      <c r="AZ48" s="19" t="e">
        <f t="shared" si="97"/>
        <v>#DIV/0!</v>
      </c>
      <c r="BA48" s="19">
        <f t="shared" si="98"/>
        <v>0</v>
      </c>
      <c r="BB48" s="19" t="e">
        <f t="shared" si="99"/>
        <v>#DIV/0!</v>
      </c>
      <c r="BC48" s="19">
        <f t="shared" si="100"/>
        <v>0</v>
      </c>
      <c r="BD48" s="19" t="e">
        <f t="shared" si="101"/>
        <v>#DIV/0!</v>
      </c>
    </row>
    <row r="49" spans="1:56">
      <c r="A49" s="17">
        <v>3</v>
      </c>
      <c r="B49" s="18" t="s">
        <v>23</v>
      </c>
      <c r="C49" s="19"/>
      <c r="D49" s="19"/>
      <c r="E49" s="19"/>
      <c r="F49" s="19"/>
      <c r="G49" s="18"/>
      <c r="H49" s="18"/>
      <c r="I49" s="18"/>
      <c r="J49" s="18"/>
      <c r="K49" s="18"/>
      <c r="L49" s="18"/>
      <c r="M49" s="18"/>
      <c r="N49" s="18"/>
      <c r="P49" s="17">
        <v>3</v>
      </c>
      <c r="Q49" s="18" t="s">
        <v>23</v>
      </c>
      <c r="R49" s="19"/>
      <c r="S49" s="19"/>
      <c r="T49" s="19"/>
      <c r="U49" s="19"/>
      <c r="V49" s="18"/>
      <c r="W49" s="18"/>
      <c r="X49" s="18"/>
      <c r="Y49" s="18"/>
      <c r="Z49" s="18"/>
      <c r="AA49" s="18"/>
      <c r="AB49" s="18"/>
      <c r="AC49" s="18"/>
      <c r="AE49" s="17">
        <v>3</v>
      </c>
      <c r="AF49" s="18" t="s">
        <v>23</v>
      </c>
      <c r="AG49" s="19">
        <f t="shared" si="78"/>
        <v>0</v>
      </c>
      <c r="AH49" s="19" t="e">
        <f t="shared" si="79"/>
        <v>#DIV/0!</v>
      </c>
      <c r="AI49" s="19">
        <f t="shared" si="80"/>
        <v>0</v>
      </c>
      <c r="AJ49" s="19" t="e">
        <f t="shared" si="81"/>
        <v>#DIV/0!</v>
      </c>
      <c r="AK49" s="19">
        <f t="shared" si="82"/>
        <v>0</v>
      </c>
      <c r="AL49" s="19" t="e">
        <f t="shared" si="83"/>
        <v>#DIV/0!</v>
      </c>
      <c r="AM49" s="19">
        <f t="shared" si="84"/>
        <v>0</v>
      </c>
      <c r="AN49" s="19" t="e">
        <f t="shared" si="85"/>
        <v>#DIV/0!</v>
      </c>
      <c r="AO49" s="19">
        <f t="shared" si="86"/>
        <v>0</v>
      </c>
      <c r="AP49" s="19" t="e">
        <f t="shared" si="87"/>
        <v>#DIV/0!</v>
      </c>
      <c r="AQ49" s="19">
        <f t="shared" si="88"/>
        <v>0</v>
      </c>
      <c r="AR49" s="19" t="e">
        <f t="shared" si="89"/>
        <v>#DIV/0!</v>
      </c>
      <c r="AS49" s="19">
        <f t="shared" si="90"/>
        <v>0</v>
      </c>
      <c r="AT49" s="19" t="e">
        <f t="shared" si="91"/>
        <v>#DIV/0!</v>
      </c>
      <c r="AU49" s="19">
        <f t="shared" si="92"/>
        <v>0</v>
      </c>
      <c r="AV49" s="19" t="e">
        <f t="shared" si="93"/>
        <v>#DIV/0!</v>
      </c>
      <c r="AW49" s="19">
        <f t="shared" si="94"/>
        <v>0</v>
      </c>
      <c r="AX49" s="19" t="e">
        <f t="shared" si="95"/>
        <v>#DIV/0!</v>
      </c>
      <c r="AY49" s="19">
        <f t="shared" si="96"/>
        <v>0</v>
      </c>
      <c r="AZ49" s="19" t="e">
        <f t="shared" si="97"/>
        <v>#DIV/0!</v>
      </c>
      <c r="BA49" s="19">
        <f t="shared" si="98"/>
        <v>0</v>
      </c>
      <c r="BB49" s="19" t="e">
        <f t="shared" si="99"/>
        <v>#DIV/0!</v>
      </c>
      <c r="BC49" s="19">
        <f t="shared" si="100"/>
        <v>0</v>
      </c>
      <c r="BD49" s="19" t="e">
        <f t="shared" si="101"/>
        <v>#DIV/0!</v>
      </c>
    </row>
    <row r="50" spans="1:56">
      <c r="A50" s="17">
        <v>4</v>
      </c>
      <c r="B50" s="18" t="s">
        <v>25</v>
      </c>
      <c r="C50" s="19"/>
      <c r="D50" s="19"/>
      <c r="E50" s="19"/>
      <c r="F50" s="19"/>
      <c r="G50" s="18"/>
      <c r="H50" s="18"/>
      <c r="I50" s="18"/>
      <c r="J50" s="18"/>
      <c r="K50" s="18"/>
      <c r="L50" s="18"/>
      <c r="M50" s="18"/>
      <c r="N50" s="18"/>
      <c r="P50" s="17">
        <v>4</v>
      </c>
      <c r="Q50" s="18" t="s">
        <v>25</v>
      </c>
      <c r="R50" s="19"/>
      <c r="S50" s="19"/>
      <c r="T50" s="19"/>
      <c r="U50" s="19"/>
      <c r="V50" s="18"/>
      <c r="W50" s="18"/>
      <c r="X50" s="18"/>
      <c r="Y50" s="18"/>
      <c r="Z50" s="18"/>
      <c r="AA50" s="18"/>
      <c r="AB50" s="18"/>
      <c r="AC50" s="18"/>
      <c r="AE50" s="17">
        <v>4</v>
      </c>
      <c r="AF50" s="18" t="s">
        <v>25</v>
      </c>
      <c r="AG50" s="19">
        <f t="shared" si="78"/>
        <v>0</v>
      </c>
      <c r="AH50" s="19" t="e">
        <f t="shared" si="79"/>
        <v>#DIV/0!</v>
      </c>
      <c r="AI50" s="19">
        <f t="shared" si="80"/>
        <v>0</v>
      </c>
      <c r="AJ50" s="19" t="e">
        <f t="shared" si="81"/>
        <v>#DIV/0!</v>
      </c>
      <c r="AK50" s="19">
        <f t="shared" si="82"/>
        <v>0</v>
      </c>
      <c r="AL50" s="19" t="e">
        <f t="shared" si="83"/>
        <v>#DIV/0!</v>
      </c>
      <c r="AM50" s="19">
        <f t="shared" si="84"/>
        <v>0</v>
      </c>
      <c r="AN50" s="19" t="e">
        <f t="shared" si="85"/>
        <v>#DIV/0!</v>
      </c>
      <c r="AO50" s="19">
        <f t="shared" si="86"/>
        <v>0</v>
      </c>
      <c r="AP50" s="19" t="e">
        <f t="shared" si="87"/>
        <v>#DIV/0!</v>
      </c>
      <c r="AQ50" s="19">
        <f t="shared" si="88"/>
        <v>0</v>
      </c>
      <c r="AR50" s="19" t="e">
        <f t="shared" si="89"/>
        <v>#DIV/0!</v>
      </c>
      <c r="AS50" s="19">
        <f t="shared" si="90"/>
        <v>0</v>
      </c>
      <c r="AT50" s="19" t="e">
        <f t="shared" si="91"/>
        <v>#DIV/0!</v>
      </c>
      <c r="AU50" s="19">
        <f t="shared" si="92"/>
        <v>0</v>
      </c>
      <c r="AV50" s="19" t="e">
        <f t="shared" si="93"/>
        <v>#DIV/0!</v>
      </c>
      <c r="AW50" s="19">
        <f t="shared" si="94"/>
        <v>0</v>
      </c>
      <c r="AX50" s="19" t="e">
        <f t="shared" si="95"/>
        <v>#DIV/0!</v>
      </c>
      <c r="AY50" s="19">
        <f t="shared" si="96"/>
        <v>0</v>
      </c>
      <c r="AZ50" s="19" t="e">
        <f t="shared" si="97"/>
        <v>#DIV/0!</v>
      </c>
      <c r="BA50" s="19">
        <f t="shared" si="98"/>
        <v>0</v>
      </c>
      <c r="BB50" s="19" t="e">
        <f t="shared" si="99"/>
        <v>#DIV/0!</v>
      </c>
      <c r="BC50" s="19">
        <f t="shared" si="100"/>
        <v>0</v>
      </c>
      <c r="BD50" s="19" t="e">
        <f t="shared" si="101"/>
        <v>#DIV/0!</v>
      </c>
    </row>
    <row r="51" spans="1:56">
      <c r="A51" s="17">
        <v>5</v>
      </c>
      <c r="B51" s="18" t="s">
        <v>27</v>
      </c>
      <c r="C51" s="19"/>
      <c r="D51" s="19"/>
      <c r="E51" s="19"/>
      <c r="F51" s="19"/>
      <c r="G51" s="18"/>
      <c r="H51" s="18"/>
      <c r="I51" s="18"/>
      <c r="J51" s="18"/>
      <c r="K51" s="18"/>
      <c r="L51" s="18"/>
      <c r="M51" s="18"/>
      <c r="N51" s="18"/>
      <c r="P51" s="17">
        <v>5</v>
      </c>
      <c r="Q51" s="18" t="s">
        <v>27</v>
      </c>
      <c r="R51" s="19"/>
      <c r="S51" s="19"/>
      <c r="T51" s="19"/>
      <c r="U51" s="19"/>
      <c r="V51" s="18"/>
      <c r="W51" s="18"/>
      <c r="X51" s="18"/>
      <c r="Y51" s="18"/>
      <c r="Z51" s="18"/>
      <c r="AA51" s="18"/>
      <c r="AB51" s="18"/>
      <c r="AC51" s="18"/>
      <c r="AE51" s="17">
        <v>5</v>
      </c>
      <c r="AF51" s="18" t="s">
        <v>27</v>
      </c>
      <c r="AG51" s="19">
        <f t="shared" si="78"/>
        <v>0</v>
      </c>
      <c r="AH51" s="19" t="e">
        <f t="shared" si="79"/>
        <v>#DIV/0!</v>
      </c>
      <c r="AI51" s="19">
        <f t="shared" si="80"/>
        <v>0</v>
      </c>
      <c r="AJ51" s="19" t="e">
        <f t="shared" si="81"/>
        <v>#DIV/0!</v>
      </c>
      <c r="AK51" s="19">
        <f t="shared" si="82"/>
        <v>0</v>
      </c>
      <c r="AL51" s="19" t="e">
        <f t="shared" si="83"/>
        <v>#DIV/0!</v>
      </c>
      <c r="AM51" s="19">
        <f t="shared" si="84"/>
        <v>0</v>
      </c>
      <c r="AN51" s="19" t="e">
        <f t="shared" si="85"/>
        <v>#DIV/0!</v>
      </c>
      <c r="AO51" s="19">
        <f t="shared" si="86"/>
        <v>0</v>
      </c>
      <c r="AP51" s="19" t="e">
        <f t="shared" si="87"/>
        <v>#DIV/0!</v>
      </c>
      <c r="AQ51" s="19">
        <f t="shared" si="88"/>
        <v>0</v>
      </c>
      <c r="AR51" s="19" t="e">
        <f t="shared" si="89"/>
        <v>#DIV/0!</v>
      </c>
      <c r="AS51" s="19">
        <f t="shared" si="90"/>
        <v>0</v>
      </c>
      <c r="AT51" s="19" t="e">
        <f t="shared" si="91"/>
        <v>#DIV/0!</v>
      </c>
      <c r="AU51" s="19">
        <f t="shared" si="92"/>
        <v>0</v>
      </c>
      <c r="AV51" s="19" t="e">
        <f t="shared" si="93"/>
        <v>#DIV/0!</v>
      </c>
      <c r="AW51" s="19">
        <f t="shared" si="94"/>
        <v>0</v>
      </c>
      <c r="AX51" s="19" t="e">
        <f t="shared" si="95"/>
        <v>#DIV/0!</v>
      </c>
      <c r="AY51" s="19">
        <f t="shared" si="96"/>
        <v>0</v>
      </c>
      <c r="AZ51" s="19" t="e">
        <f t="shared" si="97"/>
        <v>#DIV/0!</v>
      </c>
      <c r="BA51" s="19">
        <f t="shared" si="98"/>
        <v>0</v>
      </c>
      <c r="BB51" s="19" t="e">
        <f t="shared" si="99"/>
        <v>#DIV/0!</v>
      </c>
      <c r="BC51" s="19">
        <f t="shared" si="100"/>
        <v>0</v>
      </c>
      <c r="BD51" s="19" t="e">
        <f t="shared" si="101"/>
        <v>#DIV/0!</v>
      </c>
    </row>
    <row r="52" spans="1:56">
      <c r="A52" s="17">
        <v>6</v>
      </c>
      <c r="B52" s="18" t="s">
        <v>29</v>
      </c>
      <c r="C52" s="19">
        <v>5006371.5599999996</v>
      </c>
      <c r="D52" s="19">
        <v>5168612.3600000003</v>
      </c>
      <c r="E52" s="19">
        <v>-5336261.13</v>
      </c>
      <c r="F52" s="19"/>
      <c r="G52" s="18"/>
      <c r="H52" s="18"/>
      <c r="I52" s="18"/>
      <c r="J52" s="18"/>
      <c r="K52" s="18"/>
      <c r="L52" s="18"/>
      <c r="M52" s="18"/>
      <c r="N52" s="18"/>
      <c r="P52" s="17">
        <v>6</v>
      </c>
      <c r="Q52" s="18" t="s">
        <v>29</v>
      </c>
      <c r="R52" s="19">
        <v>5629976.0099999998</v>
      </c>
      <c r="S52" s="19">
        <v>5760753.1299999999</v>
      </c>
      <c r="T52" s="19">
        <v>5885910.6299999999</v>
      </c>
      <c r="U52" s="19"/>
      <c r="V52" s="18"/>
      <c r="W52" s="18"/>
      <c r="X52" s="18"/>
      <c r="Y52" s="18"/>
      <c r="Z52" s="18"/>
      <c r="AA52" s="18"/>
      <c r="AB52" s="18"/>
      <c r="AC52" s="18"/>
      <c r="AE52" s="17">
        <v>6</v>
      </c>
      <c r="AF52" s="18" t="s">
        <v>29</v>
      </c>
      <c r="AG52" s="19">
        <f t="shared" si="78"/>
        <v>-623604.45000000019</v>
      </c>
      <c r="AH52" s="19">
        <f t="shared" si="79"/>
        <v>-12.456215894610912</v>
      </c>
      <c r="AI52" s="19">
        <f t="shared" si="80"/>
        <v>-592140.76999999955</v>
      </c>
      <c r="AJ52" s="19">
        <f t="shared" si="81"/>
        <v>-11.45647475099099</v>
      </c>
      <c r="AK52" s="19">
        <f t="shared" si="82"/>
        <v>-11222171.76</v>
      </c>
      <c r="AL52" s="19">
        <f t="shared" si="83"/>
        <v>210.30027366745449</v>
      </c>
      <c r="AM52" s="19">
        <f t="shared" si="84"/>
        <v>0</v>
      </c>
      <c r="AN52" s="19" t="e">
        <f t="shared" si="85"/>
        <v>#DIV/0!</v>
      </c>
      <c r="AO52" s="19">
        <f t="shared" si="86"/>
        <v>0</v>
      </c>
      <c r="AP52" s="19" t="e">
        <f t="shared" si="87"/>
        <v>#DIV/0!</v>
      </c>
      <c r="AQ52" s="19">
        <f t="shared" si="88"/>
        <v>0</v>
      </c>
      <c r="AR52" s="19" t="e">
        <f t="shared" si="89"/>
        <v>#DIV/0!</v>
      </c>
      <c r="AS52" s="19">
        <f t="shared" si="90"/>
        <v>0</v>
      </c>
      <c r="AT52" s="19" t="e">
        <f t="shared" si="91"/>
        <v>#DIV/0!</v>
      </c>
      <c r="AU52" s="19">
        <f t="shared" si="92"/>
        <v>0</v>
      </c>
      <c r="AV52" s="19" t="e">
        <f t="shared" si="93"/>
        <v>#DIV/0!</v>
      </c>
      <c r="AW52" s="19">
        <f t="shared" si="94"/>
        <v>0</v>
      </c>
      <c r="AX52" s="19" t="e">
        <f t="shared" si="95"/>
        <v>#DIV/0!</v>
      </c>
      <c r="AY52" s="19">
        <f t="shared" si="96"/>
        <v>0</v>
      </c>
      <c r="AZ52" s="19" t="e">
        <f t="shared" si="97"/>
        <v>#DIV/0!</v>
      </c>
      <c r="BA52" s="19">
        <f t="shared" si="98"/>
        <v>0</v>
      </c>
      <c r="BB52" s="19" t="e">
        <f t="shared" si="99"/>
        <v>#DIV/0!</v>
      </c>
      <c r="BC52" s="19">
        <f t="shared" si="100"/>
        <v>0</v>
      </c>
      <c r="BD52" s="19" t="e">
        <f t="shared" si="101"/>
        <v>#DIV/0!</v>
      </c>
    </row>
    <row r="53" spans="1:56">
      <c r="A53" s="17">
        <v>7</v>
      </c>
      <c r="B53" s="18" t="s">
        <v>31</v>
      </c>
      <c r="C53" s="19"/>
      <c r="D53" s="19"/>
      <c r="E53" s="19"/>
      <c r="F53" s="19"/>
      <c r="G53" s="18"/>
      <c r="H53" s="18"/>
      <c r="I53" s="18"/>
      <c r="J53" s="18"/>
      <c r="K53" s="18"/>
      <c r="L53" s="18"/>
      <c r="M53" s="18"/>
      <c r="N53" s="18"/>
      <c r="P53" s="17">
        <v>7</v>
      </c>
      <c r="Q53" s="18" t="s">
        <v>31</v>
      </c>
      <c r="R53" s="19"/>
      <c r="S53" s="19"/>
      <c r="T53" s="19"/>
      <c r="U53" s="19"/>
      <c r="V53" s="18"/>
      <c r="W53" s="18"/>
      <c r="X53" s="18"/>
      <c r="Y53" s="18"/>
      <c r="Z53" s="18"/>
      <c r="AA53" s="18"/>
      <c r="AB53" s="18"/>
      <c r="AC53" s="18"/>
      <c r="AE53" s="17">
        <v>7</v>
      </c>
      <c r="AF53" s="18" t="s">
        <v>31</v>
      </c>
      <c r="AG53" s="19">
        <f t="shared" si="78"/>
        <v>0</v>
      </c>
      <c r="AH53" s="19" t="e">
        <f t="shared" si="79"/>
        <v>#DIV/0!</v>
      </c>
      <c r="AI53" s="19">
        <f t="shared" si="80"/>
        <v>0</v>
      </c>
      <c r="AJ53" s="19" t="e">
        <f t="shared" si="81"/>
        <v>#DIV/0!</v>
      </c>
      <c r="AK53" s="19">
        <f t="shared" si="82"/>
        <v>0</v>
      </c>
      <c r="AL53" s="19" t="e">
        <f t="shared" si="83"/>
        <v>#DIV/0!</v>
      </c>
      <c r="AM53" s="19">
        <f t="shared" si="84"/>
        <v>0</v>
      </c>
      <c r="AN53" s="19" t="e">
        <f t="shared" si="85"/>
        <v>#DIV/0!</v>
      </c>
      <c r="AO53" s="19">
        <f t="shared" si="86"/>
        <v>0</v>
      </c>
      <c r="AP53" s="19" t="e">
        <f t="shared" si="87"/>
        <v>#DIV/0!</v>
      </c>
      <c r="AQ53" s="19">
        <f t="shared" si="88"/>
        <v>0</v>
      </c>
      <c r="AR53" s="19" t="e">
        <f t="shared" si="89"/>
        <v>#DIV/0!</v>
      </c>
      <c r="AS53" s="19">
        <f t="shared" si="90"/>
        <v>0</v>
      </c>
      <c r="AT53" s="19" t="e">
        <f t="shared" si="91"/>
        <v>#DIV/0!</v>
      </c>
      <c r="AU53" s="19">
        <f t="shared" si="92"/>
        <v>0</v>
      </c>
      <c r="AV53" s="19" t="e">
        <f t="shared" si="93"/>
        <v>#DIV/0!</v>
      </c>
      <c r="AW53" s="19">
        <f t="shared" si="94"/>
        <v>0</v>
      </c>
      <c r="AX53" s="19" t="e">
        <f t="shared" si="95"/>
        <v>#DIV/0!</v>
      </c>
      <c r="AY53" s="19">
        <f t="shared" si="96"/>
        <v>0</v>
      </c>
      <c r="AZ53" s="19" t="e">
        <f t="shared" si="97"/>
        <v>#DIV/0!</v>
      </c>
      <c r="BA53" s="19">
        <f t="shared" si="98"/>
        <v>0</v>
      </c>
      <c r="BB53" s="19" t="e">
        <f t="shared" si="99"/>
        <v>#DIV/0!</v>
      </c>
      <c r="BC53" s="19">
        <f t="shared" si="100"/>
        <v>0</v>
      </c>
      <c r="BD53" s="19" t="e">
        <f t="shared" si="101"/>
        <v>#DIV/0!</v>
      </c>
    </row>
    <row r="54" spans="1:56">
      <c r="A54" s="17">
        <v>8</v>
      </c>
      <c r="B54" s="18" t="s">
        <v>33</v>
      </c>
      <c r="C54" s="19"/>
      <c r="D54" s="19"/>
      <c r="E54" s="19"/>
      <c r="F54" s="19"/>
      <c r="G54" s="18"/>
      <c r="H54" s="18"/>
      <c r="I54" s="18"/>
      <c r="J54" s="18"/>
      <c r="K54" s="18"/>
      <c r="L54" s="18"/>
      <c r="M54" s="18"/>
      <c r="N54" s="18"/>
      <c r="P54" s="17">
        <v>8</v>
      </c>
      <c r="Q54" s="18" t="s">
        <v>33</v>
      </c>
      <c r="R54" s="19">
        <v>807248</v>
      </c>
      <c r="S54" s="19">
        <v>807248</v>
      </c>
      <c r="T54" s="19">
        <v>807248</v>
      </c>
      <c r="U54" s="19"/>
      <c r="V54" s="18"/>
      <c r="W54" s="18"/>
      <c r="X54" s="18"/>
      <c r="Y54" s="18"/>
      <c r="Z54" s="18"/>
      <c r="AA54" s="18"/>
      <c r="AB54" s="18"/>
      <c r="AC54" s="18"/>
      <c r="AE54" s="17">
        <v>8</v>
      </c>
      <c r="AF54" s="18" t="s">
        <v>33</v>
      </c>
      <c r="AG54" s="19">
        <f t="shared" si="78"/>
        <v>-807248</v>
      </c>
      <c r="AH54" s="19" t="e">
        <f t="shared" si="79"/>
        <v>#DIV/0!</v>
      </c>
      <c r="AI54" s="19">
        <f t="shared" si="80"/>
        <v>-807248</v>
      </c>
      <c r="AJ54" s="19" t="e">
        <f t="shared" si="81"/>
        <v>#DIV/0!</v>
      </c>
      <c r="AK54" s="19">
        <f t="shared" si="82"/>
        <v>-807248</v>
      </c>
      <c r="AL54" s="19" t="e">
        <f t="shared" si="83"/>
        <v>#DIV/0!</v>
      </c>
      <c r="AM54" s="19">
        <f t="shared" si="84"/>
        <v>0</v>
      </c>
      <c r="AN54" s="19" t="e">
        <f t="shared" si="85"/>
        <v>#DIV/0!</v>
      </c>
      <c r="AO54" s="19">
        <f t="shared" si="86"/>
        <v>0</v>
      </c>
      <c r="AP54" s="19" t="e">
        <f t="shared" si="87"/>
        <v>#DIV/0!</v>
      </c>
      <c r="AQ54" s="19">
        <f t="shared" si="88"/>
        <v>0</v>
      </c>
      <c r="AR54" s="19" t="e">
        <f t="shared" si="89"/>
        <v>#DIV/0!</v>
      </c>
      <c r="AS54" s="19">
        <f t="shared" si="90"/>
        <v>0</v>
      </c>
      <c r="AT54" s="19" t="e">
        <f t="shared" si="91"/>
        <v>#DIV/0!</v>
      </c>
      <c r="AU54" s="19">
        <f t="shared" si="92"/>
        <v>0</v>
      </c>
      <c r="AV54" s="19" t="e">
        <f t="shared" si="93"/>
        <v>#DIV/0!</v>
      </c>
      <c r="AW54" s="19">
        <f t="shared" si="94"/>
        <v>0</v>
      </c>
      <c r="AX54" s="19" t="e">
        <f t="shared" si="95"/>
        <v>#DIV/0!</v>
      </c>
      <c r="AY54" s="19">
        <f t="shared" si="96"/>
        <v>0</v>
      </c>
      <c r="AZ54" s="19" t="e">
        <f t="shared" si="97"/>
        <v>#DIV/0!</v>
      </c>
      <c r="BA54" s="19">
        <f t="shared" si="98"/>
        <v>0</v>
      </c>
      <c r="BB54" s="19" t="e">
        <f t="shared" si="99"/>
        <v>#DIV/0!</v>
      </c>
      <c r="BC54" s="19">
        <f t="shared" si="100"/>
        <v>0</v>
      </c>
      <c r="BD54" s="19" t="e">
        <f t="shared" si="101"/>
        <v>#DIV/0!</v>
      </c>
    </row>
    <row r="55" spans="1:56">
      <c r="A55" s="17">
        <v>9</v>
      </c>
      <c r="B55" s="18" t="s">
        <v>35</v>
      </c>
      <c r="C55" s="19"/>
      <c r="D55" s="19"/>
      <c r="E55" s="19"/>
      <c r="F55" s="19"/>
      <c r="G55" s="18"/>
      <c r="H55" s="18"/>
      <c r="I55" s="18"/>
      <c r="J55" s="18"/>
      <c r="K55" s="18"/>
      <c r="L55" s="18"/>
      <c r="M55" s="18"/>
      <c r="N55" s="18"/>
      <c r="P55" s="17">
        <v>9</v>
      </c>
      <c r="Q55" s="18" t="s">
        <v>35</v>
      </c>
      <c r="R55" s="19"/>
      <c r="S55" s="19"/>
      <c r="T55" s="19"/>
      <c r="U55" s="19"/>
      <c r="V55" s="18"/>
      <c r="W55" s="18"/>
      <c r="X55" s="18"/>
      <c r="Y55" s="18"/>
      <c r="Z55" s="18"/>
      <c r="AA55" s="18"/>
      <c r="AB55" s="18"/>
      <c r="AC55" s="18"/>
      <c r="AE55" s="17">
        <v>9</v>
      </c>
      <c r="AF55" s="18" t="s">
        <v>35</v>
      </c>
      <c r="AG55" s="19">
        <f t="shared" si="78"/>
        <v>0</v>
      </c>
      <c r="AH55" s="19" t="e">
        <f t="shared" si="79"/>
        <v>#DIV/0!</v>
      </c>
      <c r="AI55" s="19">
        <f t="shared" si="80"/>
        <v>0</v>
      </c>
      <c r="AJ55" s="19" t="e">
        <f t="shared" si="81"/>
        <v>#DIV/0!</v>
      </c>
      <c r="AK55" s="19">
        <f t="shared" si="82"/>
        <v>0</v>
      </c>
      <c r="AL55" s="19" t="e">
        <f t="shared" si="83"/>
        <v>#DIV/0!</v>
      </c>
      <c r="AM55" s="19">
        <f t="shared" si="84"/>
        <v>0</v>
      </c>
      <c r="AN55" s="19" t="e">
        <f t="shared" si="85"/>
        <v>#DIV/0!</v>
      </c>
      <c r="AO55" s="19">
        <f t="shared" si="86"/>
        <v>0</v>
      </c>
      <c r="AP55" s="19" t="e">
        <f t="shared" si="87"/>
        <v>#DIV/0!</v>
      </c>
      <c r="AQ55" s="19">
        <f t="shared" si="88"/>
        <v>0</v>
      </c>
      <c r="AR55" s="19" t="e">
        <f t="shared" si="89"/>
        <v>#DIV/0!</v>
      </c>
      <c r="AS55" s="19">
        <f t="shared" si="90"/>
        <v>0</v>
      </c>
      <c r="AT55" s="19" t="e">
        <f t="shared" si="91"/>
        <v>#DIV/0!</v>
      </c>
      <c r="AU55" s="19">
        <f t="shared" si="92"/>
        <v>0</v>
      </c>
      <c r="AV55" s="19" t="e">
        <f t="shared" si="93"/>
        <v>#DIV/0!</v>
      </c>
      <c r="AW55" s="19">
        <f t="shared" si="94"/>
        <v>0</v>
      </c>
      <c r="AX55" s="19" t="e">
        <f t="shared" si="95"/>
        <v>#DIV/0!</v>
      </c>
      <c r="AY55" s="19">
        <f t="shared" si="96"/>
        <v>0</v>
      </c>
      <c r="AZ55" s="19" t="e">
        <f t="shared" si="97"/>
        <v>#DIV/0!</v>
      </c>
      <c r="BA55" s="19">
        <f t="shared" si="98"/>
        <v>0</v>
      </c>
      <c r="BB55" s="19" t="e">
        <f t="shared" si="99"/>
        <v>#DIV/0!</v>
      </c>
      <c r="BC55" s="19">
        <f t="shared" si="100"/>
        <v>0</v>
      </c>
      <c r="BD55" s="19" t="e">
        <f t="shared" si="101"/>
        <v>#DIV/0!</v>
      </c>
    </row>
    <row r="56" spans="1:56">
      <c r="A56" s="17">
        <v>10</v>
      </c>
      <c r="B56" s="18" t="s">
        <v>37</v>
      </c>
      <c r="C56" s="19"/>
      <c r="D56" s="19"/>
      <c r="E56" s="19"/>
      <c r="F56" s="19"/>
      <c r="G56" s="18"/>
      <c r="H56" s="18"/>
      <c r="I56" s="18"/>
      <c r="J56" s="18"/>
      <c r="K56" s="18"/>
      <c r="L56" s="18"/>
      <c r="M56" s="18"/>
      <c r="N56" s="18"/>
      <c r="P56" s="17">
        <v>10</v>
      </c>
      <c r="Q56" s="18" t="s">
        <v>37</v>
      </c>
      <c r="R56" s="19"/>
      <c r="S56" s="19"/>
      <c r="T56" s="19"/>
      <c r="U56" s="19"/>
      <c r="V56" s="18"/>
      <c r="W56" s="18"/>
      <c r="X56" s="18"/>
      <c r="Y56" s="18"/>
      <c r="Z56" s="18"/>
      <c r="AA56" s="18"/>
      <c r="AB56" s="18"/>
      <c r="AC56" s="18"/>
      <c r="AE56" s="17">
        <v>10</v>
      </c>
      <c r="AF56" s="18" t="s">
        <v>37</v>
      </c>
      <c r="AG56" s="19">
        <f t="shared" si="78"/>
        <v>0</v>
      </c>
      <c r="AH56" s="19" t="e">
        <f t="shared" si="79"/>
        <v>#DIV/0!</v>
      </c>
      <c r="AI56" s="19">
        <f t="shared" si="80"/>
        <v>0</v>
      </c>
      <c r="AJ56" s="19" t="e">
        <f t="shared" si="81"/>
        <v>#DIV/0!</v>
      </c>
      <c r="AK56" s="19">
        <f t="shared" si="82"/>
        <v>0</v>
      </c>
      <c r="AL56" s="19" t="e">
        <f t="shared" si="83"/>
        <v>#DIV/0!</v>
      </c>
      <c r="AM56" s="19">
        <f t="shared" si="84"/>
        <v>0</v>
      </c>
      <c r="AN56" s="19" t="e">
        <f t="shared" si="85"/>
        <v>#DIV/0!</v>
      </c>
      <c r="AO56" s="19">
        <f t="shared" si="86"/>
        <v>0</v>
      </c>
      <c r="AP56" s="19" t="e">
        <f t="shared" si="87"/>
        <v>#DIV/0!</v>
      </c>
      <c r="AQ56" s="19">
        <f t="shared" si="88"/>
        <v>0</v>
      </c>
      <c r="AR56" s="19" t="e">
        <f t="shared" si="89"/>
        <v>#DIV/0!</v>
      </c>
      <c r="AS56" s="19">
        <f t="shared" si="90"/>
        <v>0</v>
      </c>
      <c r="AT56" s="19" t="e">
        <f t="shared" si="91"/>
        <v>#DIV/0!</v>
      </c>
      <c r="AU56" s="19">
        <f t="shared" si="92"/>
        <v>0</v>
      </c>
      <c r="AV56" s="19" t="e">
        <f t="shared" si="93"/>
        <v>#DIV/0!</v>
      </c>
      <c r="AW56" s="19">
        <f t="shared" si="94"/>
        <v>0</v>
      </c>
      <c r="AX56" s="19" t="e">
        <f t="shared" si="95"/>
        <v>#DIV/0!</v>
      </c>
      <c r="AY56" s="19">
        <f t="shared" si="96"/>
        <v>0</v>
      </c>
      <c r="AZ56" s="19" t="e">
        <f t="shared" si="97"/>
        <v>#DIV/0!</v>
      </c>
      <c r="BA56" s="19">
        <f t="shared" si="98"/>
        <v>0</v>
      </c>
      <c r="BB56" s="19" t="e">
        <f t="shared" si="99"/>
        <v>#DIV/0!</v>
      </c>
      <c r="BC56" s="19">
        <f t="shared" si="100"/>
        <v>0</v>
      </c>
      <c r="BD56" s="19" t="e">
        <f t="shared" si="101"/>
        <v>#DIV/0!</v>
      </c>
    </row>
    <row r="57" spans="1:56">
      <c r="A57" s="17">
        <v>11</v>
      </c>
      <c r="B57" s="18" t="s">
        <v>39</v>
      </c>
      <c r="C57" s="19"/>
      <c r="D57" s="19"/>
      <c r="E57" s="19"/>
      <c r="F57" s="19"/>
      <c r="G57" s="18"/>
      <c r="H57" s="18"/>
      <c r="I57" s="18"/>
      <c r="J57" s="18"/>
      <c r="K57" s="18"/>
      <c r="L57" s="18"/>
      <c r="M57" s="18"/>
      <c r="N57" s="18"/>
      <c r="P57" s="17">
        <v>11</v>
      </c>
      <c r="Q57" s="18" t="s">
        <v>39</v>
      </c>
      <c r="R57" s="19"/>
      <c r="S57" s="19"/>
      <c r="T57" s="19"/>
      <c r="U57" s="19"/>
      <c r="V57" s="18"/>
      <c r="W57" s="18"/>
      <c r="X57" s="18"/>
      <c r="Y57" s="18"/>
      <c r="Z57" s="18"/>
      <c r="AA57" s="18"/>
      <c r="AB57" s="18"/>
      <c r="AC57" s="18"/>
      <c r="AE57" s="17">
        <v>11</v>
      </c>
      <c r="AF57" s="18" t="s">
        <v>39</v>
      </c>
      <c r="AG57" s="19">
        <f t="shared" si="78"/>
        <v>0</v>
      </c>
      <c r="AH57" s="19" t="e">
        <f t="shared" si="79"/>
        <v>#DIV/0!</v>
      </c>
      <c r="AI57" s="19">
        <f t="shared" si="80"/>
        <v>0</v>
      </c>
      <c r="AJ57" s="19" t="e">
        <f t="shared" si="81"/>
        <v>#DIV/0!</v>
      </c>
      <c r="AK57" s="19">
        <f t="shared" si="82"/>
        <v>0</v>
      </c>
      <c r="AL57" s="19" t="e">
        <f t="shared" si="83"/>
        <v>#DIV/0!</v>
      </c>
      <c r="AM57" s="19">
        <f t="shared" si="84"/>
        <v>0</v>
      </c>
      <c r="AN57" s="19" t="e">
        <f t="shared" si="85"/>
        <v>#DIV/0!</v>
      </c>
      <c r="AO57" s="19">
        <f t="shared" si="86"/>
        <v>0</v>
      </c>
      <c r="AP57" s="19" t="e">
        <f t="shared" si="87"/>
        <v>#DIV/0!</v>
      </c>
      <c r="AQ57" s="19">
        <f t="shared" si="88"/>
        <v>0</v>
      </c>
      <c r="AR57" s="19" t="e">
        <f t="shared" si="89"/>
        <v>#DIV/0!</v>
      </c>
      <c r="AS57" s="19">
        <f t="shared" si="90"/>
        <v>0</v>
      </c>
      <c r="AT57" s="19" t="e">
        <f t="shared" si="91"/>
        <v>#DIV/0!</v>
      </c>
      <c r="AU57" s="19">
        <f t="shared" si="92"/>
        <v>0</v>
      </c>
      <c r="AV57" s="19" t="e">
        <f t="shared" si="93"/>
        <v>#DIV/0!</v>
      </c>
      <c r="AW57" s="19">
        <f t="shared" si="94"/>
        <v>0</v>
      </c>
      <c r="AX57" s="19" t="e">
        <f t="shared" si="95"/>
        <v>#DIV/0!</v>
      </c>
      <c r="AY57" s="19">
        <f t="shared" si="96"/>
        <v>0</v>
      </c>
      <c r="AZ57" s="19" t="e">
        <f t="shared" si="97"/>
        <v>#DIV/0!</v>
      </c>
      <c r="BA57" s="19">
        <f t="shared" si="98"/>
        <v>0</v>
      </c>
      <c r="BB57" s="19" t="e">
        <f t="shared" si="99"/>
        <v>#DIV/0!</v>
      </c>
      <c r="BC57" s="19">
        <f t="shared" si="100"/>
        <v>0</v>
      </c>
      <c r="BD57" s="19" t="e">
        <f t="shared" si="101"/>
        <v>#DIV/0!</v>
      </c>
    </row>
    <row r="58" spans="1:56">
      <c r="A58" s="17">
        <v>12</v>
      </c>
      <c r="B58" s="18" t="s">
        <v>41</v>
      </c>
      <c r="C58" s="19"/>
      <c r="D58" s="19"/>
      <c r="E58" s="19"/>
      <c r="F58" s="19"/>
      <c r="G58" s="18"/>
      <c r="H58" s="18"/>
      <c r="I58" s="18"/>
      <c r="J58" s="18"/>
      <c r="K58" s="18"/>
      <c r="L58" s="18"/>
      <c r="M58" s="18"/>
      <c r="N58" s="18"/>
      <c r="P58" s="17">
        <v>12</v>
      </c>
      <c r="Q58" s="18" t="s">
        <v>41</v>
      </c>
      <c r="R58" s="19"/>
      <c r="S58" s="19"/>
      <c r="T58" s="19"/>
      <c r="U58" s="19"/>
      <c r="V58" s="18"/>
      <c r="W58" s="18"/>
      <c r="X58" s="18"/>
      <c r="Y58" s="18"/>
      <c r="Z58" s="18"/>
      <c r="AA58" s="18"/>
      <c r="AB58" s="18"/>
      <c r="AC58" s="18"/>
      <c r="AE58" s="17">
        <v>12</v>
      </c>
      <c r="AF58" s="18" t="s">
        <v>41</v>
      </c>
      <c r="AG58" s="19">
        <f t="shared" si="78"/>
        <v>0</v>
      </c>
      <c r="AH58" s="19" t="e">
        <f t="shared" si="79"/>
        <v>#DIV/0!</v>
      </c>
      <c r="AI58" s="19">
        <f t="shared" si="80"/>
        <v>0</v>
      </c>
      <c r="AJ58" s="19" t="e">
        <f t="shared" si="81"/>
        <v>#DIV/0!</v>
      </c>
      <c r="AK58" s="19">
        <f t="shared" si="82"/>
        <v>0</v>
      </c>
      <c r="AL58" s="19" t="e">
        <f t="shared" si="83"/>
        <v>#DIV/0!</v>
      </c>
      <c r="AM58" s="19">
        <f t="shared" si="84"/>
        <v>0</v>
      </c>
      <c r="AN58" s="19" t="e">
        <f t="shared" si="85"/>
        <v>#DIV/0!</v>
      </c>
      <c r="AO58" s="19">
        <f t="shared" si="86"/>
        <v>0</v>
      </c>
      <c r="AP58" s="19" t="e">
        <f t="shared" si="87"/>
        <v>#DIV/0!</v>
      </c>
      <c r="AQ58" s="19">
        <f t="shared" si="88"/>
        <v>0</v>
      </c>
      <c r="AR58" s="19" t="e">
        <f t="shared" si="89"/>
        <v>#DIV/0!</v>
      </c>
      <c r="AS58" s="19">
        <f t="shared" si="90"/>
        <v>0</v>
      </c>
      <c r="AT58" s="19" t="e">
        <f t="shared" si="91"/>
        <v>#DIV/0!</v>
      </c>
      <c r="AU58" s="19">
        <f t="shared" si="92"/>
        <v>0</v>
      </c>
      <c r="AV58" s="19" t="e">
        <f t="shared" si="93"/>
        <v>#DIV/0!</v>
      </c>
      <c r="AW58" s="19">
        <f t="shared" si="94"/>
        <v>0</v>
      </c>
      <c r="AX58" s="19" t="e">
        <f t="shared" si="95"/>
        <v>#DIV/0!</v>
      </c>
      <c r="AY58" s="19">
        <f t="shared" si="96"/>
        <v>0</v>
      </c>
      <c r="AZ58" s="19" t="e">
        <f t="shared" si="97"/>
        <v>#DIV/0!</v>
      </c>
      <c r="BA58" s="19">
        <f t="shared" si="98"/>
        <v>0</v>
      </c>
      <c r="BB58" s="19" t="e">
        <f t="shared" si="99"/>
        <v>#DIV/0!</v>
      </c>
      <c r="BC58" s="19">
        <f t="shared" si="100"/>
        <v>0</v>
      </c>
      <c r="BD58" s="19" t="e">
        <f t="shared" si="101"/>
        <v>#DIV/0!</v>
      </c>
    </row>
    <row r="59" spans="1:56">
      <c r="A59" s="17">
        <v>13</v>
      </c>
      <c r="B59" s="18" t="s">
        <v>43</v>
      </c>
      <c r="C59" s="19"/>
      <c r="D59" s="19"/>
      <c r="E59" s="19"/>
      <c r="F59" s="19"/>
      <c r="G59" s="18"/>
      <c r="H59" s="18"/>
      <c r="I59" s="18"/>
      <c r="J59" s="18"/>
      <c r="K59" s="18"/>
      <c r="L59" s="18"/>
      <c r="M59" s="18"/>
      <c r="N59" s="18"/>
      <c r="P59" s="17">
        <v>13</v>
      </c>
      <c r="Q59" s="18" t="s">
        <v>43</v>
      </c>
      <c r="R59" s="19">
        <v>1327101.8</v>
      </c>
      <c r="S59" s="19">
        <v>1327101.8</v>
      </c>
      <c r="T59" s="19">
        <v>1327101.8</v>
      </c>
      <c r="U59" s="19"/>
      <c r="V59" s="18"/>
      <c r="W59" s="18"/>
      <c r="X59" s="18"/>
      <c r="Y59" s="18"/>
      <c r="Z59" s="18"/>
      <c r="AA59" s="18"/>
      <c r="AB59" s="18"/>
      <c r="AC59" s="18"/>
      <c r="AE59" s="17">
        <v>13</v>
      </c>
      <c r="AF59" s="18" t="s">
        <v>43</v>
      </c>
      <c r="AG59" s="19">
        <f t="shared" si="78"/>
        <v>-1327101.8</v>
      </c>
      <c r="AH59" s="19" t="e">
        <f t="shared" si="79"/>
        <v>#DIV/0!</v>
      </c>
      <c r="AI59" s="19">
        <f t="shared" si="80"/>
        <v>-1327101.8</v>
      </c>
      <c r="AJ59" s="19" t="e">
        <f t="shared" si="81"/>
        <v>#DIV/0!</v>
      </c>
      <c r="AK59" s="19">
        <f t="shared" si="82"/>
        <v>-1327101.8</v>
      </c>
      <c r="AL59" s="19" t="e">
        <f t="shared" si="83"/>
        <v>#DIV/0!</v>
      </c>
      <c r="AM59" s="19">
        <f t="shared" si="84"/>
        <v>0</v>
      </c>
      <c r="AN59" s="19" t="e">
        <f t="shared" si="85"/>
        <v>#DIV/0!</v>
      </c>
      <c r="AO59" s="19">
        <f t="shared" si="86"/>
        <v>0</v>
      </c>
      <c r="AP59" s="19" t="e">
        <f t="shared" si="87"/>
        <v>#DIV/0!</v>
      </c>
      <c r="AQ59" s="19">
        <f t="shared" si="88"/>
        <v>0</v>
      </c>
      <c r="AR59" s="19" t="e">
        <f t="shared" si="89"/>
        <v>#DIV/0!</v>
      </c>
      <c r="AS59" s="19">
        <f t="shared" si="90"/>
        <v>0</v>
      </c>
      <c r="AT59" s="19" t="e">
        <f t="shared" si="91"/>
        <v>#DIV/0!</v>
      </c>
      <c r="AU59" s="19">
        <f t="shared" si="92"/>
        <v>0</v>
      </c>
      <c r="AV59" s="19" t="e">
        <f t="shared" si="93"/>
        <v>#DIV/0!</v>
      </c>
      <c r="AW59" s="19">
        <f t="shared" si="94"/>
        <v>0</v>
      </c>
      <c r="AX59" s="19" t="e">
        <f t="shared" si="95"/>
        <v>#DIV/0!</v>
      </c>
      <c r="AY59" s="19">
        <f t="shared" si="96"/>
        <v>0</v>
      </c>
      <c r="AZ59" s="19" t="e">
        <f t="shared" si="97"/>
        <v>#DIV/0!</v>
      </c>
      <c r="BA59" s="19">
        <f t="shared" si="98"/>
        <v>0</v>
      </c>
      <c r="BB59" s="19" t="e">
        <f t="shared" si="99"/>
        <v>#DIV/0!</v>
      </c>
      <c r="BC59" s="19">
        <f t="shared" si="100"/>
        <v>0</v>
      </c>
      <c r="BD59" s="19" t="e">
        <f t="shared" si="101"/>
        <v>#DIV/0!</v>
      </c>
    </row>
    <row r="60" spans="1:56">
      <c r="A60" s="17">
        <v>14</v>
      </c>
      <c r="B60" s="18" t="s">
        <v>44</v>
      </c>
      <c r="C60" s="19"/>
      <c r="D60" s="19"/>
      <c r="E60" s="19"/>
      <c r="F60" s="19"/>
      <c r="G60" s="18"/>
      <c r="H60" s="18"/>
      <c r="I60" s="18"/>
      <c r="J60" s="18"/>
      <c r="K60" s="18"/>
      <c r="L60" s="18"/>
      <c r="M60" s="18"/>
      <c r="N60" s="18"/>
      <c r="P60" s="17">
        <v>14</v>
      </c>
      <c r="Q60" s="18" t="s">
        <v>44</v>
      </c>
      <c r="R60" s="19"/>
      <c r="S60" s="19"/>
      <c r="T60" s="19"/>
      <c r="U60" s="19"/>
      <c r="V60" s="18"/>
      <c r="W60" s="18"/>
      <c r="X60" s="18"/>
      <c r="Y60" s="18"/>
      <c r="Z60" s="18"/>
      <c r="AA60" s="18"/>
      <c r="AB60" s="18"/>
      <c r="AC60" s="18"/>
      <c r="AE60" s="17">
        <v>14</v>
      </c>
      <c r="AF60" s="18" t="s">
        <v>44</v>
      </c>
      <c r="AG60" s="19">
        <f t="shared" si="78"/>
        <v>0</v>
      </c>
      <c r="AH60" s="19" t="e">
        <f t="shared" si="79"/>
        <v>#DIV/0!</v>
      </c>
      <c r="AI60" s="19">
        <f t="shared" si="80"/>
        <v>0</v>
      </c>
      <c r="AJ60" s="19" t="e">
        <f t="shared" si="81"/>
        <v>#DIV/0!</v>
      </c>
      <c r="AK60" s="19">
        <f t="shared" si="82"/>
        <v>0</v>
      </c>
      <c r="AL60" s="19" t="e">
        <f t="shared" si="83"/>
        <v>#DIV/0!</v>
      </c>
      <c r="AM60" s="19">
        <f t="shared" si="84"/>
        <v>0</v>
      </c>
      <c r="AN60" s="19" t="e">
        <f t="shared" si="85"/>
        <v>#DIV/0!</v>
      </c>
      <c r="AO60" s="19">
        <f t="shared" si="86"/>
        <v>0</v>
      </c>
      <c r="AP60" s="19" t="e">
        <f t="shared" si="87"/>
        <v>#DIV/0!</v>
      </c>
      <c r="AQ60" s="19">
        <f t="shared" si="88"/>
        <v>0</v>
      </c>
      <c r="AR60" s="19" t="e">
        <f t="shared" si="89"/>
        <v>#DIV/0!</v>
      </c>
      <c r="AS60" s="19">
        <f t="shared" si="90"/>
        <v>0</v>
      </c>
      <c r="AT60" s="19" t="e">
        <f t="shared" si="91"/>
        <v>#DIV/0!</v>
      </c>
      <c r="AU60" s="19">
        <f t="shared" si="92"/>
        <v>0</v>
      </c>
      <c r="AV60" s="19" t="e">
        <f t="shared" si="93"/>
        <v>#DIV/0!</v>
      </c>
      <c r="AW60" s="19">
        <f t="shared" si="94"/>
        <v>0</v>
      </c>
      <c r="AX60" s="19" t="e">
        <f t="shared" si="95"/>
        <v>#DIV/0!</v>
      </c>
      <c r="AY60" s="19">
        <f t="shared" si="96"/>
        <v>0</v>
      </c>
      <c r="AZ60" s="19" t="e">
        <f t="shared" si="97"/>
        <v>#DIV/0!</v>
      </c>
      <c r="BA60" s="19">
        <f t="shared" si="98"/>
        <v>0</v>
      </c>
      <c r="BB60" s="19" t="e">
        <f t="shared" si="99"/>
        <v>#DIV/0!</v>
      </c>
      <c r="BC60" s="19">
        <f t="shared" si="100"/>
        <v>0</v>
      </c>
      <c r="BD60" s="19" t="e">
        <f t="shared" si="101"/>
        <v>#DIV/0!</v>
      </c>
    </row>
    <row r="61" spans="1:56" ht="25.2" thickBot="1">
      <c r="A61" s="17"/>
      <c r="B61" s="20" t="s">
        <v>17</v>
      </c>
      <c r="C61" s="27">
        <f>SUM(C47:C60)</f>
        <v>7006200.5599999996</v>
      </c>
      <c r="D61" s="27">
        <f t="shared" ref="D61:N61" si="102">SUM(D47:D60)</f>
        <v>7168441.3600000003</v>
      </c>
      <c r="E61" s="27">
        <f t="shared" si="102"/>
        <v>-7336090.1299999999</v>
      </c>
      <c r="F61" s="27">
        <f t="shared" si="102"/>
        <v>0</v>
      </c>
      <c r="G61" s="27">
        <f t="shared" si="102"/>
        <v>0</v>
      </c>
      <c r="H61" s="27">
        <f t="shared" si="102"/>
        <v>0</v>
      </c>
      <c r="I61" s="27">
        <f t="shared" si="102"/>
        <v>0</v>
      </c>
      <c r="J61" s="27">
        <f t="shared" si="102"/>
        <v>0</v>
      </c>
      <c r="K61" s="27">
        <f t="shared" si="102"/>
        <v>0</v>
      </c>
      <c r="L61" s="27">
        <f t="shared" si="102"/>
        <v>0</v>
      </c>
      <c r="M61" s="27">
        <f t="shared" si="102"/>
        <v>0</v>
      </c>
      <c r="N61" s="27">
        <f t="shared" si="102"/>
        <v>0</v>
      </c>
      <c r="P61" s="17"/>
      <c r="Q61" s="20" t="s">
        <v>17</v>
      </c>
      <c r="R61" s="27">
        <f>SUM(R47:R60)</f>
        <v>16782890.809999999</v>
      </c>
      <c r="S61" s="27">
        <f t="shared" ref="S61:AC61" si="103">SUM(S47:S60)</f>
        <v>16913667.93</v>
      </c>
      <c r="T61" s="27">
        <f t="shared" si="103"/>
        <v>17038825.43</v>
      </c>
      <c r="U61" s="27">
        <f t="shared" si="103"/>
        <v>0</v>
      </c>
      <c r="V61" s="27">
        <f t="shared" si="103"/>
        <v>0</v>
      </c>
      <c r="W61" s="27">
        <f t="shared" si="103"/>
        <v>0</v>
      </c>
      <c r="X61" s="27">
        <f t="shared" si="103"/>
        <v>0</v>
      </c>
      <c r="Y61" s="27">
        <f t="shared" si="103"/>
        <v>0</v>
      </c>
      <c r="Z61" s="27">
        <f t="shared" si="103"/>
        <v>0</v>
      </c>
      <c r="AA61" s="27">
        <f t="shared" si="103"/>
        <v>0</v>
      </c>
      <c r="AB61" s="27">
        <f t="shared" si="103"/>
        <v>0</v>
      </c>
      <c r="AC61" s="27">
        <f t="shared" si="103"/>
        <v>0</v>
      </c>
      <c r="AE61" s="17"/>
      <c r="AF61" s="20" t="s">
        <v>17</v>
      </c>
      <c r="AG61" s="23">
        <f t="shared" si="78"/>
        <v>-9776690.25</v>
      </c>
      <c r="AH61" s="23">
        <f t="shared" si="79"/>
        <v>-139.54339682790925</v>
      </c>
      <c r="AI61" s="23">
        <f t="shared" si="80"/>
        <v>-9745226.5700000003</v>
      </c>
      <c r="AJ61" s="23">
        <f t="shared" si="81"/>
        <v>-135.94624103893068</v>
      </c>
      <c r="AK61" s="23">
        <f t="shared" si="82"/>
        <v>-24374915.559999999</v>
      </c>
      <c r="AL61" s="23">
        <f t="shared" si="83"/>
        <v>332.26030662194165</v>
      </c>
      <c r="AM61" s="23">
        <f t="shared" si="84"/>
        <v>0</v>
      </c>
      <c r="AN61" s="23" t="e">
        <f t="shared" si="85"/>
        <v>#DIV/0!</v>
      </c>
      <c r="AO61" s="23">
        <f t="shared" si="86"/>
        <v>0</v>
      </c>
      <c r="AP61" s="23" t="e">
        <f t="shared" si="87"/>
        <v>#DIV/0!</v>
      </c>
      <c r="AQ61" s="23">
        <f t="shared" si="88"/>
        <v>0</v>
      </c>
      <c r="AR61" s="23" t="e">
        <f t="shared" si="89"/>
        <v>#DIV/0!</v>
      </c>
      <c r="AS61" s="23">
        <f t="shared" si="90"/>
        <v>0</v>
      </c>
      <c r="AT61" s="23" t="e">
        <f t="shared" si="91"/>
        <v>#DIV/0!</v>
      </c>
      <c r="AU61" s="23">
        <f t="shared" si="92"/>
        <v>0</v>
      </c>
      <c r="AV61" s="23" t="e">
        <f t="shared" si="93"/>
        <v>#DIV/0!</v>
      </c>
      <c r="AW61" s="23">
        <f t="shared" si="94"/>
        <v>0</v>
      </c>
      <c r="AX61" s="23" t="e">
        <f t="shared" si="95"/>
        <v>#DIV/0!</v>
      </c>
      <c r="AY61" s="23">
        <f t="shared" si="96"/>
        <v>0</v>
      </c>
      <c r="AZ61" s="23" t="e">
        <f t="shared" si="97"/>
        <v>#DIV/0!</v>
      </c>
      <c r="BA61" s="23">
        <f t="shared" si="98"/>
        <v>0</v>
      </c>
      <c r="BB61" s="23" t="e">
        <f t="shared" si="99"/>
        <v>#DIV/0!</v>
      </c>
      <c r="BC61" s="23">
        <f t="shared" si="100"/>
        <v>0</v>
      </c>
      <c r="BD61" s="23" t="e">
        <f t="shared" si="101"/>
        <v>#DIV/0!</v>
      </c>
    </row>
    <row r="62" spans="1:56" ht="25.2" thickTop="1"/>
    <row r="63" spans="1:56">
      <c r="A63" s="32" t="s">
        <v>1942</v>
      </c>
      <c r="B63" s="32"/>
      <c r="C63" s="32"/>
      <c r="D63" s="32"/>
      <c r="E63" s="32"/>
      <c r="F63" s="32"/>
      <c r="G63" s="32"/>
      <c r="H63" s="32"/>
      <c r="I63" s="32"/>
    </row>
    <row r="64" spans="1:56" customFormat="1" ht="21">
      <c r="A64" s="28" t="s">
        <v>659</v>
      </c>
      <c r="B64" s="28" t="s">
        <v>660</v>
      </c>
      <c r="C64" s="28" t="s">
        <v>661</v>
      </c>
      <c r="D64" s="28" t="s">
        <v>662</v>
      </c>
      <c r="E64" s="28" t="s">
        <v>663</v>
      </c>
      <c r="F64" s="28" t="s">
        <v>664</v>
      </c>
      <c r="G64" s="28" t="s">
        <v>665</v>
      </c>
    </row>
    <row r="65" spans="1:9" customFormat="1" ht="21">
      <c r="A65" s="28" t="s">
        <v>197</v>
      </c>
      <c r="B65" s="28" t="s">
        <v>91</v>
      </c>
      <c r="C65" s="28" t="s">
        <v>198</v>
      </c>
      <c r="D65" s="28" t="s">
        <v>199</v>
      </c>
      <c r="E65" s="29">
        <v>701563.89</v>
      </c>
      <c r="F65" s="29">
        <v>-70047.14</v>
      </c>
      <c r="G65" s="29">
        <v>631516.75</v>
      </c>
      <c r="H65" t="s">
        <v>993</v>
      </c>
      <c r="I65" t="s">
        <v>11</v>
      </c>
    </row>
    <row r="66" spans="1:9" customFormat="1" ht="21">
      <c r="A66" s="28" t="s">
        <v>197</v>
      </c>
      <c r="B66" s="28" t="s">
        <v>108</v>
      </c>
      <c r="C66" s="28" t="s">
        <v>198</v>
      </c>
      <c r="D66" s="28" t="s">
        <v>199</v>
      </c>
      <c r="E66" s="29">
        <v>406168.56</v>
      </c>
      <c r="F66" s="29">
        <v>-406167.56</v>
      </c>
      <c r="G66" s="29">
        <v>1</v>
      </c>
      <c r="H66" t="s">
        <v>993</v>
      </c>
      <c r="I66" t="s">
        <v>11</v>
      </c>
    </row>
    <row r="67" spans="1:9" customFormat="1" ht="21">
      <c r="A67" s="28" t="s">
        <v>200</v>
      </c>
      <c r="B67" s="28" t="s">
        <v>91</v>
      </c>
      <c r="C67" s="28" t="s">
        <v>198</v>
      </c>
      <c r="D67" s="28" t="s">
        <v>201</v>
      </c>
      <c r="E67" s="29">
        <v>4094100</v>
      </c>
      <c r="F67" s="29">
        <v>-4094099</v>
      </c>
      <c r="G67" s="29">
        <v>1</v>
      </c>
      <c r="H67" t="s">
        <v>993</v>
      </c>
      <c r="I67" t="s">
        <v>11</v>
      </c>
    </row>
    <row r="68" spans="1:9" customFormat="1" ht="21">
      <c r="A68" s="28" t="s">
        <v>202</v>
      </c>
      <c r="B68" s="28" t="s">
        <v>91</v>
      </c>
      <c r="C68" s="28" t="s">
        <v>198</v>
      </c>
      <c r="D68" s="28" t="s">
        <v>203</v>
      </c>
      <c r="E68" s="29">
        <v>1884680</v>
      </c>
      <c r="F68" s="29">
        <v>-425620.5</v>
      </c>
      <c r="G68" s="29">
        <v>1459059.5</v>
      </c>
      <c r="H68" t="s">
        <v>993</v>
      </c>
      <c r="I68" t="s">
        <v>11</v>
      </c>
    </row>
    <row r="69" spans="1:9" customFormat="1" ht="21">
      <c r="A69" s="28" t="s">
        <v>202</v>
      </c>
      <c r="B69" s="28" t="s">
        <v>108</v>
      </c>
      <c r="C69" s="28" t="s">
        <v>198</v>
      </c>
      <c r="D69" s="28" t="s">
        <v>203</v>
      </c>
      <c r="E69" s="29">
        <v>4846320</v>
      </c>
      <c r="F69" s="29">
        <v>-4846319</v>
      </c>
      <c r="G69" s="29">
        <v>1</v>
      </c>
      <c r="H69" t="s">
        <v>993</v>
      </c>
      <c r="I69" t="s">
        <v>11</v>
      </c>
    </row>
    <row r="70" spans="1:9" customFormat="1" ht="21">
      <c r="A70" s="28" t="s">
        <v>204</v>
      </c>
      <c r="B70" s="28" t="s">
        <v>91</v>
      </c>
      <c r="C70" s="28" t="s">
        <v>198</v>
      </c>
      <c r="D70" s="28" t="s">
        <v>205</v>
      </c>
      <c r="E70" s="29">
        <v>607500</v>
      </c>
      <c r="F70" s="29">
        <v>-607499</v>
      </c>
      <c r="G70" s="29">
        <v>1</v>
      </c>
      <c r="H70" t="s">
        <v>993</v>
      </c>
      <c r="I70" t="s">
        <v>11</v>
      </c>
    </row>
    <row r="71" spans="1:9" customFormat="1" ht="21">
      <c r="A71" s="28" t="s">
        <v>206</v>
      </c>
      <c r="B71" s="28" t="s">
        <v>91</v>
      </c>
      <c r="C71" s="28" t="s">
        <v>198</v>
      </c>
      <c r="D71" s="28" t="s">
        <v>207</v>
      </c>
      <c r="E71" s="29">
        <v>247000</v>
      </c>
      <c r="F71" s="29">
        <v>-246999</v>
      </c>
      <c r="G71" s="29">
        <v>1</v>
      </c>
      <c r="H71" t="s">
        <v>993</v>
      </c>
      <c r="I71" t="s">
        <v>11</v>
      </c>
    </row>
    <row r="72" spans="1:9" customFormat="1" ht="21">
      <c r="A72" s="28" t="s">
        <v>208</v>
      </c>
      <c r="B72" s="28" t="s">
        <v>91</v>
      </c>
      <c r="C72" s="28" t="s">
        <v>198</v>
      </c>
      <c r="D72" s="28" t="s">
        <v>209</v>
      </c>
      <c r="E72" s="29">
        <v>209000</v>
      </c>
      <c r="F72" s="29">
        <v>-208999</v>
      </c>
      <c r="G72" s="29">
        <v>1</v>
      </c>
      <c r="H72" t="s">
        <v>993</v>
      </c>
      <c r="I72" t="s">
        <v>11</v>
      </c>
    </row>
    <row r="73" spans="1:9" customFormat="1" ht="21">
      <c r="A73" s="28" t="s">
        <v>210</v>
      </c>
      <c r="B73" s="28" t="s">
        <v>91</v>
      </c>
      <c r="C73" s="28" t="s">
        <v>198</v>
      </c>
      <c r="D73" s="28" t="s">
        <v>209</v>
      </c>
      <c r="E73" s="29">
        <v>209000</v>
      </c>
      <c r="F73" s="29">
        <v>-208999</v>
      </c>
      <c r="G73" s="29">
        <v>1</v>
      </c>
      <c r="H73" t="s">
        <v>993</v>
      </c>
      <c r="I73" t="s">
        <v>11</v>
      </c>
    </row>
    <row r="74" spans="1:9" customFormat="1" ht="21">
      <c r="A74" s="28" t="s">
        <v>211</v>
      </c>
      <c r="B74" s="28" t="s">
        <v>91</v>
      </c>
      <c r="C74" s="28" t="s">
        <v>198</v>
      </c>
      <c r="D74" s="28" t="s">
        <v>209</v>
      </c>
      <c r="E74" s="29">
        <v>223000</v>
      </c>
      <c r="F74" s="29">
        <v>-222999</v>
      </c>
      <c r="G74" s="29">
        <v>1</v>
      </c>
      <c r="H74" t="s">
        <v>993</v>
      </c>
      <c r="I74" t="s">
        <v>11</v>
      </c>
    </row>
    <row r="75" spans="1:9" customFormat="1" ht="21">
      <c r="A75" s="28" t="s">
        <v>212</v>
      </c>
      <c r="B75" s="28" t="s">
        <v>91</v>
      </c>
      <c r="C75" s="28" t="s">
        <v>198</v>
      </c>
      <c r="D75" s="28" t="s">
        <v>209</v>
      </c>
      <c r="E75" s="29">
        <v>681000</v>
      </c>
      <c r="F75" s="29">
        <v>-680999</v>
      </c>
      <c r="G75" s="29">
        <v>1</v>
      </c>
      <c r="H75" t="s">
        <v>993</v>
      </c>
      <c r="I75" t="s">
        <v>11</v>
      </c>
    </row>
    <row r="76" spans="1:9" customFormat="1" ht="21">
      <c r="A76" s="28" t="s">
        <v>213</v>
      </c>
      <c r="B76" s="28" t="s">
        <v>91</v>
      </c>
      <c r="C76" s="28" t="s">
        <v>198</v>
      </c>
      <c r="D76" s="28" t="s">
        <v>209</v>
      </c>
      <c r="E76" s="29">
        <v>223000</v>
      </c>
      <c r="F76" s="29">
        <v>-222999</v>
      </c>
      <c r="G76" s="29">
        <v>1</v>
      </c>
      <c r="H76" t="s">
        <v>993</v>
      </c>
      <c r="I76" t="s">
        <v>11</v>
      </c>
    </row>
    <row r="77" spans="1:9" customFormat="1" ht="21">
      <c r="A77" s="28" t="s">
        <v>214</v>
      </c>
      <c r="B77" s="28" t="s">
        <v>91</v>
      </c>
      <c r="C77" s="28" t="s">
        <v>198</v>
      </c>
      <c r="D77" s="28" t="s">
        <v>209</v>
      </c>
      <c r="E77" s="29">
        <v>681000</v>
      </c>
      <c r="F77" s="29">
        <v>-680999</v>
      </c>
      <c r="G77" s="29">
        <v>1</v>
      </c>
      <c r="H77" t="s">
        <v>993</v>
      </c>
      <c r="I77" t="s">
        <v>11</v>
      </c>
    </row>
    <row r="78" spans="1:9" customFormat="1" ht="21">
      <c r="A78" s="28" t="s">
        <v>215</v>
      </c>
      <c r="B78" s="28" t="s">
        <v>91</v>
      </c>
      <c r="C78" s="28" t="s">
        <v>198</v>
      </c>
      <c r="D78" s="28" t="s">
        <v>216</v>
      </c>
      <c r="E78" s="29">
        <v>592700</v>
      </c>
      <c r="F78" s="29">
        <v>-592699</v>
      </c>
      <c r="G78" s="29">
        <v>1</v>
      </c>
      <c r="H78" t="s">
        <v>993</v>
      </c>
      <c r="I78" t="s">
        <v>11</v>
      </c>
    </row>
    <row r="79" spans="1:9" customFormat="1" ht="21">
      <c r="A79" s="28" t="s">
        <v>217</v>
      </c>
      <c r="B79" s="28" t="s">
        <v>91</v>
      </c>
      <c r="C79" s="28" t="s">
        <v>198</v>
      </c>
      <c r="D79" s="28" t="s">
        <v>218</v>
      </c>
      <c r="E79" s="29">
        <v>514000</v>
      </c>
      <c r="F79" s="29">
        <v>-513999</v>
      </c>
      <c r="G79" s="29">
        <v>1</v>
      </c>
      <c r="H79" t="s">
        <v>993</v>
      </c>
      <c r="I79" t="s">
        <v>11</v>
      </c>
    </row>
    <row r="80" spans="1:9" customFormat="1" ht="21">
      <c r="A80" s="28" t="s">
        <v>219</v>
      </c>
      <c r="B80" s="28" t="s">
        <v>91</v>
      </c>
      <c r="C80" s="28" t="s">
        <v>198</v>
      </c>
      <c r="D80" s="28" t="s">
        <v>218</v>
      </c>
      <c r="E80" s="29">
        <v>514000</v>
      </c>
      <c r="F80" s="29">
        <v>-513999</v>
      </c>
      <c r="G80" s="29">
        <v>1</v>
      </c>
      <c r="H80" t="s">
        <v>993</v>
      </c>
      <c r="I80" t="s">
        <v>11</v>
      </c>
    </row>
    <row r="81" spans="1:9" customFormat="1" ht="21">
      <c r="A81" s="28" t="s">
        <v>494</v>
      </c>
      <c r="B81" s="28" t="s">
        <v>91</v>
      </c>
      <c r="C81" s="28" t="s">
        <v>198</v>
      </c>
      <c r="D81" s="28" t="s">
        <v>495</v>
      </c>
      <c r="E81" s="29">
        <v>484900</v>
      </c>
      <c r="F81" s="29">
        <v>-484899</v>
      </c>
      <c r="G81" s="29">
        <v>1</v>
      </c>
      <c r="H81" t="s">
        <v>993</v>
      </c>
      <c r="I81" t="s">
        <v>9</v>
      </c>
    </row>
    <row r="82" spans="1:9" customFormat="1" ht="21">
      <c r="A82" s="28" t="s">
        <v>496</v>
      </c>
      <c r="B82" s="28" t="s">
        <v>91</v>
      </c>
      <c r="C82" s="28" t="s">
        <v>198</v>
      </c>
      <c r="D82" s="28" t="s">
        <v>497</v>
      </c>
      <c r="E82" s="29">
        <v>10635055</v>
      </c>
      <c r="F82" s="29">
        <v>-10635054</v>
      </c>
      <c r="G82" s="29">
        <v>1</v>
      </c>
      <c r="H82" t="s">
        <v>993</v>
      </c>
      <c r="I82" t="s">
        <v>9</v>
      </c>
    </row>
    <row r="83" spans="1:9" customFormat="1" ht="21">
      <c r="A83" s="28" t="s">
        <v>498</v>
      </c>
      <c r="B83" s="28" t="s">
        <v>91</v>
      </c>
      <c r="C83" s="28" t="s">
        <v>198</v>
      </c>
      <c r="D83" s="28" t="s">
        <v>499</v>
      </c>
      <c r="E83" s="29">
        <v>8856000</v>
      </c>
      <c r="F83" s="29">
        <v>-8855999</v>
      </c>
      <c r="G83" s="29">
        <v>1</v>
      </c>
      <c r="H83" t="s">
        <v>993</v>
      </c>
      <c r="I83" t="s">
        <v>9</v>
      </c>
    </row>
    <row r="84" spans="1:9" customFormat="1" ht="21">
      <c r="A84" s="28" t="s">
        <v>500</v>
      </c>
      <c r="B84" s="28" t="s">
        <v>91</v>
      </c>
      <c r="C84" s="28" t="s">
        <v>198</v>
      </c>
      <c r="D84" s="28" t="s">
        <v>501</v>
      </c>
      <c r="E84" s="29">
        <v>2474680</v>
      </c>
      <c r="F84" s="29">
        <v>-469391.97</v>
      </c>
      <c r="G84" s="29">
        <v>2005288.03</v>
      </c>
      <c r="H84" t="s">
        <v>993</v>
      </c>
      <c r="I84" t="s">
        <v>9</v>
      </c>
    </row>
    <row r="85" spans="1:9" customFormat="1" ht="21">
      <c r="A85" s="28" t="s">
        <v>500</v>
      </c>
      <c r="B85" s="28" t="s">
        <v>108</v>
      </c>
      <c r="C85" s="28" t="s">
        <v>198</v>
      </c>
      <c r="D85" s="28" t="s">
        <v>501</v>
      </c>
      <c r="E85" s="29">
        <v>4949360</v>
      </c>
      <c r="F85" s="29">
        <v>-4949359</v>
      </c>
      <c r="G85" s="29">
        <v>1</v>
      </c>
      <c r="H85" t="s">
        <v>993</v>
      </c>
      <c r="I85" t="s">
        <v>9</v>
      </c>
    </row>
    <row r="86" spans="1:9" customFormat="1" ht="21">
      <c r="A86" s="28" t="s">
        <v>502</v>
      </c>
      <c r="B86" s="28" t="s">
        <v>91</v>
      </c>
      <c r="C86" s="28" t="s">
        <v>198</v>
      </c>
      <c r="D86" s="28" t="s">
        <v>503</v>
      </c>
      <c r="E86" s="29">
        <v>298704</v>
      </c>
      <c r="F86" s="29">
        <v>-67456.84</v>
      </c>
      <c r="G86" s="29">
        <v>231247.16</v>
      </c>
      <c r="H86" t="s">
        <v>993</v>
      </c>
      <c r="I86" t="s">
        <v>9</v>
      </c>
    </row>
    <row r="87" spans="1:9" customFormat="1" ht="21">
      <c r="A87" s="28" t="s">
        <v>502</v>
      </c>
      <c r="B87" s="28" t="s">
        <v>108</v>
      </c>
      <c r="C87" s="28" t="s">
        <v>198</v>
      </c>
      <c r="D87" s="28" t="s">
        <v>503</v>
      </c>
      <c r="E87" s="29">
        <v>768096</v>
      </c>
      <c r="F87" s="29">
        <v>-768095</v>
      </c>
      <c r="G87" s="29">
        <v>1</v>
      </c>
      <c r="H87" t="s">
        <v>993</v>
      </c>
      <c r="I87" t="s">
        <v>9</v>
      </c>
    </row>
    <row r="88" spans="1:9" customFormat="1" ht="21">
      <c r="A88" s="28" t="s">
        <v>645</v>
      </c>
      <c r="B88" s="28" t="s">
        <v>91</v>
      </c>
      <c r="C88" s="28" t="s">
        <v>198</v>
      </c>
      <c r="D88" s="28" t="s">
        <v>646</v>
      </c>
      <c r="E88" s="29">
        <v>368076.13</v>
      </c>
      <c r="F88" s="29">
        <v>-79335.05</v>
      </c>
      <c r="G88" s="29">
        <v>288741.08</v>
      </c>
      <c r="H88" t="s">
        <v>993</v>
      </c>
      <c r="I88" t="s">
        <v>13</v>
      </c>
    </row>
    <row r="89" spans="1:9" customFormat="1" ht="21">
      <c r="A89" s="28" t="s">
        <v>645</v>
      </c>
      <c r="B89" s="28" t="s">
        <v>108</v>
      </c>
      <c r="C89" s="28" t="s">
        <v>198</v>
      </c>
      <c r="D89" s="28" t="s">
        <v>646</v>
      </c>
      <c r="E89" s="29">
        <v>886728.87</v>
      </c>
      <c r="F89" s="29">
        <v>-886727.87</v>
      </c>
      <c r="G89" s="29">
        <v>1</v>
      </c>
      <c r="H89" t="s">
        <v>993</v>
      </c>
      <c r="I89" t="s">
        <v>13</v>
      </c>
    </row>
    <row r="90" spans="1:9" customFormat="1" ht="21">
      <c r="A90" s="28" t="s">
        <v>647</v>
      </c>
      <c r="B90" s="28" t="s">
        <v>91</v>
      </c>
      <c r="C90" s="28" t="s">
        <v>198</v>
      </c>
      <c r="D90" s="28" t="s">
        <v>648</v>
      </c>
      <c r="E90" s="29">
        <v>751200</v>
      </c>
      <c r="F90" s="29">
        <v>-751199</v>
      </c>
      <c r="G90" s="29">
        <v>1</v>
      </c>
      <c r="H90" t="s">
        <v>993</v>
      </c>
      <c r="I90" t="s">
        <v>13</v>
      </c>
    </row>
    <row r="91" spans="1:9" customFormat="1" ht="21">
      <c r="A91" s="28" t="s">
        <v>994</v>
      </c>
      <c r="B91" s="28" t="s">
        <v>91</v>
      </c>
      <c r="C91" s="28" t="s">
        <v>198</v>
      </c>
      <c r="D91" s="28" t="s">
        <v>995</v>
      </c>
      <c r="E91" s="29">
        <v>3199854.3</v>
      </c>
      <c r="F91" s="29">
        <v>-3199853.3</v>
      </c>
      <c r="G91" s="29">
        <v>1</v>
      </c>
      <c r="H91" t="s">
        <v>993</v>
      </c>
      <c r="I91" t="s">
        <v>15</v>
      </c>
    </row>
    <row r="92" spans="1:9" customFormat="1" ht="21">
      <c r="A92" s="28" t="s">
        <v>996</v>
      </c>
      <c r="B92" s="28" t="s">
        <v>91</v>
      </c>
      <c r="C92" s="28" t="s">
        <v>198</v>
      </c>
      <c r="D92" s="28" t="s">
        <v>997</v>
      </c>
      <c r="E92" s="29">
        <v>1344655</v>
      </c>
      <c r="F92" s="29">
        <v>-1344654</v>
      </c>
      <c r="G92" s="29">
        <v>1</v>
      </c>
      <c r="H92" t="s">
        <v>993</v>
      </c>
      <c r="I92" t="s">
        <v>15</v>
      </c>
    </row>
    <row r="93" spans="1:9" customFormat="1" ht="21">
      <c r="A93" s="28" t="s">
        <v>998</v>
      </c>
      <c r="B93" s="28" t="s">
        <v>91</v>
      </c>
      <c r="C93" s="28" t="s">
        <v>605</v>
      </c>
      <c r="D93" s="28" t="s">
        <v>999</v>
      </c>
      <c r="E93" s="29">
        <v>1999830</v>
      </c>
      <c r="F93" s="29">
        <v>-1999829</v>
      </c>
      <c r="G93" s="29">
        <v>1</v>
      </c>
      <c r="H93" t="s">
        <v>993</v>
      </c>
      <c r="I93" t="s">
        <v>675</v>
      </c>
    </row>
    <row r="94" spans="1:9" customFormat="1" ht="21">
      <c r="A94" s="28" t="s">
        <v>1000</v>
      </c>
      <c r="B94" s="28" t="s">
        <v>91</v>
      </c>
      <c r="C94" s="28" t="s">
        <v>1001</v>
      </c>
      <c r="D94" s="28" t="s">
        <v>1002</v>
      </c>
      <c r="E94" s="29">
        <v>1799800</v>
      </c>
      <c r="F94" s="29">
        <v>-1799799</v>
      </c>
      <c r="G94" s="29">
        <v>1</v>
      </c>
      <c r="H94" t="s">
        <v>993</v>
      </c>
      <c r="I94" t="s">
        <v>675</v>
      </c>
    </row>
    <row r="95" spans="1:9" customFormat="1" ht="21">
      <c r="A95" s="28" t="s">
        <v>1003</v>
      </c>
      <c r="B95" s="28" t="s">
        <v>91</v>
      </c>
      <c r="C95" s="28" t="s">
        <v>679</v>
      </c>
      <c r="D95" s="28" t="s">
        <v>680</v>
      </c>
      <c r="E95" s="29">
        <v>449663</v>
      </c>
      <c r="F95" s="29">
        <v>-103237.7</v>
      </c>
      <c r="G95" s="29">
        <v>346425.3</v>
      </c>
      <c r="H95" t="s">
        <v>993</v>
      </c>
      <c r="I95" t="s">
        <v>681</v>
      </c>
    </row>
    <row r="96" spans="1:9" customFormat="1" ht="21">
      <c r="A96" s="28" t="s">
        <v>1004</v>
      </c>
      <c r="B96" s="28" t="s">
        <v>91</v>
      </c>
      <c r="C96" s="28" t="s">
        <v>679</v>
      </c>
      <c r="D96" s="28" t="s">
        <v>683</v>
      </c>
      <c r="E96" s="29">
        <v>49870</v>
      </c>
      <c r="F96" s="29">
        <v>-11449.61</v>
      </c>
      <c r="G96" s="29">
        <v>38420.39</v>
      </c>
      <c r="H96" t="s">
        <v>993</v>
      </c>
      <c r="I96" t="s">
        <v>681</v>
      </c>
    </row>
    <row r="97" spans="1:9" customFormat="1" ht="21">
      <c r="A97" s="28" t="s">
        <v>1005</v>
      </c>
      <c r="B97" s="28" t="s">
        <v>91</v>
      </c>
      <c r="C97" s="28" t="s">
        <v>679</v>
      </c>
      <c r="D97" s="28" t="s">
        <v>683</v>
      </c>
      <c r="E97" s="29">
        <v>49870</v>
      </c>
      <c r="F97" s="29">
        <v>-11449.61</v>
      </c>
      <c r="G97" s="29">
        <v>38420.39</v>
      </c>
      <c r="H97" t="s">
        <v>993</v>
      </c>
      <c r="I97" t="s">
        <v>681</v>
      </c>
    </row>
    <row r="98" spans="1:9" customFormat="1" ht="21">
      <c r="A98" s="28" t="s">
        <v>1006</v>
      </c>
      <c r="B98" s="28" t="s">
        <v>91</v>
      </c>
      <c r="C98" s="28" t="s">
        <v>686</v>
      </c>
      <c r="D98" s="28" t="s">
        <v>687</v>
      </c>
      <c r="E98" s="29">
        <v>349650</v>
      </c>
      <c r="F98" s="29">
        <v>-91004.800000000003</v>
      </c>
      <c r="G98" s="29">
        <v>258645.2</v>
      </c>
      <c r="H98" t="s">
        <v>993</v>
      </c>
      <c r="I98" t="s">
        <v>681</v>
      </c>
    </row>
    <row r="99" spans="1:9" customFormat="1" ht="21">
      <c r="A99" s="28" t="s">
        <v>1007</v>
      </c>
      <c r="B99" s="28" t="s">
        <v>91</v>
      </c>
      <c r="C99" s="28" t="s">
        <v>605</v>
      </c>
      <c r="D99" s="28" t="s">
        <v>1008</v>
      </c>
      <c r="E99" s="29">
        <v>303000</v>
      </c>
      <c r="F99" s="29">
        <v>-302999</v>
      </c>
      <c r="G99" s="29">
        <v>1</v>
      </c>
      <c r="H99" t="s">
        <v>993</v>
      </c>
      <c r="I99" t="s">
        <v>681</v>
      </c>
    </row>
    <row r="100" spans="1:9" customFormat="1" ht="21">
      <c r="A100" s="28" t="s">
        <v>1009</v>
      </c>
      <c r="B100" s="28" t="s">
        <v>91</v>
      </c>
      <c r="C100" s="28" t="s">
        <v>605</v>
      </c>
      <c r="D100" s="28" t="s">
        <v>697</v>
      </c>
      <c r="E100" s="29">
        <v>150000</v>
      </c>
      <c r="F100" s="29">
        <v>-149999</v>
      </c>
      <c r="G100" s="29">
        <v>1</v>
      </c>
      <c r="H100" t="s">
        <v>993</v>
      </c>
      <c r="I100" t="s">
        <v>681</v>
      </c>
    </row>
    <row r="101" spans="1:9" customFormat="1" ht="21">
      <c r="A101" s="28" t="s">
        <v>1010</v>
      </c>
      <c r="B101" s="28" t="s">
        <v>91</v>
      </c>
      <c r="C101" s="28" t="s">
        <v>605</v>
      </c>
      <c r="D101" s="28" t="s">
        <v>1008</v>
      </c>
      <c r="E101" s="29">
        <v>140000</v>
      </c>
      <c r="F101" s="29">
        <v>-139999</v>
      </c>
      <c r="G101" s="29">
        <v>1</v>
      </c>
      <c r="H101" t="s">
        <v>993</v>
      </c>
      <c r="I101" t="s">
        <v>681</v>
      </c>
    </row>
    <row r="102" spans="1:9" customFormat="1" ht="21">
      <c r="A102" s="28" t="s">
        <v>1011</v>
      </c>
      <c r="B102" s="28" t="s">
        <v>91</v>
      </c>
      <c r="C102" s="28" t="s">
        <v>605</v>
      </c>
      <c r="D102" s="28" t="s">
        <v>798</v>
      </c>
      <c r="E102" s="29">
        <v>131800</v>
      </c>
      <c r="F102" s="29">
        <v>-131799</v>
      </c>
      <c r="G102" s="29">
        <v>1</v>
      </c>
      <c r="H102" t="s">
        <v>993</v>
      </c>
      <c r="I102" t="s">
        <v>681</v>
      </c>
    </row>
    <row r="103" spans="1:9" customFormat="1" ht="21">
      <c r="A103" s="28" t="s">
        <v>1012</v>
      </c>
      <c r="B103" s="28" t="s">
        <v>91</v>
      </c>
      <c r="C103" s="28" t="s">
        <v>605</v>
      </c>
      <c r="D103" s="28" t="s">
        <v>1013</v>
      </c>
      <c r="E103" s="29">
        <v>120000</v>
      </c>
      <c r="F103" s="29">
        <v>-119999</v>
      </c>
      <c r="G103" s="29">
        <v>1</v>
      </c>
      <c r="H103" t="s">
        <v>993</v>
      </c>
      <c r="I103" t="s">
        <v>681</v>
      </c>
    </row>
    <row r="104" spans="1:9" customFormat="1" ht="21">
      <c r="A104" s="28" t="s">
        <v>1014</v>
      </c>
      <c r="B104" s="28" t="s">
        <v>91</v>
      </c>
      <c r="C104" s="28" t="s">
        <v>605</v>
      </c>
      <c r="D104" s="28" t="s">
        <v>697</v>
      </c>
      <c r="E104" s="29">
        <v>82692</v>
      </c>
      <c r="F104" s="29">
        <v>-79445.83</v>
      </c>
      <c r="G104" s="29">
        <v>3246.17</v>
      </c>
      <c r="H104" t="s">
        <v>993</v>
      </c>
      <c r="I104" t="s">
        <v>681</v>
      </c>
    </row>
    <row r="105" spans="1:9" customFormat="1" ht="21">
      <c r="A105" s="28" t="s">
        <v>1015</v>
      </c>
      <c r="B105" s="28" t="s">
        <v>91</v>
      </c>
      <c r="C105" s="28" t="s">
        <v>605</v>
      </c>
      <c r="D105" s="28" t="s">
        <v>697</v>
      </c>
      <c r="E105" s="29">
        <v>82692</v>
      </c>
      <c r="F105" s="29">
        <v>-79445.83</v>
      </c>
      <c r="G105" s="29">
        <v>3246.17</v>
      </c>
      <c r="H105" t="s">
        <v>993</v>
      </c>
      <c r="I105" t="s">
        <v>681</v>
      </c>
    </row>
    <row r="106" spans="1:9" customFormat="1" ht="21">
      <c r="A106" s="28" t="s">
        <v>1016</v>
      </c>
      <c r="B106" s="28" t="s">
        <v>91</v>
      </c>
      <c r="C106" s="28" t="s">
        <v>605</v>
      </c>
      <c r="D106" s="28" t="s">
        <v>987</v>
      </c>
      <c r="E106" s="29">
        <v>450000</v>
      </c>
      <c r="F106" s="29">
        <v>-432088.68</v>
      </c>
      <c r="G106" s="29">
        <v>17911.32</v>
      </c>
      <c r="H106" t="s">
        <v>993</v>
      </c>
      <c r="I106" t="s">
        <v>681</v>
      </c>
    </row>
    <row r="107" spans="1:9" customFormat="1" ht="21">
      <c r="A107" s="28" t="s">
        <v>1017</v>
      </c>
      <c r="B107" s="28" t="s">
        <v>91</v>
      </c>
      <c r="C107" s="28" t="s">
        <v>605</v>
      </c>
      <c r="D107" s="28" t="s">
        <v>1018</v>
      </c>
      <c r="E107" s="29">
        <v>31500</v>
      </c>
      <c r="F107" s="29">
        <v>-27689.82</v>
      </c>
      <c r="G107" s="29">
        <v>3810.18</v>
      </c>
      <c r="H107" t="s">
        <v>993</v>
      </c>
      <c r="I107" t="s">
        <v>681</v>
      </c>
    </row>
    <row r="108" spans="1:9" customFormat="1" ht="21">
      <c r="A108" s="28" t="s">
        <v>1019</v>
      </c>
      <c r="B108" s="28" t="s">
        <v>91</v>
      </c>
      <c r="C108" s="28" t="s">
        <v>605</v>
      </c>
      <c r="D108" s="28" t="s">
        <v>701</v>
      </c>
      <c r="E108" s="29">
        <v>31500</v>
      </c>
      <c r="F108" s="29">
        <v>-27689.82</v>
      </c>
      <c r="G108" s="29">
        <v>3810.18</v>
      </c>
      <c r="H108" t="s">
        <v>993</v>
      </c>
      <c r="I108" t="s">
        <v>681</v>
      </c>
    </row>
    <row r="109" spans="1:9" customFormat="1" ht="21">
      <c r="A109" s="28" t="s">
        <v>1020</v>
      </c>
      <c r="B109" s="28" t="s">
        <v>91</v>
      </c>
      <c r="C109" s="28" t="s">
        <v>605</v>
      </c>
      <c r="D109" s="28" t="s">
        <v>982</v>
      </c>
      <c r="E109" s="29">
        <v>31500</v>
      </c>
      <c r="F109" s="29">
        <v>-27689.82</v>
      </c>
      <c r="G109" s="29">
        <v>3810.18</v>
      </c>
      <c r="H109" t="s">
        <v>993</v>
      </c>
      <c r="I109" t="s">
        <v>681</v>
      </c>
    </row>
    <row r="110" spans="1:9" customFormat="1" ht="21">
      <c r="A110" s="28" t="s">
        <v>1021</v>
      </c>
      <c r="B110" s="28" t="s">
        <v>91</v>
      </c>
      <c r="C110" s="28" t="s">
        <v>605</v>
      </c>
      <c r="D110" s="28" t="s">
        <v>855</v>
      </c>
      <c r="E110" s="29">
        <v>999500</v>
      </c>
      <c r="F110" s="29">
        <v>-956328.86</v>
      </c>
      <c r="G110" s="29">
        <v>43171.14</v>
      </c>
      <c r="H110" t="s">
        <v>993</v>
      </c>
      <c r="I110" t="s">
        <v>681</v>
      </c>
    </row>
    <row r="111" spans="1:9" customFormat="1" ht="21">
      <c r="A111" s="28" t="s">
        <v>1022</v>
      </c>
      <c r="B111" s="28" t="s">
        <v>91</v>
      </c>
      <c r="C111" s="28" t="s">
        <v>605</v>
      </c>
      <c r="D111" s="28" t="s">
        <v>855</v>
      </c>
      <c r="E111" s="29">
        <v>999500</v>
      </c>
      <c r="F111" s="29">
        <v>-956328.86</v>
      </c>
      <c r="G111" s="29">
        <v>43171.14</v>
      </c>
      <c r="H111" t="s">
        <v>993</v>
      </c>
      <c r="I111" t="s">
        <v>681</v>
      </c>
    </row>
    <row r="112" spans="1:9" customFormat="1" ht="21">
      <c r="A112" s="28" t="s">
        <v>1023</v>
      </c>
      <c r="B112" s="28" t="s">
        <v>91</v>
      </c>
      <c r="C112" s="28" t="s">
        <v>605</v>
      </c>
      <c r="D112" s="28" t="s">
        <v>798</v>
      </c>
      <c r="E112" s="29">
        <v>56235</v>
      </c>
      <c r="F112" s="29">
        <v>-52195.4</v>
      </c>
      <c r="G112" s="29">
        <v>4039.6</v>
      </c>
      <c r="H112" t="s">
        <v>993</v>
      </c>
      <c r="I112" t="s">
        <v>681</v>
      </c>
    </row>
    <row r="113" spans="1:9" customFormat="1" ht="21">
      <c r="A113" s="28" t="s">
        <v>1024</v>
      </c>
      <c r="B113" s="28" t="s">
        <v>91</v>
      </c>
      <c r="C113" s="28" t="s">
        <v>605</v>
      </c>
      <c r="D113" s="28" t="s">
        <v>798</v>
      </c>
      <c r="E113" s="29">
        <v>56235</v>
      </c>
      <c r="F113" s="29">
        <v>-52195.4</v>
      </c>
      <c r="G113" s="29">
        <v>4039.6</v>
      </c>
      <c r="H113" t="s">
        <v>993</v>
      </c>
      <c r="I113" t="s">
        <v>681</v>
      </c>
    </row>
    <row r="114" spans="1:9" customFormat="1" ht="21">
      <c r="A114" s="28" t="s">
        <v>1025</v>
      </c>
      <c r="B114" s="28" t="s">
        <v>91</v>
      </c>
      <c r="C114" s="28" t="s">
        <v>605</v>
      </c>
      <c r="D114" s="28" t="s">
        <v>798</v>
      </c>
      <c r="E114" s="29">
        <v>56235</v>
      </c>
      <c r="F114" s="29">
        <v>-52195.4</v>
      </c>
      <c r="G114" s="29">
        <v>4039.6</v>
      </c>
      <c r="H114" t="s">
        <v>993</v>
      </c>
      <c r="I114" t="s">
        <v>681</v>
      </c>
    </row>
    <row r="115" spans="1:9" customFormat="1" ht="21">
      <c r="A115" s="28" t="s">
        <v>1026</v>
      </c>
      <c r="B115" s="28" t="s">
        <v>91</v>
      </c>
      <c r="C115" s="28" t="s">
        <v>605</v>
      </c>
      <c r="D115" s="28" t="s">
        <v>798</v>
      </c>
      <c r="E115" s="29">
        <v>56235</v>
      </c>
      <c r="F115" s="29">
        <v>-52195.4</v>
      </c>
      <c r="G115" s="29">
        <v>4039.6</v>
      </c>
      <c r="H115" t="s">
        <v>993</v>
      </c>
      <c r="I115" t="s">
        <v>681</v>
      </c>
    </row>
    <row r="116" spans="1:9" customFormat="1" ht="21">
      <c r="A116" s="28" t="s">
        <v>1027</v>
      </c>
      <c r="B116" s="28" t="s">
        <v>91</v>
      </c>
      <c r="C116" s="28" t="s">
        <v>605</v>
      </c>
      <c r="D116" s="28" t="s">
        <v>798</v>
      </c>
      <c r="E116" s="29">
        <v>56235</v>
      </c>
      <c r="F116" s="29">
        <v>-52195.4</v>
      </c>
      <c r="G116" s="29">
        <v>4039.6</v>
      </c>
      <c r="H116" t="s">
        <v>993</v>
      </c>
      <c r="I116" t="s">
        <v>681</v>
      </c>
    </row>
    <row r="117" spans="1:9" customFormat="1" ht="21">
      <c r="A117" s="28" t="s">
        <v>1028</v>
      </c>
      <c r="B117" s="28" t="s">
        <v>91</v>
      </c>
      <c r="C117" s="28" t="s">
        <v>605</v>
      </c>
      <c r="D117" s="28" t="s">
        <v>798</v>
      </c>
      <c r="E117" s="29">
        <v>56235</v>
      </c>
      <c r="F117" s="29">
        <v>-52195.4</v>
      </c>
      <c r="G117" s="29">
        <v>4039.6</v>
      </c>
      <c r="H117" t="s">
        <v>993</v>
      </c>
      <c r="I117" t="s">
        <v>681</v>
      </c>
    </row>
    <row r="118" spans="1:9" customFormat="1" ht="21">
      <c r="A118" s="28" t="s">
        <v>1029</v>
      </c>
      <c r="B118" s="28" t="s">
        <v>91</v>
      </c>
      <c r="C118" s="28" t="s">
        <v>605</v>
      </c>
      <c r="D118" s="28" t="s">
        <v>811</v>
      </c>
      <c r="E118" s="29">
        <v>148500</v>
      </c>
      <c r="F118" s="29">
        <v>-116112.19</v>
      </c>
      <c r="G118" s="29">
        <v>32387.81</v>
      </c>
      <c r="H118" t="s">
        <v>993</v>
      </c>
      <c r="I118" t="s">
        <v>681</v>
      </c>
    </row>
    <row r="119" spans="1:9" customFormat="1" ht="21">
      <c r="A119" s="28" t="s">
        <v>1030</v>
      </c>
      <c r="B119" s="28" t="s">
        <v>91</v>
      </c>
      <c r="C119" s="28" t="s">
        <v>605</v>
      </c>
      <c r="D119" s="28" t="s">
        <v>811</v>
      </c>
      <c r="E119" s="29">
        <v>148500</v>
      </c>
      <c r="F119" s="29">
        <v>-116112.19</v>
      </c>
      <c r="G119" s="29">
        <v>32387.81</v>
      </c>
      <c r="H119" t="s">
        <v>993</v>
      </c>
      <c r="I119" t="s">
        <v>681</v>
      </c>
    </row>
    <row r="120" spans="1:9" customFormat="1" ht="21">
      <c r="A120" s="28" t="s">
        <v>1031</v>
      </c>
      <c r="B120" s="28" t="s">
        <v>91</v>
      </c>
      <c r="C120" s="28" t="s">
        <v>605</v>
      </c>
      <c r="D120" s="28" t="s">
        <v>811</v>
      </c>
      <c r="E120" s="29">
        <v>148500</v>
      </c>
      <c r="F120" s="29">
        <v>-116112.19</v>
      </c>
      <c r="G120" s="29">
        <v>32387.81</v>
      </c>
      <c r="H120" t="s">
        <v>993</v>
      </c>
      <c r="I120" t="s">
        <v>681</v>
      </c>
    </row>
    <row r="121" spans="1:9" customFormat="1" ht="21">
      <c r="A121" s="28" t="s">
        <v>1032</v>
      </c>
      <c r="B121" s="28" t="s">
        <v>91</v>
      </c>
      <c r="C121" s="28" t="s">
        <v>605</v>
      </c>
      <c r="D121" s="28" t="s">
        <v>811</v>
      </c>
      <c r="E121" s="29">
        <v>148500</v>
      </c>
      <c r="F121" s="29">
        <v>-116112.19</v>
      </c>
      <c r="G121" s="29">
        <v>32387.81</v>
      </c>
      <c r="H121" t="s">
        <v>993</v>
      </c>
      <c r="I121" t="s">
        <v>681</v>
      </c>
    </row>
    <row r="122" spans="1:9" customFormat="1" ht="21">
      <c r="A122" s="28" t="s">
        <v>1033</v>
      </c>
      <c r="B122" s="28" t="s">
        <v>91</v>
      </c>
      <c r="C122" s="28" t="s">
        <v>605</v>
      </c>
      <c r="D122" s="28" t="s">
        <v>811</v>
      </c>
      <c r="E122" s="29">
        <v>148500</v>
      </c>
      <c r="F122" s="29">
        <v>-116112.19</v>
      </c>
      <c r="G122" s="29">
        <v>32387.81</v>
      </c>
      <c r="H122" t="s">
        <v>993</v>
      </c>
      <c r="I122" t="s">
        <v>681</v>
      </c>
    </row>
    <row r="123" spans="1:9" customFormat="1" ht="21">
      <c r="A123" s="28" t="s">
        <v>1034</v>
      </c>
      <c r="B123" s="28" t="s">
        <v>91</v>
      </c>
      <c r="C123" s="28" t="s">
        <v>605</v>
      </c>
      <c r="D123" s="28" t="s">
        <v>1035</v>
      </c>
      <c r="E123" s="29">
        <v>798000</v>
      </c>
      <c r="F123" s="29">
        <v>-527368</v>
      </c>
      <c r="G123" s="29">
        <v>270632</v>
      </c>
      <c r="H123" t="s">
        <v>993</v>
      </c>
      <c r="I123" t="s">
        <v>681</v>
      </c>
    </row>
    <row r="124" spans="1:9" customFormat="1" ht="21">
      <c r="A124" s="28" t="s">
        <v>1036</v>
      </c>
      <c r="B124" s="28" t="s">
        <v>91</v>
      </c>
      <c r="C124" s="28" t="s">
        <v>605</v>
      </c>
      <c r="D124" s="28" t="s">
        <v>977</v>
      </c>
      <c r="E124" s="29">
        <v>250000</v>
      </c>
      <c r="F124" s="29">
        <v>-103089.95</v>
      </c>
      <c r="G124" s="29">
        <v>146910.04999999999</v>
      </c>
      <c r="H124" t="s">
        <v>993</v>
      </c>
      <c r="I124" t="s">
        <v>681</v>
      </c>
    </row>
    <row r="125" spans="1:9" customFormat="1" ht="21">
      <c r="A125" s="28" t="s">
        <v>1037</v>
      </c>
      <c r="B125" s="28" t="s">
        <v>91</v>
      </c>
      <c r="C125" s="28" t="s">
        <v>605</v>
      </c>
      <c r="D125" s="28" t="s">
        <v>1038</v>
      </c>
      <c r="E125" s="29">
        <v>250000</v>
      </c>
      <c r="F125" s="29">
        <v>-101553.06</v>
      </c>
      <c r="G125" s="29">
        <v>148446.94</v>
      </c>
      <c r="H125" t="s">
        <v>993</v>
      </c>
      <c r="I125" t="s">
        <v>681</v>
      </c>
    </row>
    <row r="126" spans="1:9" customFormat="1" ht="21">
      <c r="A126" s="28" t="s">
        <v>1039</v>
      </c>
      <c r="B126" s="28" t="s">
        <v>91</v>
      </c>
      <c r="C126" s="28" t="s">
        <v>605</v>
      </c>
      <c r="D126" s="28" t="s">
        <v>1040</v>
      </c>
      <c r="E126" s="29">
        <v>845500</v>
      </c>
      <c r="F126" s="29">
        <v>-341026.84</v>
      </c>
      <c r="G126" s="29">
        <v>504473.16</v>
      </c>
      <c r="H126" t="s">
        <v>993</v>
      </c>
      <c r="I126" t="s">
        <v>681</v>
      </c>
    </row>
    <row r="127" spans="1:9" customFormat="1" ht="21">
      <c r="A127" s="28" t="s">
        <v>1041</v>
      </c>
      <c r="B127" s="28" t="s">
        <v>91</v>
      </c>
      <c r="C127" s="28" t="s">
        <v>605</v>
      </c>
      <c r="D127" s="28" t="s">
        <v>1042</v>
      </c>
      <c r="E127" s="29">
        <v>785000</v>
      </c>
      <c r="F127" s="29">
        <v>-302341.21999999997</v>
      </c>
      <c r="G127" s="29">
        <v>482658.78</v>
      </c>
      <c r="H127" t="s">
        <v>993</v>
      </c>
      <c r="I127" t="s">
        <v>681</v>
      </c>
    </row>
    <row r="128" spans="1:9" customFormat="1" ht="21">
      <c r="A128" s="28" t="s">
        <v>1043</v>
      </c>
      <c r="B128" s="28" t="s">
        <v>91</v>
      </c>
      <c r="C128" s="28" t="s">
        <v>605</v>
      </c>
      <c r="D128" s="28" t="s">
        <v>843</v>
      </c>
      <c r="E128" s="29">
        <v>639500</v>
      </c>
      <c r="F128" s="29">
        <v>-217666.81</v>
      </c>
      <c r="G128" s="29">
        <v>421833.19</v>
      </c>
      <c r="H128" t="s">
        <v>993</v>
      </c>
      <c r="I128" t="s">
        <v>681</v>
      </c>
    </row>
    <row r="129" spans="1:9" customFormat="1" ht="21">
      <c r="A129" s="28" t="s">
        <v>1044</v>
      </c>
      <c r="B129" s="28" t="s">
        <v>91</v>
      </c>
      <c r="C129" s="28" t="s">
        <v>1001</v>
      </c>
      <c r="D129" s="28" t="s">
        <v>1045</v>
      </c>
      <c r="E129" s="29">
        <v>158888</v>
      </c>
      <c r="F129" s="29">
        <v>-158887</v>
      </c>
      <c r="G129" s="29">
        <v>1</v>
      </c>
      <c r="H129" t="s">
        <v>993</v>
      </c>
      <c r="I129" t="s">
        <v>681</v>
      </c>
    </row>
    <row r="130" spans="1:9" customFormat="1" ht="21">
      <c r="A130" s="28" t="s">
        <v>1046</v>
      </c>
      <c r="B130" s="28" t="s">
        <v>91</v>
      </c>
      <c r="C130" s="28" t="s">
        <v>1001</v>
      </c>
      <c r="D130" s="28" t="s">
        <v>1047</v>
      </c>
      <c r="E130" s="29">
        <v>46900</v>
      </c>
      <c r="F130" s="29">
        <v>-46899</v>
      </c>
      <c r="G130" s="29">
        <v>1</v>
      </c>
      <c r="H130" t="s">
        <v>993</v>
      </c>
      <c r="I130" t="s">
        <v>681</v>
      </c>
    </row>
    <row r="131" spans="1:9" customFormat="1" ht="21">
      <c r="A131" s="28" t="s">
        <v>1048</v>
      </c>
      <c r="B131" s="28" t="s">
        <v>91</v>
      </c>
      <c r="C131" s="28" t="s">
        <v>1001</v>
      </c>
      <c r="D131" s="28" t="s">
        <v>1047</v>
      </c>
      <c r="E131" s="29">
        <v>46900</v>
      </c>
      <c r="F131" s="29">
        <v>-46899</v>
      </c>
      <c r="G131" s="29">
        <v>1</v>
      </c>
      <c r="H131" t="s">
        <v>993</v>
      </c>
      <c r="I131" t="s">
        <v>681</v>
      </c>
    </row>
    <row r="132" spans="1:9" customFormat="1" ht="21">
      <c r="A132" s="28" t="s">
        <v>1049</v>
      </c>
      <c r="B132" s="28" t="s">
        <v>91</v>
      </c>
      <c r="C132" s="28" t="s">
        <v>1001</v>
      </c>
      <c r="D132" s="28" t="s">
        <v>1047</v>
      </c>
      <c r="E132" s="29">
        <v>46900</v>
      </c>
      <c r="F132" s="29">
        <v>-46899</v>
      </c>
      <c r="G132" s="29">
        <v>1</v>
      </c>
      <c r="H132" t="s">
        <v>993</v>
      </c>
      <c r="I132" t="s">
        <v>681</v>
      </c>
    </row>
    <row r="133" spans="1:9" customFormat="1" ht="21">
      <c r="A133" s="28" t="s">
        <v>1050</v>
      </c>
      <c r="B133" s="28" t="s">
        <v>91</v>
      </c>
      <c r="C133" s="28" t="s">
        <v>1001</v>
      </c>
      <c r="D133" s="28" t="s">
        <v>1051</v>
      </c>
      <c r="E133" s="29">
        <v>31600</v>
      </c>
      <c r="F133" s="29">
        <v>-31599</v>
      </c>
      <c r="G133" s="29">
        <v>1</v>
      </c>
      <c r="H133" t="s">
        <v>993</v>
      </c>
      <c r="I133" t="s">
        <v>681</v>
      </c>
    </row>
    <row r="134" spans="1:9" customFormat="1" ht="21">
      <c r="A134" s="28" t="s">
        <v>1052</v>
      </c>
      <c r="B134" s="28" t="s">
        <v>91</v>
      </c>
      <c r="C134" s="28" t="s">
        <v>1001</v>
      </c>
      <c r="D134" s="28" t="s">
        <v>1053</v>
      </c>
      <c r="E134" s="29">
        <v>31600</v>
      </c>
      <c r="F134" s="29">
        <v>-31599</v>
      </c>
      <c r="G134" s="29">
        <v>1</v>
      </c>
      <c r="H134" t="s">
        <v>993</v>
      </c>
      <c r="I134" t="s">
        <v>681</v>
      </c>
    </row>
    <row r="135" spans="1:9" customFormat="1" ht="21">
      <c r="A135" s="28" t="s">
        <v>1054</v>
      </c>
      <c r="B135" s="28" t="s">
        <v>91</v>
      </c>
      <c r="C135" s="28" t="s">
        <v>1001</v>
      </c>
      <c r="D135" s="28" t="s">
        <v>1047</v>
      </c>
      <c r="E135" s="29">
        <v>46900</v>
      </c>
      <c r="F135" s="29">
        <v>-46899</v>
      </c>
      <c r="G135" s="29">
        <v>1</v>
      </c>
      <c r="H135" t="s">
        <v>993</v>
      </c>
      <c r="I135" t="s">
        <v>681</v>
      </c>
    </row>
  </sheetData>
  <mergeCells count="105">
    <mergeCell ref="A3:A4"/>
    <mergeCell ref="B3:B4"/>
    <mergeCell ref="C3:N3"/>
    <mergeCell ref="P3:P4"/>
    <mergeCell ref="Q3:Q4"/>
    <mergeCell ref="R3:AC3"/>
    <mergeCell ref="A1:N1"/>
    <mergeCell ref="P1:AC1"/>
    <mergeCell ref="AE1:BD1"/>
    <mergeCell ref="A2:N2"/>
    <mergeCell ref="P2:AC2"/>
    <mergeCell ref="AE2:BD2"/>
    <mergeCell ref="C14:N14"/>
    <mergeCell ref="P14:P15"/>
    <mergeCell ref="Q14:Q15"/>
    <mergeCell ref="R14:AC14"/>
    <mergeCell ref="BA3:BB3"/>
    <mergeCell ref="BC3:BD3"/>
    <mergeCell ref="A12:N12"/>
    <mergeCell ref="P12:AC12"/>
    <mergeCell ref="AE12:BD12"/>
    <mergeCell ref="A13:N13"/>
    <mergeCell ref="P13:AC13"/>
    <mergeCell ref="AE13:BD13"/>
    <mergeCell ref="AO3:AP3"/>
    <mergeCell ref="AQ3:AR3"/>
    <mergeCell ref="AS3:AT3"/>
    <mergeCell ref="AU3:AV3"/>
    <mergeCell ref="AW3:AX3"/>
    <mergeCell ref="AY3:AZ3"/>
    <mergeCell ref="AE3:AE4"/>
    <mergeCell ref="AF3:AF4"/>
    <mergeCell ref="AG3:AH3"/>
    <mergeCell ref="AI3:AJ3"/>
    <mergeCell ref="AK3:AL3"/>
    <mergeCell ref="AM3:AN3"/>
    <mergeCell ref="Q25:Q26"/>
    <mergeCell ref="R25:AC25"/>
    <mergeCell ref="BA14:BB14"/>
    <mergeCell ref="BC14:BD14"/>
    <mergeCell ref="A23:N23"/>
    <mergeCell ref="P23:AC23"/>
    <mergeCell ref="AE23:BD23"/>
    <mergeCell ref="A24:N24"/>
    <mergeCell ref="P24:AC24"/>
    <mergeCell ref="AE24:BD24"/>
    <mergeCell ref="AO14:AP14"/>
    <mergeCell ref="AQ14:AR14"/>
    <mergeCell ref="AS14:AT14"/>
    <mergeCell ref="AU14:AV14"/>
    <mergeCell ref="AW14:AX14"/>
    <mergeCell ref="AY14:AZ14"/>
    <mergeCell ref="AE14:AE15"/>
    <mergeCell ref="AF14:AF15"/>
    <mergeCell ref="AG14:AH14"/>
    <mergeCell ref="AI14:AJ14"/>
    <mergeCell ref="AK14:AL14"/>
    <mergeCell ref="AM14:AN14"/>
    <mergeCell ref="A14:A15"/>
    <mergeCell ref="B14:B15"/>
    <mergeCell ref="BA25:BB25"/>
    <mergeCell ref="BC25:BD25"/>
    <mergeCell ref="A43:N43"/>
    <mergeCell ref="P43:AC43"/>
    <mergeCell ref="AE43:BD43"/>
    <mergeCell ref="A44:N44"/>
    <mergeCell ref="P44:AC44"/>
    <mergeCell ref="AE44:BD44"/>
    <mergeCell ref="AO25:AP25"/>
    <mergeCell ref="AQ25:AR25"/>
    <mergeCell ref="AS25:AT25"/>
    <mergeCell ref="AU25:AV25"/>
    <mergeCell ref="AW25:AX25"/>
    <mergeCell ref="AY25:AZ25"/>
    <mergeCell ref="AE25:AE26"/>
    <mergeCell ref="AF25:AF26"/>
    <mergeCell ref="AG25:AH25"/>
    <mergeCell ref="AI25:AJ25"/>
    <mergeCell ref="AK25:AL25"/>
    <mergeCell ref="AM25:AN25"/>
    <mergeCell ref="A25:A26"/>
    <mergeCell ref="B25:B26"/>
    <mergeCell ref="C25:N25"/>
    <mergeCell ref="P25:P26"/>
    <mergeCell ref="BA45:BB45"/>
    <mergeCell ref="BC45:BD45"/>
    <mergeCell ref="A63:I63"/>
    <mergeCell ref="AO45:AP45"/>
    <mergeCell ref="AQ45:AR45"/>
    <mergeCell ref="AS45:AT45"/>
    <mergeCell ref="AU45:AV45"/>
    <mergeCell ref="AW45:AX45"/>
    <mergeCell ref="AY45:AZ45"/>
    <mergeCell ref="AE45:AE46"/>
    <mergeCell ref="AF45:AF46"/>
    <mergeCell ref="AG45:AH45"/>
    <mergeCell ref="AI45:AJ45"/>
    <mergeCell ref="AK45:AL45"/>
    <mergeCell ref="AM45:AN45"/>
    <mergeCell ref="A45:A46"/>
    <mergeCell ref="B45:B46"/>
    <mergeCell ref="C45:N45"/>
    <mergeCell ref="P45:P46"/>
    <mergeCell ref="Q45:Q46"/>
    <mergeCell ref="R45:AC4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0681-E36F-4063-B58A-2B82FBBAFF97}">
  <dimension ref="A1:BD191"/>
  <sheetViews>
    <sheetView workbookViewId="0">
      <selection activeCell="E7" sqref="E7"/>
    </sheetView>
  </sheetViews>
  <sheetFormatPr defaultColWidth="18.75" defaultRowHeight="24.6"/>
  <cols>
    <col min="1" max="1" width="6.75" style="24" bestFit="1" customWidth="1"/>
    <col min="2" max="2" width="53" style="13" bestFit="1" customWidth="1"/>
    <col min="3" max="3" width="19.5" style="13" bestFit="1" customWidth="1"/>
    <col min="4" max="4" width="19.875" style="13" customWidth="1"/>
    <col min="5" max="5" width="19.75" style="13" customWidth="1"/>
    <col min="6" max="15" width="18.75" style="13"/>
    <col min="16" max="16" width="6.75" style="24" bestFit="1" customWidth="1"/>
    <col min="17" max="17" width="53" style="13" bestFit="1" customWidth="1"/>
    <col min="18" max="20" width="19.5" style="13" bestFit="1" customWidth="1"/>
    <col min="21" max="30" width="18.75" style="13"/>
    <col min="31" max="31" width="6.75" style="24" bestFit="1" customWidth="1"/>
    <col min="32" max="32" width="53" style="13" bestFit="1" customWidth="1"/>
    <col min="33" max="16384" width="18.75" style="13"/>
  </cols>
  <sheetData>
    <row r="1" spans="1:56">
      <c r="A1" s="37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2"/>
      <c r="P1" s="37" t="s">
        <v>49</v>
      </c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E1" s="37" t="s">
        <v>0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</row>
    <row r="2" spans="1:56">
      <c r="A2" s="37" t="s">
        <v>1946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2"/>
      <c r="P2" s="37" t="s">
        <v>1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E2" s="37" t="s">
        <v>1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</row>
    <row r="3" spans="1:56" s="15" customFormat="1">
      <c r="A3" s="35" t="s">
        <v>2</v>
      </c>
      <c r="B3" s="35" t="s">
        <v>3</v>
      </c>
      <c r="C3" s="38" t="s">
        <v>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  <c r="O3" s="14"/>
      <c r="P3" s="35" t="s">
        <v>2</v>
      </c>
      <c r="Q3" s="35" t="s">
        <v>3</v>
      </c>
      <c r="R3" s="38" t="s">
        <v>5</v>
      </c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E3" s="35" t="s">
        <v>2</v>
      </c>
      <c r="AF3" s="35" t="s">
        <v>3</v>
      </c>
      <c r="AG3" s="33">
        <v>25112</v>
      </c>
      <c r="AH3" s="34"/>
      <c r="AI3" s="33">
        <v>25143</v>
      </c>
      <c r="AJ3" s="34"/>
      <c r="AK3" s="33">
        <v>25173</v>
      </c>
      <c r="AL3" s="34"/>
      <c r="AM3" s="33">
        <v>25204</v>
      </c>
      <c r="AN3" s="34"/>
      <c r="AO3" s="33">
        <v>25235</v>
      </c>
      <c r="AP3" s="34"/>
      <c r="AQ3" s="33">
        <v>25263</v>
      </c>
      <c r="AR3" s="34"/>
      <c r="AS3" s="33">
        <v>25294</v>
      </c>
      <c r="AT3" s="34"/>
      <c r="AU3" s="33">
        <v>25324</v>
      </c>
      <c r="AV3" s="34"/>
      <c r="AW3" s="33">
        <v>25355</v>
      </c>
      <c r="AX3" s="34"/>
      <c r="AY3" s="33">
        <v>25385</v>
      </c>
      <c r="AZ3" s="34"/>
      <c r="BA3" s="33">
        <v>25416</v>
      </c>
      <c r="BB3" s="34"/>
      <c r="BC3" s="33">
        <v>25447</v>
      </c>
      <c r="BD3" s="34"/>
    </row>
    <row r="4" spans="1:56" s="15" customFormat="1">
      <c r="A4" s="36"/>
      <c r="B4" s="36"/>
      <c r="C4" s="16">
        <v>25112</v>
      </c>
      <c r="D4" s="16">
        <v>25143</v>
      </c>
      <c r="E4" s="16">
        <v>25173</v>
      </c>
      <c r="F4" s="16">
        <v>25204</v>
      </c>
      <c r="G4" s="16">
        <v>25235</v>
      </c>
      <c r="H4" s="16">
        <v>25263</v>
      </c>
      <c r="I4" s="16">
        <v>25294</v>
      </c>
      <c r="J4" s="16">
        <v>25324</v>
      </c>
      <c r="K4" s="16">
        <v>25355</v>
      </c>
      <c r="L4" s="16">
        <v>25385</v>
      </c>
      <c r="M4" s="16">
        <v>25416</v>
      </c>
      <c r="N4" s="16">
        <v>25447</v>
      </c>
      <c r="P4" s="36"/>
      <c r="Q4" s="36"/>
      <c r="R4" s="16">
        <v>25112</v>
      </c>
      <c r="S4" s="16">
        <v>25143</v>
      </c>
      <c r="T4" s="16">
        <v>25173</v>
      </c>
      <c r="U4" s="16">
        <v>25204</v>
      </c>
      <c r="V4" s="16">
        <v>25235</v>
      </c>
      <c r="W4" s="16">
        <v>25263</v>
      </c>
      <c r="X4" s="16">
        <v>25294</v>
      </c>
      <c r="Y4" s="16">
        <v>25324</v>
      </c>
      <c r="Z4" s="16">
        <v>25355</v>
      </c>
      <c r="AA4" s="16">
        <v>25385</v>
      </c>
      <c r="AB4" s="16">
        <v>25416</v>
      </c>
      <c r="AC4" s="16">
        <v>25447</v>
      </c>
      <c r="AE4" s="36"/>
      <c r="AF4" s="36"/>
      <c r="AG4" s="16" t="s">
        <v>85</v>
      </c>
      <c r="AH4" s="16" t="s">
        <v>86</v>
      </c>
      <c r="AI4" s="16" t="s">
        <v>85</v>
      </c>
      <c r="AJ4" s="16" t="s">
        <v>86</v>
      </c>
      <c r="AK4" s="16" t="s">
        <v>85</v>
      </c>
      <c r="AL4" s="16" t="s">
        <v>86</v>
      </c>
      <c r="AM4" s="16" t="s">
        <v>85</v>
      </c>
      <c r="AN4" s="16" t="s">
        <v>86</v>
      </c>
      <c r="AO4" s="16" t="s">
        <v>85</v>
      </c>
      <c r="AP4" s="16" t="s">
        <v>86</v>
      </c>
      <c r="AQ4" s="16" t="s">
        <v>85</v>
      </c>
      <c r="AR4" s="16" t="s">
        <v>86</v>
      </c>
      <c r="AS4" s="16" t="s">
        <v>85</v>
      </c>
      <c r="AT4" s="16" t="s">
        <v>86</v>
      </c>
      <c r="AU4" s="16" t="s">
        <v>85</v>
      </c>
      <c r="AV4" s="16" t="s">
        <v>86</v>
      </c>
      <c r="AW4" s="16" t="s">
        <v>85</v>
      </c>
      <c r="AX4" s="16" t="s">
        <v>86</v>
      </c>
      <c r="AY4" s="16" t="s">
        <v>85</v>
      </c>
      <c r="AZ4" s="16" t="s">
        <v>86</v>
      </c>
      <c r="BA4" s="16" t="s">
        <v>85</v>
      </c>
      <c r="BB4" s="16" t="s">
        <v>86</v>
      </c>
      <c r="BC4" s="16" t="s">
        <v>85</v>
      </c>
      <c r="BD4" s="16" t="s">
        <v>86</v>
      </c>
    </row>
    <row r="5" spans="1:56">
      <c r="A5" s="17">
        <v>1</v>
      </c>
      <c r="B5" s="18" t="s">
        <v>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P5" s="17">
        <v>1</v>
      </c>
      <c r="Q5" s="18" t="s">
        <v>8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E5" s="17">
        <v>1</v>
      </c>
      <c r="AF5" s="18" t="s">
        <v>8</v>
      </c>
      <c r="AG5" s="19">
        <f>+C5-R5</f>
        <v>0</v>
      </c>
      <c r="AH5" s="19" t="e">
        <f>+AG5/C5*100</f>
        <v>#DIV/0!</v>
      </c>
      <c r="AI5" s="19">
        <f>+D5-S5</f>
        <v>0</v>
      </c>
      <c r="AJ5" s="19" t="e">
        <f>+AI5/D5*100</f>
        <v>#DIV/0!</v>
      </c>
      <c r="AK5" s="19">
        <f>+E5-T5</f>
        <v>0</v>
      </c>
      <c r="AL5" s="19" t="e">
        <f>+AK5/E5*100</f>
        <v>#DIV/0!</v>
      </c>
      <c r="AM5" s="19">
        <f>+F5-U5</f>
        <v>0</v>
      </c>
      <c r="AN5" s="19" t="e">
        <f>+AM5/F5*100</f>
        <v>#DIV/0!</v>
      </c>
      <c r="AO5" s="19">
        <f>+G5-V5</f>
        <v>0</v>
      </c>
      <c r="AP5" s="19" t="e">
        <f>+AO5/G5*100</f>
        <v>#DIV/0!</v>
      </c>
      <c r="AQ5" s="19">
        <f>+H5-W5</f>
        <v>0</v>
      </c>
      <c r="AR5" s="19" t="e">
        <f>+AQ5/H5*100</f>
        <v>#DIV/0!</v>
      </c>
      <c r="AS5" s="19">
        <f>+I5-X5</f>
        <v>0</v>
      </c>
      <c r="AT5" s="19" t="e">
        <f>+AS5/I5*100</f>
        <v>#DIV/0!</v>
      </c>
      <c r="AU5" s="19">
        <f>+J5-Y5</f>
        <v>0</v>
      </c>
      <c r="AV5" s="19" t="e">
        <f>+AU5/J5*100</f>
        <v>#DIV/0!</v>
      </c>
      <c r="AW5" s="19">
        <f>+K5-Z5</f>
        <v>0</v>
      </c>
      <c r="AX5" s="19" t="e">
        <f>+AW5/K5*100</f>
        <v>#DIV/0!</v>
      </c>
      <c r="AY5" s="19">
        <f>+L5-AA5</f>
        <v>0</v>
      </c>
      <c r="AZ5" s="19" t="e">
        <f>+AY5/L5*100</f>
        <v>#DIV/0!</v>
      </c>
      <c r="BA5" s="19">
        <f>+M5-AB5</f>
        <v>0</v>
      </c>
      <c r="BB5" s="19" t="e">
        <f>+BA5/M5*100</f>
        <v>#DIV/0!</v>
      </c>
      <c r="BC5" s="19">
        <f>+N5-AC5</f>
        <v>0</v>
      </c>
      <c r="BD5" s="19" t="e">
        <f>+BC5/N5*100</f>
        <v>#DIV/0!</v>
      </c>
    </row>
    <row r="6" spans="1:56">
      <c r="A6" s="17">
        <v>2</v>
      </c>
      <c r="B6" s="18" t="s">
        <v>9</v>
      </c>
      <c r="C6" s="19">
        <v>292147430</v>
      </c>
      <c r="D6" s="19">
        <v>292147430</v>
      </c>
      <c r="E6" s="19">
        <v>292147430</v>
      </c>
      <c r="F6" s="19"/>
      <c r="G6" s="19"/>
      <c r="H6" s="19"/>
      <c r="I6" s="19"/>
      <c r="J6" s="19"/>
      <c r="K6" s="19"/>
      <c r="L6" s="19"/>
      <c r="M6" s="19"/>
      <c r="N6" s="19"/>
      <c r="P6" s="17">
        <v>2</v>
      </c>
      <c r="Q6" s="18" t="s">
        <v>9</v>
      </c>
      <c r="R6" s="19">
        <v>299865000</v>
      </c>
      <c r="S6" s="19">
        <v>299865000</v>
      </c>
      <c r="T6" s="19">
        <v>299865000</v>
      </c>
      <c r="U6" s="19"/>
      <c r="V6" s="19"/>
      <c r="W6" s="19"/>
      <c r="X6" s="19"/>
      <c r="Y6" s="19"/>
      <c r="Z6" s="19"/>
      <c r="AA6" s="19"/>
      <c r="AB6" s="19"/>
      <c r="AC6" s="19"/>
      <c r="AE6" s="17">
        <v>2</v>
      </c>
      <c r="AF6" s="18" t="s">
        <v>9</v>
      </c>
      <c r="AG6" s="19">
        <f t="shared" ref="AG6:AG10" si="0">+C6-R6</f>
        <v>-7717570</v>
      </c>
      <c r="AH6" s="19">
        <f t="shared" ref="AH6:AH10" si="1">+AG6/C6*100</f>
        <v>-2.6416696528872423</v>
      </c>
      <c r="AI6" s="19">
        <f t="shared" ref="AI6:AI10" si="2">+D6-S6</f>
        <v>-7717570</v>
      </c>
      <c r="AJ6" s="19">
        <f t="shared" ref="AJ6:AJ10" si="3">+AI6/D6*100</f>
        <v>-2.6416696528872423</v>
      </c>
      <c r="AK6" s="19">
        <f t="shared" ref="AK6:AK10" si="4">+E6-T6</f>
        <v>-7717570</v>
      </c>
      <c r="AL6" s="19">
        <f t="shared" ref="AL6:AL10" si="5">+AK6/E6*100</f>
        <v>-2.6416696528872423</v>
      </c>
      <c r="AM6" s="19">
        <f t="shared" ref="AM6:AM10" si="6">+F6-U6</f>
        <v>0</v>
      </c>
      <c r="AN6" s="19" t="e">
        <f t="shared" ref="AN6:AN10" si="7">+AM6/F6*100</f>
        <v>#DIV/0!</v>
      </c>
      <c r="AO6" s="19">
        <f t="shared" ref="AO6:AO10" si="8">+G6-V6</f>
        <v>0</v>
      </c>
      <c r="AP6" s="19" t="e">
        <f t="shared" ref="AP6:AP10" si="9">+AO6/G6*100</f>
        <v>#DIV/0!</v>
      </c>
      <c r="AQ6" s="19">
        <f t="shared" ref="AQ6:AQ10" si="10">+H6-W6</f>
        <v>0</v>
      </c>
      <c r="AR6" s="19" t="e">
        <f t="shared" ref="AR6:AR10" si="11">+AQ6/H6*100</f>
        <v>#DIV/0!</v>
      </c>
      <c r="AS6" s="19">
        <f t="shared" ref="AS6:AS10" si="12">+I6-X6</f>
        <v>0</v>
      </c>
      <c r="AT6" s="19" t="e">
        <f t="shared" ref="AT6:AT10" si="13">+AS6/I6*100</f>
        <v>#DIV/0!</v>
      </c>
      <c r="AU6" s="19">
        <f t="shared" ref="AU6:AU10" si="14">+J6-Y6</f>
        <v>0</v>
      </c>
      <c r="AV6" s="19" t="e">
        <f t="shared" ref="AV6:AV10" si="15">+AU6/J6*100</f>
        <v>#DIV/0!</v>
      </c>
      <c r="AW6" s="19">
        <f t="shared" ref="AW6:AW10" si="16">+K6-Z6</f>
        <v>0</v>
      </c>
      <c r="AX6" s="19" t="e">
        <f t="shared" ref="AX6:AX10" si="17">+AW6/K6*100</f>
        <v>#DIV/0!</v>
      </c>
      <c r="AY6" s="19">
        <f t="shared" ref="AY6:AY10" si="18">+L6-AA6</f>
        <v>0</v>
      </c>
      <c r="AZ6" s="19" t="e">
        <f t="shared" ref="AZ6:AZ10" si="19">+AY6/L6*100</f>
        <v>#DIV/0!</v>
      </c>
      <c r="BA6" s="19">
        <f t="shared" ref="BA6:BA10" si="20">+M6-AB6</f>
        <v>0</v>
      </c>
      <c r="BB6" s="19" t="e">
        <f t="shared" ref="BB6:BB10" si="21">+BA6/M6*100</f>
        <v>#DIV/0!</v>
      </c>
      <c r="BC6" s="19">
        <f t="shared" ref="BC6:BC10" si="22">+N6-AC6</f>
        <v>0</v>
      </c>
      <c r="BD6" s="19" t="e">
        <f t="shared" ref="BD6:BD10" si="23">+BC6/N6*100</f>
        <v>#DIV/0!</v>
      </c>
    </row>
    <row r="7" spans="1:56">
      <c r="A7" s="17">
        <v>3</v>
      </c>
      <c r="B7" s="18" t="s">
        <v>11</v>
      </c>
      <c r="C7" s="19">
        <v>36808891</v>
      </c>
      <c r="D7" s="19">
        <v>36808891</v>
      </c>
      <c r="E7" s="19">
        <v>36808891</v>
      </c>
      <c r="F7" s="19"/>
      <c r="G7" s="19"/>
      <c r="H7" s="19"/>
      <c r="I7" s="19"/>
      <c r="J7" s="19"/>
      <c r="K7" s="19"/>
      <c r="L7" s="19"/>
      <c r="M7" s="19"/>
      <c r="N7" s="19"/>
      <c r="P7" s="17">
        <v>3</v>
      </c>
      <c r="Q7" s="18" t="s">
        <v>11</v>
      </c>
      <c r="R7" s="19">
        <v>36928982</v>
      </c>
      <c r="S7" s="19">
        <v>36928982</v>
      </c>
      <c r="T7" s="19">
        <v>36928982</v>
      </c>
      <c r="U7" s="19"/>
      <c r="V7" s="19"/>
      <c r="W7" s="19"/>
      <c r="X7" s="19"/>
      <c r="Y7" s="19"/>
      <c r="Z7" s="19"/>
      <c r="AA7" s="19"/>
      <c r="AB7" s="19"/>
      <c r="AC7" s="19"/>
      <c r="AE7" s="17">
        <v>3</v>
      </c>
      <c r="AF7" s="18" t="s">
        <v>11</v>
      </c>
      <c r="AG7" s="19">
        <f t="shared" si="0"/>
        <v>-120091</v>
      </c>
      <c r="AH7" s="19">
        <f t="shared" si="1"/>
        <v>-0.32625541475835285</v>
      </c>
      <c r="AI7" s="19">
        <f t="shared" si="2"/>
        <v>-120091</v>
      </c>
      <c r="AJ7" s="19">
        <f t="shared" si="3"/>
        <v>-0.32625541475835285</v>
      </c>
      <c r="AK7" s="19">
        <f t="shared" si="4"/>
        <v>-120091</v>
      </c>
      <c r="AL7" s="19">
        <f t="shared" si="5"/>
        <v>-0.32625541475835285</v>
      </c>
      <c r="AM7" s="19">
        <f t="shared" si="6"/>
        <v>0</v>
      </c>
      <c r="AN7" s="19" t="e">
        <f t="shared" si="7"/>
        <v>#DIV/0!</v>
      </c>
      <c r="AO7" s="19">
        <f t="shared" si="8"/>
        <v>0</v>
      </c>
      <c r="AP7" s="19" t="e">
        <f t="shared" si="9"/>
        <v>#DIV/0!</v>
      </c>
      <c r="AQ7" s="19">
        <f t="shared" si="10"/>
        <v>0</v>
      </c>
      <c r="AR7" s="19" t="e">
        <f t="shared" si="11"/>
        <v>#DIV/0!</v>
      </c>
      <c r="AS7" s="19">
        <f t="shared" si="12"/>
        <v>0</v>
      </c>
      <c r="AT7" s="19" t="e">
        <f t="shared" si="13"/>
        <v>#DIV/0!</v>
      </c>
      <c r="AU7" s="19">
        <f t="shared" si="14"/>
        <v>0</v>
      </c>
      <c r="AV7" s="19" t="e">
        <f t="shared" si="15"/>
        <v>#DIV/0!</v>
      </c>
      <c r="AW7" s="19">
        <f t="shared" si="16"/>
        <v>0</v>
      </c>
      <c r="AX7" s="19" t="e">
        <f t="shared" si="17"/>
        <v>#DIV/0!</v>
      </c>
      <c r="AY7" s="19">
        <f t="shared" si="18"/>
        <v>0</v>
      </c>
      <c r="AZ7" s="19" t="e">
        <f t="shared" si="19"/>
        <v>#DIV/0!</v>
      </c>
      <c r="BA7" s="19">
        <f t="shared" si="20"/>
        <v>0</v>
      </c>
      <c r="BB7" s="19" t="e">
        <f t="shared" si="21"/>
        <v>#DIV/0!</v>
      </c>
      <c r="BC7" s="19">
        <f t="shared" si="22"/>
        <v>0</v>
      </c>
      <c r="BD7" s="19" t="e">
        <f t="shared" si="23"/>
        <v>#DIV/0!</v>
      </c>
    </row>
    <row r="8" spans="1:56">
      <c r="A8" s="17">
        <v>4</v>
      </c>
      <c r="B8" s="18" t="s">
        <v>13</v>
      </c>
      <c r="C8" s="19">
        <v>673700</v>
      </c>
      <c r="D8" s="19">
        <v>673700</v>
      </c>
      <c r="E8" s="19">
        <v>673700</v>
      </c>
      <c r="F8" s="19"/>
      <c r="G8" s="19"/>
      <c r="H8" s="19"/>
      <c r="I8" s="19"/>
      <c r="J8" s="19"/>
      <c r="K8" s="19"/>
      <c r="L8" s="19"/>
      <c r="M8" s="19"/>
      <c r="N8" s="19"/>
      <c r="P8" s="17">
        <v>4</v>
      </c>
      <c r="Q8" s="18" t="s">
        <v>13</v>
      </c>
      <c r="R8" s="19">
        <v>1138700</v>
      </c>
      <c r="S8" s="19">
        <v>1138700</v>
      </c>
      <c r="T8" s="19">
        <v>1138700</v>
      </c>
      <c r="U8" s="19"/>
      <c r="V8" s="19"/>
      <c r="W8" s="19"/>
      <c r="X8" s="19"/>
      <c r="Y8" s="19"/>
      <c r="Z8" s="19"/>
      <c r="AA8" s="19"/>
      <c r="AB8" s="19"/>
      <c r="AC8" s="19"/>
      <c r="AE8" s="17">
        <v>4</v>
      </c>
      <c r="AF8" s="18" t="s">
        <v>13</v>
      </c>
      <c r="AG8" s="19">
        <f t="shared" si="0"/>
        <v>-465000</v>
      </c>
      <c r="AH8" s="19">
        <f t="shared" si="1"/>
        <v>-69.021819801098417</v>
      </c>
      <c r="AI8" s="19">
        <f t="shared" si="2"/>
        <v>-465000</v>
      </c>
      <c r="AJ8" s="19">
        <f t="shared" si="3"/>
        <v>-69.021819801098417</v>
      </c>
      <c r="AK8" s="19">
        <f t="shared" si="4"/>
        <v>-465000</v>
      </c>
      <c r="AL8" s="19">
        <f t="shared" si="5"/>
        <v>-69.021819801098417</v>
      </c>
      <c r="AM8" s="19">
        <f t="shared" si="6"/>
        <v>0</v>
      </c>
      <c r="AN8" s="19" t="e">
        <f t="shared" si="7"/>
        <v>#DIV/0!</v>
      </c>
      <c r="AO8" s="19">
        <f t="shared" si="8"/>
        <v>0</v>
      </c>
      <c r="AP8" s="19" t="e">
        <f t="shared" si="9"/>
        <v>#DIV/0!</v>
      </c>
      <c r="AQ8" s="19">
        <f t="shared" si="10"/>
        <v>0</v>
      </c>
      <c r="AR8" s="19" t="e">
        <f t="shared" si="11"/>
        <v>#DIV/0!</v>
      </c>
      <c r="AS8" s="19">
        <f t="shared" si="12"/>
        <v>0</v>
      </c>
      <c r="AT8" s="19" t="e">
        <f t="shared" si="13"/>
        <v>#DIV/0!</v>
      </c>
      <c r="AU8" s="19">
        <f t="shared" si="14"/>
        <v>0</v>
      </c>
      <c r="AV8" s="19" t="e">
        <f t="shared" si="15"/>
        <v>#DIV/0!</v>
      </c>
      <c r="AW8" s="19">
        <f t="shared" si="16"/>
        <v>0</v>
      </c>
      <c r="AX8" s="19" t="e">
        <f t="shared" si="17"/>
        <v>#DIV/0!</v>
      </c>
      <c r="AY8" s="19">
        <f t="shared" si="18"/>
        <v>0</v>
      </c>
      <c r="AZ8" s="19" t="e">
        <f t="shared" si="19"/>
        <v>#DIV/0!</v>
      </c>
      <c r="BA8" s="19">
        <f t="shared" si="20"/>
        <v>0</v>
      </c>
      <c r="BB8" s="19" t="e">
        <f t="shared" si="21"/>
        <v>#DIV/0!</v>
      </c>
      <c r="BC8" s="19">
        <f t="shared" si="22"/>
        <v>0</v>
      </c>
      <c r="BD8" s="19" t="e">
        <f t="shared" si="23"/>
        <v>#DIV/0!</v>
      </c>
    </row>
    <row r="9" spans="1:56">
      <c r="A9" s="17">
        <v>5</v>
      </c>
      <c r="B9" s="18" t="s">
        <v>15</v>
      </c>
      <c r="C9" s="19">
        <v>7710988</v>
      </c>
      <c r="D9" s="19">
        <v>7710988</v>
      </c>
      <c r="E9" s="19">
        <v>7710988</v>
      </c>
      <c r="F9" s="19"/>
      <c r="G9" s="19"/>
      <c r="H9" s="19"/>
      <c r="I9" s="19"/>
      <c r="J9" s="19"/>
      <c r="K9" s="19"/>
      <c r="L9" s="19"/>
      <c r="M9" s="19"/>
      <c r="N9" s="19"/>
      <c r="P9" s="17">
        <v>5</v>
      </c>
      <c r="Q9" s="18" t="s">
        <v>15</v>
      </c>
      <c r="R9" s="19">
        <v>7710988</v>
      </c>
      <c r="S9" s="19">
        <v>7710988</v>
      </c>
      <c r="T9" s="19">
        <v>7710988</v>
      </c>
      <c r="U9" s="19"/>
      <c r="V9" s="19"/>
      <c r="W9" s="19"/>
      <c r="X9" s="19"/>
      <c r="Y9" s="19"/>
      <c r="Z9" s="19"/>
      <c r="AA9" s="19"/>
      <c r="AB9" s="19"/>
      <c r="AC9" s="19"/>
      <c r="AE9" s="17">
        <v>5</v>
      </c>
      <c r="AF9" s="18" t="s">
        <v>15</v>
      </c>
      <c r="AG9" s="19">
        <f t="shared" si="0"/>
        <v>0</v>
      </c>
      <c r="AH9" s="19">
        <f t="shared" si="1"/>
        <v>0</v>
      </c>
      <c r="AI9" s="19">
        <f t="shared" si="2"/>
        <v>0</v>
      </c>
      <c r="AJ9" s="19">
        <f t="shared" si="3"/>
        <v>0</v>
      </c>
      <c r="AK9" s="19">
        <f t="shared" si="4"/>
        <v>0</v>
      </c>
      <c r="AL9" s="19">
        <f t="shared" si="5"/>
        <v>0</v>
      </c>
      <c r="AM9" s="19">
        <f t="shared" si="6"/>
        <v>0</v>
      </c>
      <c r="AN9" s="19" t="e">
        <f t="shared" si="7"/>
        <v>#DIV/0!</v>
      </c>
      <c r="AO9" s="19">
        <f t="shared" si="8"/>
        <v>0</v>
      </c>
      <c r="AP9" s="19" t="e">
        <f t="shared" si="9"/>
        <v>#DIV/0!</v>
      </c>
      <c r="AQ9" s="19">
        <f t="shared" si="10"/>
        <v>0</v>
      </c>
      <c r="AR9" s="19" t="e">
        <f t="shared" si="11"/>
        <v>#DIV/0!</v>
      </c>
      <c r="AS9" s="19">
        <f t="shared" si="12"/>
        <v>0</v>
      </c>
      <c r="AT9" s="19" t="e">
        <f t="shared" si="13"/>
        <v>#DIV/0!</v>
      </c>
      <c r="AU9" s="19">
        <f t="shared" si="14"/>
        <v>0</v>
      </c>
      <c r="AV9" s="19" t="e">
        <f t="shared" si="15"/>
        <v>#DIV/0!</v>
      </c>
      <c r="AW9" s="19">
        <f t="shared" si="16"/>
        <v>0</v>
      </c>
      <c r="AX9" s="19" t="e">
        <f t="shared" si="17"/>
        <v>#DIV/0!</v>
      </c>
      <c r="AY9" s="19">
        <f t="shared" si="18"/>
        <v>0</v>
      </c>
      <c r="AZ9" s="19" t="e">
        <f t="shared" si="19"/>
        <v>#DIV/0!</v>
      </c>
      <c r="BA9" s="19">
        <f t="shared" si="20"/>
        <v>0</v>
      </c>
      <c r="BB9" s="19" t="e">
        <f t="shared" si="21"/>
        <v>#DIV/0!</v>
      </c>
      <c r="BC9" s="19">
        <f t="shared" si="22"/>
        <v>0</v>
      </c>
      <c r="BD9" s="19" t="e">
        <f t="shared" si="23"/>
        <v>#DIV/0!</v>
      </c>
    </row>
    <row r="10" spans="1:56" s="22" customFormat="1" ht="25.2" thickBot="1">
      <c r="A10" s="20"/>
      <c r="B10" s="20" t="s">
        <v>17</v>
      </c>
      <c r="C10" s="21">
        <f>SUM(C5:C9)</f>
        <v>337341009</v>
      </c>
      <c r="D10" s="21">
        <f t="shared" ref="D10:N10" si="24">SUM(D5:D9)</f>
        <v>337341009</v>
      </c>
      <c r="E10" s="21">
        <f t="shared" si="24"/>
        <v>337341009</v>
      </c>
      <c r="F10" s="21">
        <f t="shared" si="24"/>
        <v>0</v>
      </c>
      <c r="G10" s="21">
        <f t="shared" si="24"/>
        <v>0</v>
      </c>
      <c r="H10" s="21">
        <f t="shared" si="24"/>
        <v>0</v>
      </c>
      <c r="I10" s="21">
        <f t="shared" si="24"/>
        <v>0</v>
      </c>
      <c r="J10" s="21">
        <f t="shared" si="24"/>
        <v>0</v>
      </c>
      <c r="K10" s="21">
        <f t="shared" si="24"/>
        <v>0</v>
      </c>
      <c r="L10" s="21">
        <f t="shared" si="24"/>
        <v>0</v>
      </c>
      <c r="M10" s="21">
        <f t="shared" si="24"/>
        <v>0</v>
      </c>
      <c r="N10" s="21">
        <f t="shared" si="24"/>
        <v>0</v>
      </c>
      <c r="P10" s="20"/>
      <c r="Q10" s="20" t="s">
        <v>17</v>
      </c>
      <c r="R10" s="21">
        <f>SUM(R5:R9)</f>
        <v>345643670</v>
      </c>
      <c r="S10" s="21">
        <f t="shared" ref="S10:AC10" si="25">SUM(S5:S9)</f>
        <v>345643670</v>
      </c>
      <c r="T10" s="21">
        <f t="shared" si="25"/>
        <v>345643670</v>
      </c>
      <c r="U10" s="21">
        <f t="shared" si="25"/>
        <v>0</v>
      </c>
      <c r="V10" s="21">
        <f t="shared" si="25"/>
        <v>0</v>
      </c>
      <c r="W10" s="21">
        <f t="shared" si="25"/>
        <v>0</v>
      </c>
      <c r="X10" s="21">
        <f t="shared" si="25"/>
        <v>0</v>
      </c>
      <c r="Y10" s="21">
        <f t="shared" si="25"/>
        <v>0</v>
      </c>
      <c r="Z10" s="21">
        <f t="shared" si="25"/>
        <v>0</v>
      </c>
      <c r="AA10" s="21">
        <f t="shared" si="25"/>
        <v>0</v>
      </c>
      <c r="AB10" s="21">
        <f t="shared" si="25"/>
        <v>0</v>
      </c>
      <c r="AC10" s="21">
        <f t="shared" si="25"/>
        <v>0</v>
      </c>
      <c r="AE10" s="20"/>
      <c r="AF10" s="20" t="s">
        <v>17</v>
      </c>
      <c r="AG10" s="23">
        <f t="shared" si="0"/>
        <v>-8302661</v>
      </c>
      <c r="AH10" s="23">
        <f t="shared" si="1"/>
        <v>-2.4612071401019611</v>
      </c>
      <c r="AI10" s="23">
        <f t="shared" si="2"/>
        <v>-8302661</v>
      </c>
      <c r="AJ10" s="23">
        <f t="shared" si="3"/>
        <v>-2.4612071401019611</v>
      </c>
      <c r="AK10" s="23">
        <f t="shared" si="4"/>
        <v>-8302661</v>
      </c>
      <c r="AL10" s="23">
        <f t="shared" si="5"/>
        <v>-2.4612071401019611</v>
      </c>
      <c r="AM10" s="23">
        <f t="shared" si="6"/>
        <v>0</v>
      </c>
      <c r="AN10" s="23" t="e">
        <f t="shared" si="7"/>
        <v>#DIV/0!</v>
      </c>
      <c r="AO10" s="23">
        <f t="shared" si="8"/>
        <v>0</v>
      </c>
      <c r="AP10" s="23" t="e">
        <f t="shared" si="9"/>
        <v>#DIV/0!</v>
      </c>
      <c r="AQ10" s="23">
        <f t="shared" si="10"/>
        <v>0</v>
      </c>
      <c r="AR10" s="23" t="e">
        <f t="shared" si="11"/>
        <v>#DIV/0!</v>
      </c>
      <c r="AS10" s="23">
        <f t="shared" si="12"/>
        <v>0</v>
      </c>
      <c r="AT10" s="23" t="e">
        <f t="shared" si="13"/>
        <v>#DIV/0!</v>
      </c>
      <c r="AU10" s="23">
        <f t="shared" si="14"/>
        <v>0</v>
      </c>
      <c r="AV10" s="23" t="e">
        <f t="shared" si="15"/>
        <v>#DIV/0!</v>
      </c>
      <c r="AW10" s="23">
        <f t="shared" si="16"/>
        <v>0</v>
      </c>
      <c r="AX10" s="23" t="e">
        <f t="shared" si="17"/>
        <v>#DIV/0!</v>
      </c>
      <c r="AY10" s="23">
        <f t="shared" si="18"/>
        <v>0</v>
      </c>
      <c r="AZ10" s="23" t="e">
        <f t="shared" si="19"/>
        <v>#DIV/0!</v>
      </c>
      <c r="BA10" s="23">
        <f t="shared" si="20"/>
        <v>0</v>
      </c>
      <c r="BB10" s="23" t="e">
        <f t="shared" si="21"/>
        <v>#DIV/0!</v>
      </c>
      <c r="BC10" s="23">
        <f t="shared" si="22"/>
        <v>0</v>
      </c>
      <c r="BD10" s="23" t="e">
        <f t="shared" si="23"/>
        <v>#DIV/0!</v>
      </c>
    </row>
    <row r="11" spans="1:56" ht="25.2" thickTop="1"/>
    <row r="12" spans="1:56">
      <c r="A12" s="37" t="s">
        <v>46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P12" s="37" t="s">
        <v>50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E12" s="37" t="s">
        <v>87</v>
      </c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</row>
    <row r="13" spans="1:56">
      <c r="A13" s="37" t="s">
        <v>1946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P13" s="37" t="s">
        <v>1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E13" s="37" t="s">
        <v>1</v>
      </c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</row>
    <row r="14" spans="1:56" s="15" customFormat="1">
      <c r="A14" s="35" t="s">
        <v>2</v>
      </c>
      <c r="B14" s="35" t="s">
        <v>3</v>
      </c>
      <c r="C14" s="38" t="s">
        <v>4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0"/>
      <c r="P14" s="35" t="s">
        <v>2</v>
      </c>
      <c r="Q14" s="35" t="s">
        <v>3</v>
      </c>
      <c r="R14" s="38" t="s">
        <v>5</v>
      </c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40"/>
      <c r="AE14" s="35" t="s">
        <v>2</v>
      </c>
      <c r="AF14" s="35" t="s">
        <v>3</v>
      </c>
      <c r="AG14" s="33">
        <v>25112</v>
      </c>
      <c r="AH14" s="34"/>
      <c r="AI14" s="33">
        <v>25143</v>
      </c>
      <c r="AJ14" s="34"/>
      <c r="AK14" s="33">
        <v>25173</v>
      </c>
      <c r="AL14" s="34"/>
      <c r="AM14" s="33">
        <v>25204</v>
      </c>
      <c r="AN14" s="34"/>
      <c r="AO14" s="33">
        <v>25235</v>
      </c>
      <c r="AP14" s="34"/>
      <c r="AQ14" s="33">
        <v>25263</v>
      </c>
      <c r="AR14" s="34"/>
      <c r="AS14" s="33">
        <v>25294</v>
      </c>
      <c r="AT14" s="34"/>
      <c r="AU14" s="33">
        <v>25324</v>
      </c>
      <c r="AV14" s="34"/>
      <c r="AW14" s="33">
        <v>25355</v>
      </c>
      <c r="AX14" s="34"/>
      <c r="AY14" s="33">
        <v>25385</v>
      </c>
      <c r="AZ14" s="34"/>
      <c r="BA14" s="33">
        <v>25416</v>
      </c>
      <c r="BB14" s="34"/>
      <c r="BC14" s="33">
        <v>25447</v>
      </c>
      <c r="BD14" s="34"/>
    </row>
    <row r="15" spans="1:56" s="15" customFormat="1">
      <c r="A15" s="36"/>
      <c r="B15" s="36"/>
      <c r="C15" s="16">
        <v>25112</v>
      </c>
      <c r="D15" s="16">
        <v>25143</v>
      </c>
      <c r="E15" s="16">
        <v>25173</v>
      </c>
      <c r="F15" s="16">
        <v>25204</v>
      </c>
      <c r="G15" s="16">
        <v>25235</v>
      </c>
      <c r="H15" s="16">
        <v>25263</v>
      </c>
      <c r="I15" s="16">
        <v>25294</v>
      </c>
      <c r="J15" s="16">
        <v>25324</v>
      </c>
      <c r="K15" s="16">
        <v>25355</v>
      </c>
      <c r="L15" s="16">
        <v>25385</v>
      </c>
      <c r="M15" s="16">
        <v>25416</v>
      </c>
      <c r="N15" s="16">
        <v>25447</v>
      </c>
      <c r="P15" s="36"/>
      <c r="Q15" s="36"/>
      <c r="R15" s="16">
        <v>25112</v>
      </c>
      <c r="S15" s="16">
        <v>25143</v>
      </c>
      <c r="T15" s="16">
        <v>25173</v>
      </c>
      <c r="U15" s="16">
        <v>25204</v>
      </c>
      <c r="V15" s="16">
        <v>25235</v>
      </c>
      <c r="W15" s="16">
        <v>25263</v>
      </c>
      <c r="X15" s="16">
        <v>25294</v>
      </c>
      <c r="Y15" s="16">
        <v>25324</v>
      </c>
      <c r="Z15" s="16">
        <v>25355</v>
      </c>
      <c r="AA15" s="16">
        <v>25385</v>
      </c>
      <c r="AB15" s="16">
        <v>25416</v>
      </c>
      <c r="AC15" s="16">
        <v>25447</v>
      </c>
      <c r="AE15" s="36"/>
      <c r="AF15" s="36"/>
      <c r="AG15" s="16" t="s">
        <v>85</v>
      </c>
      <c r="AH15" s="16" t="s">
        <v>86</v>
      </c>
      <c r="AI15" s="16" t="s">
        <v>85</v>
      </c>
      <c r="AJ15" s="16" t="s">
        <v>86</v>
      </c>
      <c r="AK15" s="16" t="s">
        <v>85</v>
      </c>
      <c r="AL15" s="16" t="s">
        <v>86</v>
      </c>
      <c r="AM15" s="16" t="s">
        <v>85</v>
      </c>
      <c r="AN15" s="16" t="s">
        <v>86</v>
      </c>
      <c r="AO15" s="16" t="s">
        <v>85</v>
      </c>
      <c r="AP15" s="16" t="s">
        <v>86</v>
      </c>
      <c r="AQ15" s="16" t="s">
        <v>85</v>
      </c>
      <c r="AR15" s="16" t="s">
        <v>86</v>
      </c>
      <c r="AS15" s="16" t="s">
        <v>85</v>
      </c>
      <c r="AT15" s="16" t="s">
        <v>86</v>
      </c>
      <c r="AU15" s="16" t="s">
        <v>85</v>
      </c>
      <c r="AV15" s="16" t="s">
        <v>86</v>
      </c>
      <c r="AW15" s="16" t="s">
        <v>85</v>
      </c>
      <c r="AX15" s="16" t="s">
        <v>86</v>
      </c>
      <c r="AY15" s="16" t="s">
        <v>85</v>
      </c>
      <c r="AZ15" s="16" t="s">
        <v>86</v>
      </c>
      <c r="BA15" s="16" t="s">
        <v>85</v>
      </c>
      <c r="BB15" s="16" t="s">
        <v>86</v>
      </c>
      <c r="BC15" s="16" t="s">
        <v>85</v>
      </c>
      <c r="BD15" s="16" t="s">
        <v>86</v>
      </c>
    </row>
    <row r="16" spans="1:56">
      <c r="A16" s="17"/>
      <c r="B16" s="18"/>
      <c r="C16" s="19"/>
      <c r="D16" s="19"/>
      <c r="E16" s="19"/>
      <c r="F16" s="19"/>
      <c r="G16" s="18"/>
      <c r="H16" s="18"/>
      <c r="I16" s="18"/>
      <c r="J16" s="18"/>
      <c r="K16" s="18"/>
      <c r="L16" s="18"/>
      <c r="M16" s="18"/>
      <c r="N16" s="18"/>
      <c r="P16" s="17"/>
      <c r="Q16" s="18"/>
      <c r="R16" s="19"/>
      <c r="S16" s="19"/>
      <c r="T16" s="19"/>
      <c r="U16" s="19"/>
      <c r="V16" s="18"/>
      <c r="W16" s="18"/>
      <c r="X16" s="18"/>
      <c r="Y16" s="18"/>
      <c r="Z16" s="18"/>
      <c r="AA16" s="18"/>
      <c r="AB16" s="18"/>
      <c r="AC16" s="18"/>
      <c r="AE16" s="17"/>
      <c r="AF16" s="18"/>
      <c r="AG16" s="19"/>
      <c r="AH16" s="19"/>
      <c r="AI16" s="19"/>
      <c r="AJ16" s="19"/>
      <c r="AK16" s="19"/>
      <c r="AL16" s="19"/>
      <c r="AM16" s="19"/>
      <c r="AN16" s="19"/>
      <c r="AO16" s="18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</row>
    <row r="17" spans="1:56">
      <c r="A17" s="17">
        <v>1</v>
      </c>
      <c r="B17" s="18" t="s">
        <v>10</v>
      </c>
      <c r="C17" s="19">
        <v>131097658.39</v>
      </c>
      <c r="D17" s="19">
        <v>132017417.31999999</v>
      </c>
      <c r="E17" s="19">
        <v>-132967834.87</v>
      </c>
      <c r="F17" s="19"/>
      <c r="G17" s="18"/>
      <c r="H17" s="18"/>
      <c r="I17" s="18"/>
      <c r="J17" s="18"/>
      <c r="K17" s="18"/>
      <c r="L17" s="18"/>
      <c r="M17" s="18"/>
      <c r="N17" s="18"/>
      <c r="P17" s="17">
        <v>1</v>
      </c>
      <c r="Q17" s="18" t="s">
        <v>10</v>
      </c>
      <c r="R17" s="19">
        <v>134927563.65000001</v>
      </c>
      <c r="S17" s="19">
        <v>135885796.97</v>
      </c>
      <c r="T17" s="19">
        <v>136844030.28</v>
      </c>
      <c r="U17" s="19"/>
      <c r="V17" s="18"/>
      <c r="W17" s="18"/>
      <c r="X17" s="18"/>
      <c r="Y17" s="18"/>
      <c r="Z17" s="18"/>
      <c r="AA17" s="18"/>
      <c r="AB17" s="18"/>
      <c r="AC17" s="18"/>
      <c r="AE17" s="17">
        <v>1</v>
      </c>
      <c r="AF17" s="18" t="s">
        <v>10</v>
      </c>
      <c r="AG17" s="19">
        <f t="shared" ref="AG17:AG21" si="26">+C17-R17</f>
        <v>-3829905.2600000054</v>
      </c>
      <c r="AH17" s="19">
        <f t="shared" ref="AH17:AH21" si="27">+AG17/C17*100</f>
        <v>-2.9214139344933918</v>
      </c>
      <c r="AI17" s="19">
        <f t="shared" ref="AI17:AI21" si="28">+D17-S17</f>
        <v>-3868379.650000006</v>
      </c>
      <c r="AJ17" s="19">
        <f t="shared" ref="AJ17:AJ21" si="29">+AI17/D17*100</f>
        <v>-2.930204005296781</v>
      </c>
      <c r="AK17" s="19">
        <f t="shared" ref="AK17:AK21" si="30">+E17-T17</f>
        <v>-269811865.14999998</v>
      </c>
      <c r="AL17" s="19">
        <f t="shared" ref="AL17:AL21" si="31">+AK17/E17*100</f>
        <v>202.9151376449723</v>
      </c>
      <c r="AM17" s="19">
        <f t="shared" ref="AM17:AM21" si="32">+F17-U17</f>
        <v>0</v>
      </c>
      <c r="AN17" s="19" t="e">
        <f t="shared" ref="AN17:AN21" si="33">+AM17/F17*100</f>
        <v>#DIV/0!</v>
      </c>
      <c r="AO17" s="19">
        <f t="shared" ref="AO17:AO21" si="34">+G17-V17</f>
        <v>0</v>
      </c>
      <c r="AP17" s="19" t="e">
        <f t="shared" ref="AP17:AP21" si="35">+AO17/G17*100</f>
        <v>#DIV/0!</v>
      </c>
      <c r="AQ17" s="19">
        <f t="shared" ref="AQ17:AQ21" si="36">+H17-W17</f>
        <v>0</v>
      </c>
      <c r="AR17" s="19" t="e">
        <f t="shared" ref="AR17:AR21" si="37">+AQ17/H17*100</f>
        <v>#DIV/0!</v>
      </c>
      <c r="AS17" s="19">
        <f t="shared" ref="AS17:AS21" si="38">+I17-X17</f>
        <v>0</v>
      </c>
      <c r="AT17" s="19" t="e">
        <f t="shared" ref="AT17:AT21" si="39">+AS17/I17*100</f>
        <v>#DIV/0!</v>
      </c>
      <c r="AU17" s="19">
        <f t="shared" ref="AU17:AU21" si="40">+J17-Y17</f>
        <v>0</v>
      </c>
      <c r="AV17" s="19" t="e">
        <f t="shared" ref="AV17:AV21" si="41">+AU17/J17*100</f>
        <v>#DIV/0!</v>
      </c>
      <c r="AW17" s="19">
        <f t="shared" ref="AW17:AW21" si="42">+K17-Z17</f>
        <v>0</v>
      </c>
      <c r="AX17" s="19" t="e">
        <f t="shared" ref="AX17:AX21" si="43">+AW17/K17*100</f>
        <v>#DIV/0!</v>
      </c>
      <c r="AY17" s="19">
        <f t="shared" ref="AY17:AY21" si="44">+L17-AA17</f>
        <v>0</v>
      </c>
      <c r="AZ17" s="19" t="e">
        <f t="shared" ref="AZ17:AZ21" si="45">+AY17/L17*100</f>
        <v>#DIV/0!</v>
      </c>
      <c r="BA17" s="19">
        <f t="shared" ref="BA17:BA21" si="46">+M17-AB17</f>
        <v>0</v>
      </c>
      <c r="BB17" s="19" t="e">
        <f t="shared" ref="BB17:BB21" si="47">+BA17/M17*100</f>
        <v>#DIV/0!</v>
      </c>
      <c r="BC17" s="19">
        <f t="shared" ref="BC17:BC21" si="48">+N17-AC17</f>
        <v>0</v>
      </c>
      <c r="BD17" s="19" t="e">
        <f t="shared" ref="BD17:BD21" si="49">+BC17/N17*100</f>
        <v>#DIV/0!</v>
      </c>
    </row>
    <row r="18" spans="1:56">
      <c r="A18" s="17">
        <v>2</v>
      </c>
      <c r="B18" s="18" t="s">
        <v>12</v>
      </c>
      <c r="C18" s="19">
        <v>20530047.620000001</v>
      </c>
      <c r="D18" s="19">
        <v>20620272.129999999</v>
      </c>
      <c r="E18" s="19">
        <v>-20713504.120000001</v>
      </c>
      <c r="F18" s="19"/>
      <c r="G18" s="18"/>
      <c r="H18" s="18"/>
      <c r="I18" s="18"/>
      <c r="J18" s="18"/>
      <c r="K18" s="18"/>
      <c r="L18" s="18"/>
      <c r="M18" s="18"/>
      <c r="N18" s="18"/>
      <c r="P18" s="17">
        <v>2</v>
      </c>
      <c r="Q18" s="18" t="s">
        <v>12</v>
      </c>
      <c r="R18" s="19">
        <v>21254234.350000001</v>
      </c>
      <c r="S18" s="19">
        <v>21345746.699999999</v>
      </c>
      <c r="T18" s="19">
        <v>21437259.050000001</v>
      </c>
      <c r="U18" s="19"/>
      <c r="V18" s="18"/>
      <c r="W18" s="18"/>
      <c r="X18" s="18"/>
      <c r="Y18" s="18"/>
      <c r="Z18" s="18"/>
      <c r="AA18" s="18"/>
      <c r="AB18" s="18"/>
      <c r="AC18" s="18"/>
      <c r="AE18" s="17">
        <v>2</v>
      </c>
      <c r="AF18" s="18" t="s">
        <v>12</v>
      </c>
      <c r="AG18" s="19">
        <f t="shared" si="26"/>
        <v>-724186.73000000045</v>
      </c>
      <c r="AH18" s="19">
        <f t="shared" si="27"/>
        <v>-3.5274478822665314</v>
      </c>
      <c r="AI18" s="19">
        <f t="shared" si="28"/>
        <v>-725474.5700000003</v>
      </c>
      <c r="AJ18" s="19">
        <f t="shared" si="29"/>
        <v>-3.5182589513187006</v>
      </c>
      <c r="AK18" s="19">
        <f t="shared" si="30"/>
        <v>-42150763.170000002</v>
      </c>
      <c r="AL18" s="19">
        <f t="shared" si="31"/>
        <v>203.49412115790284</v>
      </c>
      <c r="AM18" s="19">
        <f t="shared" si="32"/>
        <v>0</v>
      </c>
      <c r="AN18" s="19" t="e">
        <f t="shared" si="33"/>
        <v>#DIV/0!</v>
      </c>
      <c r="AO18" s="19">
        <f t="shared" si="34"/>
        <v>0</v>
      </c>
      <c r="AP18" s="19" t="e">
        <f t="shared" si="35"/>
        <v>#DIV/0!</v>
      </c>
      <c r="AQ18" s="19">
        <f t="shared" si="36"/>
        <v>0</v>
      </c>
      <c r="AR18" s="19" t="e">
        <f t="shared" si="37"/>
        <v>#DIV/0!</v>
      </c>
      <c r="AS18" s="19">
        <f t="shared" si="38"/>
        <v>0</v>
      </c>
      <c r="AT18" s="19" t="e">
        <f t="shared" si="39"/>
        <v>#DIV/0!</v>
      </c>
      <c r="AU18" s="19">
        <f t="shared" si="40"/>
        <v>0</v>
      </c>
      <c r="AV18" s="19" t="e">
        <f t="shared" si="41"/>
        <v>#DIV/0!</v>
      </c>
      <c r="AW18" s="19">
        <f t="shared" si="42"/>
        <v>0</v>
      </c>
      <c r="AX18" s="19" t="e">
        <f t="shared" si="43"/>
        <v>#DIV/0!</v>
      </c>
      <c r="AY18" s="19">
        <f t="shared" si="44"/>
        <v>0</v>
      </c>
      <c r="AZ18" s="19" t="e">
        <f t="shared" si="45"/>
        <v>#DIV/0!</v>
      </c>
      <c r="BA18" s="19">
        <f t="shared" si="46"/>
        <v>0</v>
      </c>
      <c r="BB18" s="19" t="e">
        <f t="shared" si="47"/>
        <v>#DIV/0!</v>
      </c>
      <c r="BC18" s="19">
        <f t="shared" si="48"/>
        <v>0</v>
      </c>
      <c r="BD18" s="19" t="e">
        <f t="shared" si="49"/>
        <v>#DIV/0!</v>
      </c>
    </row>
    <row r="19" spans="1:56">
      <c r="A19" s="17">
        <v>3</v>
      </c>
      <c r="B19" s="18" t="s">
        <v>14</v>
      </c>
      <c r="C19" s="19">
        <v>604295.25</v>
      </c>
      <c r="D19" s="19">
        <v>605113.27</v>
      </c>
      <c r="E19" s="19">
        <v>-605958.56000000006</v>
      </c>
      <c r="F19" s="19"/>
      <c r="G19" s="18"/>
      <c r="H19" s="18"/>
      <c r="I19" s="18"/>
      <c r="J19" s="18"/>
      <c r="K19" s="18"/>
      <c r="L19" s="18"/>
      <c r="M19" s="18"/>
      <c r="N19" s="18"/>
      <c r="P19" s="17">
        <v>3</v>
      </c>
      <c r="Q19" s="18" t="s">
        <v>14</v>
      </c>
      <c r="R19" s="19">
        <v>1126812.6599999999</v>
      </c>
      <c r="S19" s="19">
        <v>1127050.32</v>
      </c>
      <c r="T19" s="19">
        <v>1127287.98</v>
      </c>
      <c r="U19" s="19"/>
      <c r="V19" s="18"/>
      <c r="W19" s="18"/>
      <c r="X19" s="18"/>
      <c r="Y19" s="18"/>
      <c r="Z19" s="18"/>
      <c r="AA19" s="18"/>
      <c r="AB19" s="18"/>
      <c r="AC19" s="18"/>
      <c r="AE19" s="17">
        <v>3</v>
      </c>
      <c r="AF19" s="18" t="s">
        <v>14</v>
      </c>
      <c r="AG19" s="19">
        <f t="shared" si="26"/>
        <v>-522517.40999999992</v>
      </c>
      <c r="AH19" s="19">
        <f t="shared" si="27"/>
        <v>-86.467237662384392</v>
      </c>
      <c r="AI19" s="19">
        <f t="shared" si="28"/>
        <v>-521937.05000000005</v>
      </c>
      <c r="AJ19" s="19">
        <f t="shared" si="29"/>
        <v>-86.254437950104787</v>
      </c>
      <c r="AK19" s="19">
        <f t="shared" si="30"/>
        <v>-1733246.54</v>
      </c>
      <c r="AL19" s="19">
        <f t="shared" si="31"/>
        <v>286.03384033390006</v>
      </c>
      <c r="AM19" s="19">
        <f t="shared" si="32"/>
        <v>0</v>
      </c>
      <c r="AN19" s="19" t="e">
        <f t="shared" si="33"/>
        <v>#DIV/0!</v>
      </c>
      <c r="AO19" s="19">
        <f t="shared" si="34"/>
        <v>0</v>
      </c>
      <c r="AP19" s="19" t="e">
        <f t="shared" si="35"/>
        <v>#DIV/0!</v>
      </c>
      <c r="AQ19" s="19">
        <f t="shared" si="36"/>
        <v>0</v>
      </c>
      <c r="AR19" s="19" t="e">
        <f t="shared" si="37"/>
        <v>#DIV/0!</v>
      </c>
      <c r="AS19" s="19">
        <f t="shared" si="38"/>
        <v>0</v>
      </c>
      <c r="AT19" s="19" t="e">
        <f t="shared" si="39"/>
        <v>#DIV/0!</v>
      </c>
      <c r="AU19" s="19">
        <f t="shared" si="40"/>
        <v>0</v>
      </c>
      <c r="AV19" s="19" t="e">
        <f t="shared" si="41"/>
        <v>#DIV/0!</v>
      </c>
      <c r="AW19" s="19">
        <f t="shared" si="42"/>
        <v>0</v>
      </c>
      <c r="AX19" s="19" t="e">
        <f t="shared" si="43"/>
        <v>#DIV/0!</v>
      </c>
      <c r="AY19" s="19">
        <f t="shared" si="44"/>
        <v>0</v>
      </c>
      <c r="AZ19" s="19" t="e">
        <f t="shared" si="45"/>
        <v>#DIV/0!</v>
      </c>
      <c r="BA19" s="19">
        <f t="shared" si="46"/>
        <v>0</v>
      </c>
      <c r="BB19" s="19" t="e">
        <f t="shared" si="47"/>
        <v>#DIV/0!</v>
      </c>
      <c r="BC19" s="19">
        <f t="shared" si="48"/>
        <v>0</v>
      </c>
      <c r="BD19" s="19" t="e">
        <f t="shared" si="49"/>
        <v>#DIV/0!</v>
      </c>
    </row>
    <row r="20" spans="1:56">
      <c r="A20" s="17">
        <v>4</v>
      </c>
      <c r="B20" s="18" t="s">
        <v>16</v>
      </c>
      <c r="C20" s="19">
        <v>7710986</v>
      </c>
      <c r="D20" s="19">
        <v>7710986</v>
      </c>
      <c r="E20" s="19">
        <v>-7710986</v>
      </c>
      <c r="F20" s="19"/>
      <c r="G20" s="18"/>
      <c r="H20" s="18"/>
      <c r="I20" s="18"/>
      <c r="J20" s="18"/>
      <c r="K20" s="18"/>
      <c r="L20" s="18"/>
      <c r="M20" s="18"/>
      <c r="N20" s="18"/>
      <c r="P20" s="17">
        <v>4</v>
      </c>
      <c r="Q20" s="18" t="s">
        <v>16</v>
      </c>
      <c r="R20" s="19">
        <v>7710986</v>
      </c>
      <c r="S20" s="19">
        <v>7710986</v>
      </c>
      <c r="T20" s="19">
        <v>7710986</v>
      </c>
      <c r="U20" s="19"/>
      <c r="V20" s="18"/>
      <c r="W20" s="18"/>
      <c r="X20" s="18"/>
      <c r="Y20" s="18"/>
      <c r="Z20" s="18"/>
      <c r="AA20" s="18"/>
      <c r="AB20" s="18"/>
      <c r="AC20" s="18"/>
      <c r="AE20" s="17">
        <v>4</v>
      </c>
      <c r="AF20" s="18" t="s">
        <v>16</v>
      </c>
      <c r="AG20" s="19">
        <f t="shared" si="26"/>
        <v>0</v>
      </c>
      <c r="AH20" s="19">
        <f t="shared" si="27"/>
        <v>0</v>
      </c>
      <c r="AI20" s="19">
        <f t="shared" si="28"/>
        <v>0</v>
      </c>
      <c r="AJ20" s="19">
        <f t="shared" si="29"/>
        <v>0</v>
      </c>
      <c r="AK20" s="19">
        <f t="shared" si="30"/>
        <v>-15421972</v>
      </c>
      <c r="AL20" s="19">
        <f t="shared" si="31"/>
        <v>200</v>
      </c>
      <c r="AM20" s="19">
        <f t="shared" si="32"/>
        <v>0</v>
      </c>
      <c r="AN20" s="19" t="e">
        <f t="shared" si="33"/>
        <v>#DIV/0!</v>
      </c>
      <c r="AO20" s="19">
        <f t="shared" si="34"/>
        <v>0</v>
      </c>
      <c r="AP20" s="19" t="e">
        <f t="shared" si="35"/>
        <v>#DIV/0!</v>
      </c>
      <c r="AQ20" s="19">
        <f t="shared" si="36"/>
        <v>0</v>
      </c>
      <c r="AR20" s="19" t="e">
        <f t="shared" si="37"/>
        <v>#DIV/0!</v>
      </c>
      <c r="AS20" s="19">
        <f t="shared" si="38"/>
        <v>0</v>
      </c>
      <c r="AT20" s="19" t="e">
        <f t="shared" si="39"/>
        <v>#DIV/0!</v>
      </c>
      <c r="AU20" s="19">
        <f t="shared" si="40"/>
        <v>0</v>
      </c>
      <c r="AV20" s="19" t="e">
        <f t="shared" si="41"/>
        <v>#DIV/0!</v>
      </c>
      <c r="AW20" s="19">
        <f t="shared" si="42"/>
        <v>0</v>
      </c>
      <c r="AX20" s="19" t="e">
        <f t="shared" si="43"/>
        <v>#DIV/0!</v>
      </c>
      <c r="AY20" s="19">
        <f t="shared" si="44"/>
        <v>0</v>
      </c>
      <c r="AZ20" s="19" t="e">
        <f t="shared" si="45"/>
        <v>#DIV/0!</v>
      </c>
      <c r="BA20" s="19">
        <f t="shared" si="46"/>
        <v>0</v>
      </c>
      <c r="BB20" s="19" t="e">
        <f t="shared" si="47"/>
        <v>#DIV/0!</v>
      </c>
      <c r="BC20" s="19">
        <f t="shared" si="48"/>
        <v>0</v>
      </c>
      <c r="BD20" s="19" t="e">
        <f t="shared" si="49"/>
        <v>#DIV/0!</v>
      </c>
    </row>
    <row r="21" spans="1:56" ht="25.2" thickBot="1">
      <c r="A21" s="20"/>
      <c r="B21" s="20" t="s">
        <v>17</v>
      </c>
      <c r="C21" s="21">
        <f>SUM(C16:C20)</f>
        <v>159942987.25999999</v>
      </c>
      <c r="D21" s="21">
        <f t="shared" ref="D21:N21" si="50">SUM(D16:D20)</f>
        <v>160953788.72</v>
      </c>
      <c r="E21" s="21">
        <f t="shared" si="50"/>
        <v>-161998283.55000001</v>
      </c>
      <c r="F21" s="21">
        <f t="shared" si="50"/>
        <v>0</v>
      </c>
      <c r="G21" s="21">
        <f t="shared" si="50"/>
        <v>0</v>
      </c>
      <c r="H21" s="21">
        <f t="shared" si="50"/>
        <v>0</v>
      </c>
      <c r="I21" s="21">
        <f t="shared" si="50"/>
        <v>0</v>
      </c>
      <c r="J21" s="21">
        <f t="shared" si="50"/>
        <v>0</v>
      </c>
      <c r="K21" s="21">
        <f t="shared" si="50"/>
        <v>0</v>
      </c>
      <c r="L21" s="21">
        <f t="shared" si="50"/>
        <v>0</v>
      </c>
      <c r="M21" s="21">
        <f t="shared" si="50"/>
        <v>0</v>
      </c>
      <c r="N21" s="21">
        <f t="shared" si="50"/>
        <v>0</v>
      </c>
      <c r="P21" s="20"/>
      <c r="Q21" s="20" t="s">
        <v>17</v>
      </c>
      <c r="R21" s="21">
        <f>SUM(R16:R20)</f>
        <v>165019596.66</v>
      </c>
      <c r="S21" s="21">
        <f t="shared" ref="S21:AC21" si="51">SUM(S16:S20)</f>
        <v>166069579.98999998</v>
      </c>
      <c r="T21" s="21">
        <f t="shared" si="51"/>
        <v>167119563.31</v>
      </c>
      <c r="U21" s="21">
        <f t="shared" si="51"/>
        <v>0</v>
      </c>
      <c r="V21" s="21">
        <f t="shared" si="51"/>
        <v>0</v>
      </c>
      <c r="W21" s="21">
        <f t="shared" si="51"/>
        <v>0</v>
      </c>
      <c r="X21" s="21">
        <f t="shared" si="51"/>
        <v>0</v>
      </c>
      <c r="Y21" s="21">
        <f t="shared" si="51"/>
        <v>0</v>
      </c>
      <c r="Z21" s="21">
        <f t="shared" si="51"/>
        <v>0</v>
      </c>
      <c r="AA21" s="21">
        <f t="shared" si="51"/>
        <v>0</v>
      </c>
      <c r="AB21" s="21">
        <f t="shared" si="51"/>
        <v>0</v>
      </c>
      <c r="AC21" s="21">
        <f t="shared" si="51"/>
        <v>0</v>
      </c>
      <c r="AE21" s="20"/>
      <c r="AF21" s="20" t="s">
        <v>17</v>
      </c>
      <c r="AG21" s="23">
        <f t="shared" si="26"/>
        <v>-5076609.400000006</v>
      </c>
      <c r="AH21" s="23">
        <f t="shared" si="27"/>
        <v>-3.1740118694591937</v>
      </c>
      <c r="AI21" s="23">
        <f t="shared" si="28"/>
        <v>-5115791.2699999809</v>
      </c>
      <c r="AJ21" s="23">
        <f t="shared" si="29"/>
        <v>-3.1784223973127865</v>
      </c>
      <c r="AK21" s="23">
        <f t="shared" si="30"/>
        <v>-329117846.86000001</v>
      </c>
      <c r="AL21" s="23">
        <f t="shared" si="31"/>
        <v>203.16131729779676</v>
      </c>
      <c r="AM21" s="23">
        <f t="shared" si="32"/>
        <v>0</v>
      </c>
      <c r="AN21" s="23" t="e">
        <f t="shared" si="33"/>
        <v>#DIV/0!</v>
      </c>
      <c r="AO21" s="23">
        <f t="shared" si="34"/>
        <v>0</v>
      </c>
      <c r="AP21" s="23" t="e">
        <f t="shared" si="35"/>
        <v>#DIV/0!</v>
      </c>
      <c r="AQ21" s="23">
        <f t="shared" si="36"/>
        <v>0</v>
      </c>
      <c r="AR21" s="23" t="e">
        <f t="shared" si="37"/>
        <v>#DIV/0!</v>
      </c>
      <c r="AS21" s="23">
        <f t="shared" si="38"/>
        <v>0</v>
      </c>
      <c r="AT21" s="23" t="e">
        <f t="shared" si="39"/>
        <v>#DIV/0!</v>
      </c>
      <c r="AU21" s="23">
        <f t="shared" si="40"/>
        <v>0</v>
      </c>
      <c r="AV21" s="23" t="e">
        <f t="shared" si="41"/>
        <v>#DIV/0!</v>
      </c>
      <c r="AW21" s="23">
        <f t="shared" si="42"/>
        <v>0</v>
      </c>
      <c r="AX21" s="23" t="e">
        <f t="shared" si="43"/>
        <v>#DIV/0!</v>
      </c>
      <c r="AY21" s="23">
        <f t="shared" si="44"/>
        <v>0</v>
      </c>
      <c r="AZ21" s="23" t="e">
        <f t="shared" si="45"/>
        <v>#DIV/0!</v>
      </c>
      <c r="BA21" s="23">
        <f t="shared" si="46"/>
        <v>0</v>
      </c>
      <c r="BB21" s="23" t="e">
        <f t="shared" si="47"/>
        <v>#DIV/0!</v>
      </c>
      <c r="BC21" s="23">
        <f t="shared" si="48"/>
        <v>0</v>
      </c>
      <c r="BD21" s="23" t="e">
        <f t="shared" si="49"/>
        <v>#DIV/0!</v>
      </c>
    </row>
    <row r="22" spans="1:56" ht="25.2" thickTop="1"/>
    <row r="23" spans="1:56">
      <c r="A23" s="37" t="s">
        <v>47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P23" s="37" t="s">
        <v>51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E23" s="37" t="s">
        <v>88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</row>
    <row r="24" spans="1:56">
      <c r="A24" s="37" t="s">
        <v>1946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P24" s="37" t="s">
        <v>1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E24" s="37" t="s">
        <v>1</v>
      </c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</row>
    <row r="25" spans="1:56" s="25" customFormat="1">
      <c r="A25" s="35" t="s">
        <v>2</v>
      </c>
      <c r="B25" s="35" t="s">
        <v>3</v>
      </c>
      <c r="C25" s="38" t="s">
        <v>4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P25" s="35" t="s">
        <v>2</v>
      </c>
      <c r="Q25" s="35" t="s">
        <v>3</v>
      </c>
      <c r="R25" s="38" t="s">
        <v>5</v>
      </c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/>
      <c r="AE25" s="35" t="s">
        <v>2</v>
      </c>
      <c r="AF25" s="35" t="s">
        <v>3</v>
      </c>
      <c r="AG25" s="33">
        <v>25112</v>
      </c>
      <c r="AH25" s="34"/>
      <c r="AI25" s="33">
        <v>25143</v>
      </c>
      <c r="AJ25" s="34"/>
      <c r="AK25" s="33">
        <v>25173</v>
      </c>
      <c r="AL25" s="34"/>
      <c r="AM25" s="33">
        <v>25204</v>
      </c>
      <c r="AN25" s="34"/>
      <c r="AO25" s="33">
        <v>25235</v>
      </c>
      <c r="AP25" s="34"/>
      <c r="AQ25" s="33">
        <v>25263</v>
      </c>
      <c r="AR25" s="34"/>
      <c r="AS25" s="33">
        <v>25294</v>
      </c>
      <c r="AT25" s="34"/>
      <c r="AU25" s="33">
        <v>25324</v>
      </c>
      <c r="AV25" s="34"/>
      <c r="AW25" s="33">
        <v>25355</v>
      </c>
      <c r="AX25" s="34"/>
      <c r="AY25" s="33">
        <v>25385</v>
      </c>
      <c r="AZ25" s="34"/>
      <c r="BA25" s="33">
        <v>25416</v>
      </c>
      <c r="BB25" s="34"/>
      <c r="BC25" s="33">
        <v>25447</v>
      </c>
      <c r="BD25" s="34"/>
    </row>
    <row r="26" spans="1:56" s="25" customFormat="1">
      <c r="A26" s="36"/>
      <c r="B26" s="36"/>
      <c r="C26" s="16">
        <v>25112</v>
      </c>
      <c r="D26" s="16">
        <v>25143</v>
      </c>
      <c r="E26" s="16">
        <v>25173</v>
      </c>
      <c r="F26" s="16">
        <v>25204</v>
      </c>
      <c r="G26" s="16">
        <v>25235</v>
      </c>
      <c r="H26" s="16">
        <v>25263</v>
      </c>
      <c r="I26" s="16">
        <v>25294</v>
      </c>
      <c r="J26" s="16">
        <v>25324</v>
      </c>
      <c r="K26" s="16">
        <v>25355</v>
      </c>
      <c r="L26" s="16">
        <v>25385</v>
      </c>
      <c r="M26" s="16">
        <v>25416</v>
      </c>
      <c r="N26" s="16">
        <v>25447</v>
      </c>
      <c r="P26" s="36"/>
      <c r="Q26" s="36"/>
      <c r="R26" s="16">
        <v>25112</v>
      </c>
      <c r="S26" s="16">
        <v>25143</v>
      </c>
      <c r="T26" s="16">
        <v>25173</v>
      </c>
      <c r="U26" s="16">
        <v>25204</v>
      </c>
      <c r="V26" s="16">
        <v>25235</v>
      </c>
      <c r="W26" s="16">
        <v>25263</v>
      </c>
      <c r="X26" s="16">
        <v>25294</v>
      </c>
      <c r="Y26" s="16">
        <v>25324</v>
      </c>
      <c r="Z26" s="16">
        <v>25355</v>
      </c>
      <c r="AA26" s="16">
        <v>25385</v>
      </c>
      <c r="AB26" s="16">
        <v>25416</v>
      </c>
      <c r="AC26" s="16">
        <v>25447</v>
      </c>
      <c r="AE26" s="36"/>
      <c r="AF26" s="36"/>
      <c r="AG26" s="16" t="s">
        <v>85</v>
      </c>
      <c r="AH26" s="16" t="s">
        <v>86</v>
      </c>
      <c r="AI26" s="16" t="s">
        <v>85</v>
      </c>
      <c r="AJ26" s="16" t="s">
        <v>86</v>
      </c>
      <c r="AK26" s="16" t="s">
        <v>85</v>
      </c>
      <c r="AL26" s="16" t="s">
        <v>86</v>
      </c>
      <c r="AM26" s="16" t="s">
        <v>85</v>
      </c>
      <c r="AN26" s="16" t="s">
        <v>86</v>
      </c>
      <c r="AO26" s="16" t="s">
        <v>85</v>
      </c>
      <c r="AP26" s="16" t="s">
        <v>86</v>
      </c>
      <c r="AQ26" s="16" t="s">
        <v>85</v>
      </c>
      <c r="AR26" s="16" t="s">
        <v>86</v>
      </c>
      <c r="AS26" s="16" t="s">
        <v>85</v>
      </c>
      <c r="AT26" s="16" t="s">
        <v>86</v>
      </c>
      <c r="AU26" s="16" t="s">
        <v>85</v>
      </c>
      <c r="AV26" s="16" t="s">
        <v>86</v>
      </c>
      <c r="AW26" s="16" t="s">
        <v>85</v>
      </c>
      <c r="AX26" s="16" t="s">
        <v>86</v>
      </c>
      <c r="AY26" s="16" t="s">
        <v>85</v>
      </c>
      <c r="AZ26" s="16" t="s">
        <v>86</v>
      </c>
      <c r="BA26" s="16" t="s">
        <v>85</v>
      </c>
      <c r="BB26" s="16" t="s">
        <v>86</v>
      </c>
      <c r="BC26" s="16" t="s">
        <v>85</v>
      </c>
      <c r="BD26" s="16" t="s">
        <v>86</v>
      </c>
    </row>
    <row r="27" spans="1:56">
      <c r="A27" s="17">
        <v>1</v>
      </c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>
        <v>104270</v>
      </c>
      <c r="M27" s="19"/>
      <c r="N27" s="19"/>
      <c r="O27" s="26"/>
      <c r="P27" s="17">
        <v>1</v>
      </c>
      <c r="Q27" s="18" t="s">
        <v>18</v>
      </c>
      <c r="R27" s="19">
        <v>283000</v>
      </c>
      <c r="S27" s="19">
        <v>283000</v>
      </c>
      <c r="T27" s="19">
        <v>283000</v>
      </c>
      <c r="U27" s="19"/>
      <c r="V27" s="19"/>
      <c r="W27" s="19"/>
      <c r="X27" s="19"/>
      <c r="Y27" s="19"/>
      <c r="Z27" s="19"/>
      <c r="AA27" s="19">
        <v>104270</v>
      </c>
      <c r="AB27" s="19"/>
      <c r="AC27" s="19"/>
      <c r="AE27" s="17">
        <v>1</v>
      </c>
      <c r="AF27" s="18" t="s">
        <v>18</v>
      </c>
      <c r="AG27" s="19">
        <f t="shared" ref="AG27:AG41" si="52">+C27-R27</f>
        <v>-283000</v>
      </c>
      <c r="AH27" s="19" t="e">
        <f t="shared" ref="AH27:AH41" si="53">+AG27/C27*100</f>
        <v>#DIV/0!</v>
      </c>
      <c r="AI27" s="19">
        <f t="shared" ref="AI27:AI41" si="54">+D27-S27</f>
        <v>-283000</v>
      </c>
      <c r="AJ27" s="19" t="e">
        <f t="shared" ref="AJ27:AJ41" si="55">+AI27/D27*100</f>
        <v>#DIV/0!</v>
      </c>
      <c r="AK27" s="19">
        <f t="shared" ref="AK27:AK41" si="56">+E27-T27</f>
        <v>-283000</v>
      </c>
      <c r="AL27" s="19" t="e">
        <f t="shared" ref="AL27:AL41" si="57">+AK27/E27*100</f>
        <v>#DIV/0!</v>
      </c>
      <c r="AM27" s="19">
        <f t="shared" ref="AM27:AM41" si="58">+F27-U27</f>
        <v>0</v>
      </c>
      <c r="AN27" s="19" t="e">
        <f t="shared" ref="AN27:AN41" si="59">+AM27/F27*100</f>
        <v>#DIV/0!</v>
      </c>
      <c r="AO27" s="19">
        <f t="shared" ref="AO27:AO41" si="60">+G27-V27</f>
        <v>0</v>
      </c>
      <c r="AP27" s="19" t="e">
        <f t="shared" ref="AP27:AP41" si="61">+AO27/G27*100</f>
        <v>#DIV/0!</v>
      </c>
      <c r="AQ27" s="19">
        <f t="shared" ref="AQ27:AQ41" si="62">+H27-W27</f>
        <v>0</v>
      </c>
      <c r="AR27" s="19" t="e">
        <f t="shared" ref="AR27:AR41" si="63">+AQ27/H27*100</f>
        <v>#DIV/0!</v>
      </c>
      <c r="AS27" s="19">
        <f t="shared" ref="AS27:AS41" si="64">+I27-X27</f>
        <v>0</v>
      </c>
      <c r="AT27" s="19" t="e">
        <f t="shared" ref="AT27:AT41" si="65">+AS27/I27*100</f>
        <v>#DIV/0!</v>
      </c>
      <c r="AU27" s="19">
        <f t="shared" ref="AU27:AU41" si="66">+J27-Y27</f>
        <v>0</v>
      </c>
      <c r="AV27" s="19" t="e">
        <f t="shared" ref="AV27:AV41" si="67">+AU27/J27*100</f>
        <v>#DIV/0!</v>
      </c>
      <c r="AW27" s="19">
        <f t="shared" ref="AW27:AW41" si="68">+K27-Z27</f>
        <v>0</v>
      </c>
      <c r="AX27" s="19" t="e">
        <f t="shared" ref="AX27:AX41" si="69">+AW27/K27*100</f>
        <v>#DIV/0!</v>
      </c>
      <c r="AY27" s="19">
        <f t="shared" ref="AY27:AY41" si="70">+L27-AA27</f>
        <v>0</v>
      </c>
      <c r="AZ27" s="19">
        <f t="shared" ref="AZ27:AZ41" si="71">+AY27/L27*100</f>
        <v>0</v>
      </c>
      <c r="BA27" s="19">
        <f t="shared" ref="BA27:BA41" si="72">+M27-AB27</f>
        <v>0</v>
      </c>
      <c r="BB27" s="19" t="e">
        <f t="shared" ref="BB27:BB41" si="73">+BA27/M27*100</f>
        <v>#DIV/0!</v>
      </c>
      <c r="BC27" s="19">
        <f t="shared" ref="BC27:BC41" si="74">+N27-AC27</f>
        <v>0</v>
      </c>
      <c r="BD27" s="19" t="e">
        <f t="shared" ref="BD27:BD41" si="75">+BC27/N27*100</f>
        <v>#DIV/0!</v>
      </c>
    </row>
    <row r="28" spans="1:56">
      <c r="A28" s="17">
        <v>2</v>
      </c>
      <c r="B28" s="18" t="s">
        <v>20</v>
      </c>
      <c r="C28" s="19">
        <v>2499800</v>
      </c>
      <c r="D28" s="19">
        <v>2499800</v>
      </c>
      <c r="E28" s="19">
        <v>2499800</v>
      </c>
      <c r="F28" s="19"/>
      <c r="G28" s="19"/>
      <c r="H28" s="19"/>
      <c r="I28" s="19"/>
      <c r="J28" s="19"/>
      <c r="K28" s="19"/>
      <c r="L28" s="19">
        <v>1645000</v>
      </c>
      <c r="M28" s="19"/>
      <c r="N28" s="19"/>
      <c r="O28" s="26"/>
      <c r="P28" s="17">
        <v>2</v>
      </c>
      <c r="Q28" s="18" t="s">
        <v>20</v>
      </c>
      <c r="R28" s="19">
        <v>11350850</v>
      </c>
      <c r="S28" s="19">
        <v>11350850</v>
      </c>
      <c r="T28" s="19">
        <v>11350850</v>
      </c>
      <c r="U28" s="19"/>
      <c r="V28" s="19"/>
      <c r="W28" s="19"/>
      <c r="X28" s="19"/>
      <c r="Y28" s="19"/>
      <c r="Z28" s="19"/>
      <c r="AA28" s="19">
        <v>1645000</v>
      </c>
      <c r="AB28" s="19"/>
      <c r="AC28" s="19"/>
      <c r="AE28" s="17">
        <v>2</v>
      </c>
      <c r="AF28" s="18" t="s">
        <v>20</v>
      </c>
      <c r="AG28" s="19">
        <f t="shared" si="52"/>
        <v>-8851050</v>
      </c>
      <c r="AH28" s="19">
        <f t="shared" si="53"/>
        <v>-354.07032562605008</v>
      </c>
      <c r="AI28" s="19">
        <f t="shared" si="54"/>
        <v>-8851050</v>
      </c>
      <c r="AJ28" s="19">
        <f t="shared" si="55"/>
        <v>-354.07032562605008</v>
      </c>
      <c r="AK28" s="19">
        <f t="shared" si="56"/>
        <v>-8851050</v>
      </c>
      <c r="AL28" s="19">
        <f t="shared" si="57"/>
        <v>-354.07032562605008</v>
      </c>
      <c r="AM28" s="19">
        <f t="shared" si="58"/>
        <v>0</v>
      </c>
      <c r="AN28" s="19" t="e">
        <f t="shared" si="59"/>
        <v>#DIV/0!</v>
      </c>
      <c r="AO28" s="19">
        <f t="shared" si="60"/>
        <v>0</v>
      </c>
      <c r="AP28" s="19" t="e">
        <f t="shared" si="61"/>
        <v>#DIV/0!</v>
      </c>
      <c r="AQ28" s="19">
        <f t="shared" si="62"/>
        <v>0</v>
      </c>
      <c r="AR28" s="19" t="e">
        <f t="shared" si="63"/>
        <v>#DIV/0!</v>
      </c>
      <c r="AS28" s="19">
        <f t="shared" si="64"/>
        <v>0</v>
      </c>
      <c r="AT28" s="19" t="e">
        <f t="shared" si="65"/>
        <v>#DIV/0!</v>
      </c>
      <c r="AU28" s="19">
        <f t="shared" si="66"/>
        <v>0</v>
      </c>
      <c r="AV28" s="19" t="e">
        <f t="shared" si="67"/>
        <v>#DIV/0!</v>
      </c>
      <c r="AW28" s="19">
        <f t="shared" si="68"/>
        <v>0</v>
      </c>
      <c r="AX28" s="19" t="e">
        <f t="shared" si="69"/>
        <v>#DIV/0!</v>
      </c>
      <c r="AY28" s="19">
        <f t="shared" si="70"/>
        <v>0</v>
      </c>
      <c r="AZ28" s="19">
        <f t="shared" si="71"/>
        <v>0</v>
      </c>
      <c r="BA28" s="19">
        <f t="shared" si="72"/>
        <v>0</v>
      </c>
      <c r="BB28" s="19" t="e">
        <f t="shared" si="73"/>
        <v>#DIV/0!</v>
      </c>
      <c r="BC28" s="19">
        <f t="shared" si="74"/>
        <v>0</v>
      </c>
      <c r="BD28" s="19" t="e">
        <f t="shared" si="75"/>
        <v>#DIV/0!</v>
      </c>
    </row>
    <row r="29" spans="1:56">
      <c r="A29" s="17">
        <v>3</v>
      </c>
      <c r="B29" s="18" t="s">
        <v>22</v>
      </c>
      <c r="C29" s="19">
        <v>7002600</v>
      </c>
      <c r="D29" s="19">
        <v>7002600</v>
      </c>
      <c r="E29" s="19">
        <v>7002600</v>
      </c>
      <c r="F29" s="19"/>
      <c r="G29" s="19"/>
      <c r="H29" s="19"/>
      <c r="I29" s="19"/>
      <c r="J29" s="19"/>
      <c r="K29" s="19"/>
      <c r="L29" s="19">
        <v>745000</v>
      </c>
      <c r="M29" s="19"/>
      <c r="N29" s="19"/>
      <c r="O29" s="26"/>
      <c r="P29" s="17">
        <v>3</v>
      </c>
      <c r="Q29" s="18" t="s">
        <v>22</v>
      </c>
      <c r="R29" s="19">
        <v>8536600</v>
      </c>
      <c r="S29" s="19">
        <v>8536600</v>
      </c>
      <c r="T29" s="19">
        <v>8536600</v>
      </c>
      <c r="U29" s="19"/>
      <c r="V29" s="19"/>
      <c r="W29" s="19"/>
      <c r="X29" s="19"/>
      <c r="Y29" s="19"/>
      <c r="Z29" s="19"/>
      <c r="AA29" s="19">
        <v>745000</v>
      </c>
      <c r="AB29" s="19"/>
      <c r="AC29" s="19"/>
      <c r="AE29" s="17">
        <v>3</v>
      </c>
      <c r="AF29" s="18" t="s">
        <v>22</v>
      </c>
      <c r="AG29" s="19">
        <f t="shared" si="52"/>
        <v>-1534000</v>
      </c>
      <c r="AH29" s="19">
        <f t="shared" si="53"/>
        <v>-21.906149144603432</v>
      </c>
      <c r="AI29" s="19">
        <f t="shared" si="54"/>
        <v>-1534000</v>
      </c>
      <c r="AJ29" s="19">
        <f t="shared" si="55"/>
        <v>-21.906149144603432</v>
      </c>
      <c r="AK29" s="19">
        <f t="shared" si="56"/>
        <v>-1534000</v>
      </c>
      <c r="AL29" s="19">
        <f t="shared" si="57"/>
        <v>-21.906149144603432</v>
      </c>
      <c r="AM29" s="19">
        <f t="shared" si="58"/>
        <v>0</v>
      </c>
      <c r="AN29" s="19" t="e">
        <f t="shared" si="59"/>
        <v>#DIV/0!</v>
      </c>
      <c r="AO29" s="19">
        <f t="shared" si="60"/>
        <v>0</v>
      </c>
      <c r="AP29" s="19" t="e">
        <f t="shared" si="61"/>
        <v>#DIV/0!</v>
      </c>
      <c r="AQ29" s="19">
        <f t="shared" si="62"/>
        <v>0</v>
      </c>
      <c r="AR29" s="19" t="e">
        <f t="shared" si="63"/>
        <v>#DIV/0!</v>
      </c>
      <c r="AS29" s="19">
        <f t="shared" si="64"/>
        <v>0</v>
      </c>
      <c r="AT29" s="19" t="e">
        <f t="shared" si="65"/>
        <v>#DIV/0!</v>
      </c>
      <c r="AU29" s="19">
        <f t="shared" si="66"/>
        <v>0</v>
      </c>
      <c r="AV29" s="19" t="e">
        <f t="shared" si="67"/>
        <v>#DIV/0!</v>
      </c>
      <c r="AW29" s="19">
        <f t="shared" si="68"/>
        <v>0</v>
      </c>
      <c r="AX29" s="19" t="e">
        <f t="shared" si="69"/>
        <v>#DIV/0!</v>
      </c>
      <c r="AY29" s="19">
        <f t="shared" si="70"/>
        <v>0</v>
      </c>
      <c r="AZ29" s="19">
        <f t="shared" si="71"/>
        <v>0</v>
      </c>
      <c r="BA29" s="19">
        <f t="shared" si="72"/>
        <v>0</v>
      </c>
      <c r="BB29" s="19" t="e">
        <f t="shared" si="73"/>
        <v>#DIV/0!</v>
      </c>
      <c r="BC29" s="19">
        <f t="shared" si="74"/>
        <v>0</v>
      </c>
      <c r="BD29" s="19" t="e">
        <f t="shared" si="75"/>
        <v>#DIV/0!</v>
      </c>
    </row>
    <row r="30" spans="1:56">
      <c r="A30" s="17">
        <v>4</v>
      </c>
      <c r="B30" s="18" t="s">
        <v>24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6"/>
      <c r="P30" s="17">
        <v>4</v>
      </c>
      <c r="Q30" s="18" t="s">
        <v>24</v>
      </c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E30" s="17">
        <v>4</v>
      </c>
      <c r="AF30" s="18" t="s">
        <v>24</v>
      </c>
      <c r="AG30" s="19">
        <f t="shared" si="52"/>
        <v>0</v>
      </c>
      <c r="AH30" s="19" t="e">
        <f t="shared" si="53"/>
        <v>#DIV/0!</v>
      </c>
      <c r="AI30" s="19">
        <f t="shared" si="54"/>
        <v>0</v>
      </c>
      <c r="AJ30" s="19" t="e">
        <f t="shared" si="55"/>
        <v>#DIV/0!</v>
      </c>
      <c r="AK30" s="19">
        <f t="shared" si="56"/>
        <v>0</v>
      </c>
      <c r="AL30" s="19" t="e">
        <f t="shared" si="57"/>
        <v>#DIV/0!</v>
      </c>
      <c r="AM30" s="19">
        <f t="shared" si="58"/>
        <v>0</v>
      </c>
      <c r="AN30" s="19" t="e">
        <f t="shared" si="59"/>
        <v>#DIV/0!</v>
      </c>
      <c r="AO30" s="19">
        <f t="shared" si="60"/>
        <v>0</v>
      </c>
      <c r="AP30" s="19" t="e">
        <f t="shared" si="61"/>
        <v>#DIV/0!</v>
      </c>
      <c r="AQ30" s="19">
        <f t="shared" si="62"/>
        <v>0</v>
      </c>
      <c r="AR30" s="19" t="e">
        <f t="shared" si="63"/>
        <v>#DIV/0!</v>
      </c>
      <c r="AS30" s="19">
        <f t="shared" si="64"/>
        <v>0</v>
      </c>
      <c r="AT30" s="19" t="e">
        <f t="shared" si="65"/>
        <v>#DIV/0!</v>
      </c>
      <c r="AU30" s="19">
        <f t="shared" si="66"/>
        <v>0</v>
      </c>
      <c r="AV30" s="19" t="e">
        <f t="shared" si="67"/>
        <v>#DIV/0!</v>
      </c>
      <c r="AW30" s="19">
        <f t="shared" si="68"/>
        <v>0</v>
      </c>
      <c r="AX30" s="19" t="e">
        <f t="shared" si="69"/>
        <v>#DIV/0!</v>
      </c>
      <c r="AY30" s="19">
        <f t="shared" si="70"/>
        <v>0</v>
      </c>
      <c r="AZ30" s="19" t="e">
        <f t="shared" si="71"/>
        <v>#DIV/0!</v>
      </c>
      <c r="BA30" s="19">
        <f t="shared" si="72"/>
        <v>0</v>
      </c>
      <c r="BB30" s="19" t="e">
        <f t="shared" si="73"/>
        <v>#DIV/0!</v>
      </c>
      <c r="BC30" s="19">
        <f t="shared" si="74"/>
        <v>0</v>
      </c>
      <c r="BD30" s="19" t="e">
        <f t="shared" si="75"/>
        <v>#DIV/0!</v>
      </c>
    </row>
    <row r="31" spans="1:56">
      <c r="A31" s="17">
        <v>5</v>
      </c>
      <c r="B31" s="18" t="s">
        <v>26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6"/>
      <c r="P31" s="17">
        <v>5</v>
      </c>
      <c r="Q31" s="18" t="s">
        <v>26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E31" s="17">
        <v>5</v>
      </c>
      <c r="AF31" s="18" t="s">
        <v>26</v>
      </c>
      <c r="AG31" s="19">
        <f t="shared" si="52"/>
        <v>0</v>
      </c>
      <c r="AH31" s="19" t="e">
        <f t="shared" si="53"/>
        <v>#DIV/0!</v>
      </c>
      <c r="AI31" s="19">
        <f t="shared" si="54"/>
        <v>0</v>
      </c>
      <c r="AJ31" s="19" t="e">
        <f t="shared" si="55"/>
        <v>#DIV/0!</v>
      </c>
      <c r="AK31" s="19">
        <f t="shared" si="56"/>
        <v>0</v>
      </c>
      <c r="AL31" s="19" t="e">
        <f t="shared" si="57"/>
        <v>#DIV/0!</v>
      </c>
      <c r="AM31" s="19">
        <f t="shared" si="58"/>
        <v>0</v>
      </c>
      <c r="AN31" s="19" t="e">
        <f t="shared" si="59"/>
        <v>#DIV/0!</v>
      </c>
      <c r="AO31" s="19">
        <f t="shared" si="60"/>
        <v>0</v>
      </c>
      <c r="AP31" s="19" t="e">
        <f t="shared" si="61"/>
        <v>#DIV/0!</v>
      </c>
      <c r="AQ31" s="19">
        <f t="shared" si="62"/>
        <v>0</v>
      </c>
      <c r="AR31" s="19" t="e">
        <f t="shared" si="63"/>
        <v>#DIV/0!</v>
      </c>
      <c r="AS31" s="19">
        <f t="shared" si="64"/>
        <v>0</v>
      </c>
      <c r="AT31" s="19" t="e">
        <f t="shared" si="65"/>
        <v>#DIV/0!</v>
      </c>
      <c r="AU31" s="19">
        <f t="shared" si="66"/>
        <v>0</v>
      </c>
      <c r="AV31" s="19" t="e">
        <f t="shared" si="67"/>
        <v>#DIV/0!</v>
      </c>
      <c r="AW31" s="19">
        <f t="shared" si="68"/>
        <v>0</v>
      </c>
      <c r="AX31" s="19" t="e">
        <f t="shared" si="69"/>
        <v>#DIV/0!</v>
      </c>
      <c r="AY31" s="19">
        <f t="shared" si="70"/>
        <v>0</v>
      </c>
      <c r="AZ31" s="19" t="e">
        <f t="shared" si="71"/>
        <v>#DIV/0!</v>
      </c>
      <c r="BA31" s="19">
        <f t="shared" si="72"/>
        <v>0</v>
      </c>
      <c r="BB31" s="19" t="e">
        <f t="shared" si="73"/>
        <v>#DIV/0!</v>
      </c>
      <c r="BC31" s="19">
        <f t="shared" si="74"/>
        <v>0</v>
      </c>
      <c r="BD31" s="19" t="e">
        <f t="shared" si="75"/>
        <v>#DIV/0!</v>
      </c>
    </row>
    <row r="32" spans="1:56">
      <c r="A32" s="17">
        <v>6</v>
      </c>
      <c r="B32" s="18" t="s">
        <v>28</v>
      </c>
      <c r="C32" s="19">
        <v>51095798</v>
      </c>
      <c r="D32" s="19">
        <v>51095798</v>
      </c>
      <c r="E32" s="19">
        <v>51095798</v>
      </c>
      <c r="F32" s="19"/>
      <c r="G32" s="19"/>
      <c r="H32" s="19"/>
      <c r="I32" s="19"/>
      <c r="J32" s="19"/>
      <c r="K32" s="19"/>
      <c r="L32" s="19">
        <v>7908423</v>
      </c>
      <c r="M32" s="19"/>
      <c r="N32" s="19"/>
      <c r="O32" s="26"/>
      <c r="P32" s="17">
        <v>6</v>
      </c>
      <c r="Q32" s="18" t="s">
        <v>28</v>
      </c>
      <c r="R32" s="19">
        <v>73182904</v>
      </c>
      <c r="S32" s="19">
        <v>73182904</v>
      </c>
      <c r="T32" s="19">
        <v>73182904</v>
      </c>
      <c r="U32" s="19"/>
      <c r="V32" s="19"/>
      <c r="W32" s="19"/>
      <c r="X32" s="19"/>
      <c r="Y32" s="19"/>
      <c r="Z32" s="19"/>
      <c r="AA32" s="19">
        <v>7908423</v>
      </c>
      <c r="AB32" s="19"/>
      <c r="AC32" s="19"/>
      <c r="AE32" s="17">
        <v>6</v>
      </c>
      <c r="AF32" s="18" t="s">
        <v>28</v>
      </c>
      <c r="AG32" s="19">
        <f t="shared" si="52"/>
        <v>-22087106</v>
      </c>
      <c r="AH32" s="19">
        <f t="shared" si="53"/>
        <v>-43.226853996878567</v>
      </c>
      <c r="AI32" s="19">
        <f t="shared" si="54"/>
        <v>-22087106</v>
      </c>
      <c r="AJ32" s="19">
        <f t="shared" si="55"/>
        <v>-43.226853996878567</v>
      </c>
      <c r="AK32" s="19">
        <f t="shared" si="56"/>
        <v>-22087106</v>
      </c>
      <c r="AL32" s="19">
        <f t="shared" si="57"/>
        <v>-43.226853996878567</v>
      </c>
      <c r="AM32" s="19">
        <f t="shared" si="58"/>
        <v>0</v>
      </c>
      <c r="AN32" s="19" t="e">
        <f t="shared" si="59"/>
        <v>#DIV/0!</v>
      </c>
      <c r="AO32" s="19">
        <f t="shared" si="60"/>
        <v>0</v>
      </c>
      <c r="AP32" s="19" t="e">
        <f t="shared" si="61"/>
        <v>#DIV/0!</v>
      </c>
      <c r="AQ32" s="19">
        <f t="shared" si="62"/>
        <v>0</v>
      </c>
      <c r="AR32" s="19" t="e">
        <f t="shared" si="63"/>
        <v>#DIV/0!</v>
      </c>
      <c r="AS32" s="19">
        <f t="shared" si="64"/>
        <v>0</v>
      </c>
      <c r="AT32" s="19" t="e">
        <f t="shared" si="65"/>
        <v>#DIV/0!</v>
      </c>
      <c r="AU32" s="19">
        <f t="shared" si="66"/>
        <v>0</v>
      </c>
      <c r="AV32" s="19" t="e">
        <f t="shared" si="67"/>
        <v>#DIV/0!</v>
      </c>
      <c r="AW32" s="19">
        <f t="shared" si="68"/>
        <v>0</v>
      </c>
      <c r="AX32" s="19" t="e">
        <f t="shared" si="69"/>
        <v>#DIV/0!</v>
      </c>
      <c r="AY32" s="19">
        <f t="shared" si="70"/>
        <v>0</v>
      </c>
      <c r="AZ32" s="19">
        <f t="shared" si="71"/>
        <v>0</v>
      </c>
      <c r="BA32" s="19">
        <f t="shared" si="72"/>
        <v>0</v>
      </c>
      <c r="BB32" s="19" t="e">
        <f t="shared" si="73"/>
        <v>#DIV/0!</v>
      </c>
      <c r="BC32" s="19">
        <f t="shared" si="74"/>
        <v>0</v>
      </c>
      <c r="BD32" s="19" t="e">
        <f t="shared" si="75"/>
        <v>#DIV/0!</v>
      </c>
    </row>
    <row r="33" spans="1:56">
      <c r="A33" s="17">
        <v>7</v>
      </c>
      <c r="B33" s="18" t="s">
        <v>30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6"/>
      <c r="P33" s="17">
        <v>7</v>
      </c>
      <c r="Q33" s="18" t="s">
        <v>30</v>
      </c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E33" s="17">
        <v>7</v>
      </c>
      <c r="AF33" s="18" t="s">
        <v>30</v>
      </c>
      <c r="AG33" s="19">
        <f t="shared" si="52"/>
        <v>0</v>
      </c>
      <c r="AH33" s="19" t="e">
        <f t="shared" si="53"/>
        <v>#DIV/0!</v>
      </c>
      <c r="AI33" s="19">
        <f t="shared" si="54"/>
        <v>0</v>
      </c>
      <c r="AJ33" s="19" t="e">
        <f t="shared" si="55"/>
        <v>#DIV/0!</v>
      </c>
      <c r="AK33" s="19">
        <f t="shared" si="56"/>
        <v>0</v>
      </c>
      <c r="AL33" s="19" t="e">
        <f t="shared" si="57"/>
        <v>#DIV/0!</v>
      </c>
      <c r="AM33" s="19">
        <f t="shared" si="58"/>
        <v>0</v>
      </c>
      <c r="AN33" s="19" t="e">
        <f t="shared" si="59"/>
        <v>#DIV/0!</v>
      </c>
      <c r="AO33" s="19">
        <f t="shared" si="60"/>
        <v>0</v>
      </c>
      <c r="AP33" s="19" t="e">
        <f t="shared" si="61"/>
        <v>#DIV/0!</v>
      </c>
      <c r="AQ33" s="19">
        <f t="shared" si="62"/>
        <v>0</v>
      </c>
      <c r="AR33" s="19" t="e">
        <f t="shared" si="63"/>
        <v>#DIV/0!</v>
      </c>
      <c r="AS33" s="19">
        <f t="shared" si="64"/>
        <v>0</v>
      </c>
      <c r="AT33" s="19" t="e">
        <f t="shared" si="65"/>
        <v>#DIV/0!</v>
      </c>
      <c r="AU33" s="19">
        <f t="shared" si="66"/>
        <v>0</v>
      </c>
      <c r="AV33" s="19" t="e">
        <f t="shared" si="67"/>
        <v>#DIV/0!</v>
      </c>
      <c r="AW33" s="19">
        <f t="shared" si="68"/>
        <v>0</v>
      </c>
      <c r="AX33" s="19" t="e">
        <f t="shared" si="69"/>
        <v>#DIV/0!</v>
      </c>
      <c r="AY33" s="19">
        <f t="shared" si="70"/>
        <v>0</v>
      </c>
      <c r="AZ33" s="19" t="e">
        <f t="shared" si="71"/>
        <v>#DIV/0!</v>
      </c>
      <c r="BA33" s="19">
        <f t="shared" si="72"/>
        <v>0</v>
      </c>
      <c r="BB33" s="19" t="e">
        <f t="shared" si="73"/>
        <v>#DIV/0!</v>
      </c>
      <c r="BC33" s="19">
        <f t="shared" si="74"/>
        <v>0</v>
      </c>
      <c r="BD33" s="19" t="e">
        <f t="shared" si="75"/>
        <v>#DIV/0!</v>
      </c>
    </row>
    <row r="34" spans="1:56">
      <c r="A34" s="17">
        <v>8</v>
      </c>
      <c r="B34" s="18" t="s">
        <v>32</v>
      </c>
      <c r="C34" s="19"/>
      <c r="D34" s="19"/>
      <c r="E34" s="19"/>
      <c r="F34" s="19"/>
      <c r="G34" s="19"/>
      <c r="H34" s="19"/>
      <c r="I34" s="19"/>
      <c r="J34" s="19"/>
      <c r="K34" s="19"/>
      <c r="L34" s="19">
        <v>18280</v>
      </c>
      <c r="M34" s="19"/>
      <c r="N34" s="19"/>
      <c r="O34" s="26"/>
      <c r="P34" s="17">
        <v>8</v>
      </c>
      <c r="Q34" s="18" t="s">
        <v>32</v>
      </c>
      <c r="R34" s="19"/>
      <c r="S34" s="19"/>
      <c r="T34" s="19"/>
      <c r="U34" s="19"/>
      <c r="V34" s="19"/>
      <c r="W34" s="19"/>
      <c r="X34" s="19"/>
      <c r="Y34" s="19"/>
      <c r="Z34" s="19"/>
      <c r="AA34" s="19">
        <v>18280</v>
      </c>
      <c r="AB34" s="19"/>
      <c r="AC34" s="19"/>
      <c r="AE34" s="17">
        <v>8</v>
      </c>
      <c r="AF34" s="18" t="s">
        <v>32</v>
      </c>
      <c r="AG34" s="19">
        <f t="shared" si="52"/>
        <v>0</v>
      </c>
      <c r="AH34" s="19" t="e">
        <f t="shared" si="53"/>
        <v>#DIV/0!</v>
      </c>
      <c r="AI34" s="19">
        <f t="shared" si="54"/>
        <v>0</v>
      </c>
      <c r="AJ34" s="19" t="e">
        <f t="shared" si="55"/>
        <v>#DIV/0!</v>
      </c>
      <c r="AK34" s="19">
        <f t="shared" si="56"/>
        <v>0</v>
      </c>
      <c r="AL34" s="19" t="e">
        <f t="shared" si="57"/>
        <v>#DIV/0!</v>
      </c>
      <c r="AM34" s="19">
        <f t="shared" si="58"/>
        <v>0</v>
      </c>
      <c r="AN34" s="19" t="e">
        <f t="shared" si="59"/>
        <v>#DIV/0!</v>
      </c>
      <c r="AO34" s="19">
        <f t="shared" si="60"/>
        <v>0</v>
      </c>
      <c r="AP34" s="19" t="e">
        <f t="shared" si="61"/>
        <v>#DIV/0!</v>
      </c>
      <c r="AQ34" s="19">
        <f t="shared" si="62"/>
        <v>0</v>
      </c>
      <c r="AR34" s="19" t="e">
        <f t="shared" si="63"/>
        <v>#DIV/0!</v>
      </c>
      <c r="AS34" s="19">
        <f t="shared" si="64"/>
        <v>0</v>
      </c>
      <c r="AT34" s="19" t="e">
        <f t="shared" si="65"/>
        <v>#DIV/0!</v>
      </c>
      <c r="AU34" s="19">
        <f t="shared" si="66"/>
        <v>0</v>
      </c>
      <c r="AV34" s="19" t="e">
        <f t="shared" si="67"/>
        <v>#DIV/0!</v>
      </c>
      <c r="AW34" s="19">
        <f t="shared" si="68"/>
        <v>0</v>
      </c>
      <c r="AX34" s="19" t="e">
        <f t="shared" si="69"/>
        <v>#DIV/0!</v>
      </c>
      <c r="AY34" s="19">
        <f t="shared" si="70"/>
        <v>0</v>
      </c>
      <c r="AZ34" s="19">
        <f t="shared" si="71"/>
        <v>0</v>
      </c>
      <c r="BA34" s="19">
        <f t="shared" si="72"/>
        <v>0</v>
      </c>
      <c r="BB34" s="19" t="e">
        <f t="shared" si="73"/>
        <v>#DIV/0!</v>
      </c>
      <c r="BC34" s="19">
        <f t="shared" si="74"/>
        <v>0</v>
      </c>
      <c r="BD34" s="19" t="e">
        <f t="shared" si="75"/>
        <v>#DIV/0!</v>
      </c>
    </row>
    <row r="35" spans="1:56">
      <c r="A35" s="17">
        <v>9</v>
      </c>
      <c r="B35" s="18" t="s">
        <v>34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6"/>
      <c r="P35" s="17">
        <v>9</v>
      </c>
      <c r="Q35" s="18" t="s">
        <v>34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E35" s="17">
        <v>9</v>
      </c>
      <c r="AF35" s="18" t="s">
        <v>34</v>
      </c>
      <c r="AG35" s="19">
        <f t="shared" si="52"/>
        <v>0</v>
      </c>
      <c r="AH35" s="19" t="e">
        <f t="shared" si="53"/>
        <v>#DIV/0!</v>
      </c>
      <c r="AI35" s="19">
        <f t="shared" si="54"/>
        <v>0</v>
      </c>
      <c r="AJ35" s="19" t="e">
        <f t="shared" si="55"/>
        <v>#DIV/0!</v>
      </c>
      <c r="AK35" s="19">
        <f t="shared" si="56"/>
        <v>0</v>
      </c>
      <c r="AL35" s="19" t="e">
        <f t="shared" si="57"/>
        <v>#DIV/0!</v>
      </c>
      <c r="AM35" s="19">
        <f t="shared" si="58"/>
        <v>0</v>
      </c>
      <c r="AN35" s="19" t="e">
        <f t="shared" si="59"/>
        <v>#DIV/0!</v>
      </c>
      <c r="AO35" s="19">
        <f t="shared" si="60"/>
        <v>0</v>
      </c>
      <c r="AP35" s="19" t="e">
        <f t="shared" si="61"/>
        <v>#DIV/0!</v>
      </c>
      <c r="AQ35" s="19">
        <f t="shared" si="62"/>
        <v>0</v>
      </c>
      <c r="AR35" s="19" t="e">
        <f t="shared" si="63"/>
        <v>#DIV/0!</v>
      </c>
      <c r="AS35" s="19">
        <f t="shared" si="64"/>
        <v>0</v>
      </c>
      <c r="AT35" s="19" t="e">
        <f t="shared" si="65"/>
        <v>#DIV/0!</v>
      </c>
      <c r="AU35" s="19">
        <f t="shared" si="66"/>
        <v>0</v>
      </c>
      <c r="AV35" s="19" t="e">
        <f t="shared" si="67"/>
        <v>#DIV/0!</v>
      </c>
      <c r="AW35" s="19">
        <f t="shared" si="68"/>
        <v>0</v>
      </c>
      <c r="AX35" s="19" t="e">
        <f t="shared" si="69"/>
        <v>#DIV/0!</v>
      </c>
      <c r="AY35" s="19">
        <f t="shared" si="70"/>
        <v>0</v>
      </c>
      <c r="AZ35" s="19" t="e">
        <f t="shared" si="71"/>
        <v>#DIV/0!</v>
      </c>
      <c r="BA35" s="19">
        <f t="shared" si="72"/>
        <v>0</v>
      </c>
      <c r="BB35" s="19" t="e">
        <f t="shared" si="73"/>
        <v>#DIV/0!</v>
      </c>
      <c r="BC35" s="19">
        <f t="shared" si="74"/>
        <v>0</v>
      </c>
      <c r="BD35" s="19" t="e">
        <f t="shared" si="75"/>
        <v>#DIV/0!</v>
      </c>
    </row>
    <row r="36" spans="1:56">
      <c r="A36" s="17">
        <v>10</v>
      </c>
      <c r="B36" s="18" t="s">
        <v>36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6"/>
      <c r="P36" s="17">
        <v>10</v>
      </c>
      <c r="Q36" s="18" t="s">
        <v>36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E36" s="17">
        <v>10</v>
      </c>
      <c r="AF36" s="18" t="s">
        <v>36</v>
      </c>
      <c r="AG36" s="19">
        <f t="shared" si="52"/>
        <v>0</v>
      </c>
      <c r="AH36" s="19" t="e">
        <f t="shared" si="53"/>
        <v>#DIV/0!</v>
      </c>
      <c r="AI36" s="19">
        <f t="shared" si="54"/>
        <v>0</v>
      </c>
      <c r="AJ36" s="19" t="e">
        <f t="shared" si="55"/>
        <v>#DIV/0!</v>
      </c>
      <c r="AK36" s="19">
        <f t="shared" si="56"/>
        <v>0</v>
      </c>
      <c r="AL36" s="19" t="e">
        <f t="shared" si="57"/>
        <v>#DIV/0!</v>
      </c>
      <c r="AM36" s="19">
        <f t="shared" si="58"/>
        <v>0</v>
      </c>
      <c r="AN36" s="19" t="e">
        <f t="shared" si="59"/>
        <v>#DIV/0!</v>
      </c>
      <c r="AO36" s="19">
        <f t="shared" si="60"/>
        <v>0</v>
      </c>
      <c r="AP36" s="19" t="e">
        <f t="shared" si="61"/>
        <v>#DIV/0!</v>
      </c>
      <c r="AQ36" s="19">
        <f t="shared" si="62"/>
        <v>0</v>
      </c>
      <c r="AR36" s="19" t="e">
        <f t="shared" si="63"/>
        <v>#DIV/0!</v>
      </c>
      <c r="AS36" s="19">
        <f t="shared" si="64"/>
        <v>0</v>
      </c>
      <c r="AT36" s="19" t="e">
        <f t="shared" si="65"/>
        <v>#DIV/0!</v>
      </c>
      <c r="AU36" s="19">
        <f t="shared" si="66"/>
        <v>0</v>
      </c>
      <c r="AV36" s="19" t="e">
        <f t="shared" si="67"/>
        <v>#DIV/0!</v>
      </c>
      <c r="AW36" s="19">
        <f t="shared" si="68"/>
        <v>0</v>
      </c>
      <c r="AX36" s="19" t="e">
        <f t="shared" si="69"/>
        <v>#DIV/0!</v>
      </c>
      <c r="AY36" s="19">
        <f t="shared" si="70"/>
        <v>0</v>
      </c>
      <c r="AZ36" s="19" t="e">
        <f t="shared" si="71"/>
        <v>#DIV/0!</v>
      </c>
      <c r="BA36" s="19">
        <f t="shared" si="72"/>
        <v>0</v>
      </c>
      <c r="BB36" s="19" t="e">
        <f t="shared" si="73"/>
        <v>#DIV/0!</v>
      </c>
      <c r="BC36" s="19">
        <f t="shared" si="74"/>
        <v>0</v>
      </c>
      <c r="BD36" s="19" t="e">
        <f t="shared" si="75"/>
        <v>#DIV/0!</v>
      </c>
    </row>
    <row r="37" spans="1:56">
      <c r="A37" s="17">
        <v>11</v>
      </c>
      <c r="B37" s="18" t="s">
        <v>38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6"/>
      <c r="P37" s="17">
        <v>11</v>
      </c>
      <c r="Q37" s="18" t="s">
        <v>38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E37" s="17">
        <v>11</v>
      </c>
      <c r="AF37" s="18" t="s">
        <v>38</v>
      </c>
      <c r="AG37" s="19">
        <f t="shared" si="52"/>
        <v>0</v>
      </c>
      <c r="AH37" s="19" t="e">
        <f t="shared" si="53"/>
        <v>#DIV/0!</v>
      </c>
      <c r="AI37" s="19">
        <f t="shared" si="54"/>
        <v>0</v>
      </c>
      <c r="AJ37" s="19" t="e">
        <f t="shared" si="55"/>
        <v>#DIV/0!</v>
      </c>
      <c r="AK37" s="19">
        <f t="shared" si="56"/>
        <v>0</v>
      </c>
      <c r="AL37" s="19" t="e">
        <f t="shared" si="57"/>
        <v>#DIV/0!</v>
      </c>
      <c r="AM37" s="19">
        <f t="shared" si="58"/>
        <v>0</v>
      </c>
      <c r="AN37" s="19" t="e">
        <f t="shared" si="59"/>
        <v>#DIV/0!</v>
      </c>
      <c r="AO37" s="19">
        <f t="shared" si="60"/>
        <v>0</v>
      </c>
      <c r="AP37" s="19" t="e">
        <f t="shared" si="61"/>
        <v>#DIV/0!</v>
      </c>
      <c r="AQ37" s="19">
        <f t="shared" si="62"/>
        <v>0</v>
      </c>
      <c r="AR37" s="19" t="e">
        <f t="shared" si="63"/>
        <v>#DIV/0!</v>
      </c>
      <c r="AS37" s="19">
        <f t="shared" si="64"/>
        <v>0</v>
      </c>
      <c r="AT37" s="19" t="e">
        <f t="shared" si="65"/>
        <v>#DIV/0!</v>
      </c>
      <c r="AU37" s="19">
        <f t="shared" si="66"/>
        <v>0</v>
      </c>
      <c r="AV37" s="19" t="e">
        <f t="shared" si="67"/>
        <v>#DIV/0!</v>
      </c>
      <c r="AW37" s="19">
        <f t="shared" si="68"/>
        <v>0</v>
      </c>
      <c r="AX37" s="19" t="e">
        <f t="shared" si="69"/>
        <v>#DIV/0!</v>
      </c>
      <c r="AY37" s="19">
        <f t="shared" si="70"/>
        <v>0</v>
      </c>
      <c r="AZ37" s="19" t="e">
        <f t="shared" si="71"/>
        <v>#DIV/0!</v>
      </c>
      <c r="BA37" s="19">
        <f t="shared" si="72"/>
        <v>0</v>
      </c>
      <c r="BB37" s="19" t="e">
        <f t="shared" si="73"/>
        <v>#DIV/0!</v>
      </c>
      <c r="BC37" s="19">
        <f t="shared" si="74"/>
        <v>0</v>
      </c>
      <c r="BD37" s="19" t="e">
        <f t="shared" si="75"/>
        <v>#DIV/0!</v>
      </c>
    </row>
    <row r="38" spans="1:56">
      <c r="A38" s="17">
        <v>12</v>
      </c>
      <c r="B38" s="18" t="s">
        <v>40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6"/>
      <c r="P38" s="17">
        <v>12</v>
      </c>
      <c r="Q38" s="18" t="s">
        <v>40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E38" s="17">
        <v>12</v>
      </c>
      <c r="AF38" s="18" t="s">
        <v>40</v>
      </c>
      <c r="AG38" s="19">
        <f t="shared" si="52"/>
        <v>0</v>
      </c>
      <c r="AH38" s="19" t="e">
        <f t="shared" si="53"/>
        <v>#DIV/0!</v>
      </c>
      <c r="AI38" s="19">
        <f t="shared" si="54"/>
        <v>0</v>
      </c>
      <c r="AJ38" s="19" t="e">
        <f t="shared" si="55"/>
        <v>#DIV/0!</v>
      </c>
      <c r="AK38" s="19">
        <f t="shared" si="56"/>
        <v>0</v>
      </c>
      <c r="AL38" s="19" t="e">
        <f t="shared" si="57"/>
        <v>#DIV/0!</v>
      </c>
      <c r="AM38" s="19">
        <f t="shared" si="58"/>
        <v>0</v>
      </c>
      <c r="AN38" s="19" t="e">
        <f t="shared" si="59"/>
        <v>#DIV/0!</v>
      </c>
      <c r="AO38" s="19">
        <f t="shared" si="60"/>
        <v>0</v>
      </c>
      <c r="AP38" s="19" t="e">
        <f t="shared" si="61"/>
        <v>#DIV/0!</v>
      </c>
      <c r="AQ38" s="19">
        <f t="shared" si="62"/>
        <v>0</v>
      </c>
      <c r="AR38" s="19" t="e">
        <f t="shared" si="63"/>
        <v>#DIV/0!</v>
      </c>
      <c r="AS38" s="19">
        <f t="shared" si="64"/>
        <v>0</v>
      </c>
      <c r="AT38" s="19" t="e">
        <f t="shared" si="65"/>
        <v>#DIV/0!</v>
      </c>
      <c r="AU38" s="19">
        <f t="shared" si="66"/>
        <v>0</v>
      </c>
      <c r="AV38" s="19" t="e">
        <f t="shared" si="67"/>
        <v>#DIV/0!</v>
      </c>
      <c r="AW38" s="19">
        <f t="shared" si="68"/>
        <v>0</v>
      </c>
      <c r="AX38" s="19" t="e">
        <f t="shared" si="69"/>
        <v>#DIV/0!</v>
      </c>
      <c r="AY38" s="19">
        <f t="shared" si="70"/>
        <v>0</v>
      </c>
      <c r="AZ38" s="19" t="e">
        <f t="shared" si="71"/>
        <v>#DIV/0!</v>
      </c>
      <c r="BA38" s="19">
        <f t="shared" si="72"/>
        <v>0</v>
      </c>
      <c r="BB38" s="19" t="e">
        <f t="shared" si="73"/>
        <v>#DIV/0!</v>
      </c>
      <c r="BC38" s="19">
        <f t="shared" si="74"/>
        <v>0</v>
      </c>
      <c r="BD38" s="19" t="e">
        <f t="shared" si="75"/>
        <v>#DIV/0!</v>
      </c>
    </row>
    <row r="39" spans="1:56">
      <c r="A39" s="17">
        <v>13</v>
      </c>
      <c r="B39" s="18" t="s">
        <v>42</v>
      </c>
      <c r="C39" s="19"/>
      <c r="D39" s="19"/>
      <c r="E39" s="19"/>
      <c r="F39" s="19"/>
      <c r="G39" s="19"/>
      <c r="H39" s="19"/>
      <c r="I39" s="19"/>
      <c r="J39" s="19"/>
      <c r="K39" s="19"/>
      <c r="L39" s="19">
        <v>172860</v>
      </c>
      <c r="M39" s="19"/>
      <c r="N39" s="19"/>
      <c r="O39" s="26"/>
      <c r="P39" s="17">
        <v>13</v>
      </c>
      <c r="Q39" s="18" t="s">
        <v>42</v>
      </c>
      <c r="R39" s="19"/>
      <c r="S39" s="19"/>
      <c r="T39" s="19"/>
      <c r="U39" s="19"/>
      <c r="V39" s="19"/>
      <c r="W39" s="19"/>
      <c r="X39" s="19"/>
      <c r="Y39" s="19"/>
      <c r="Z39" s="19"/>
      <c r="AA39" s="19">
        <v>172860</v>
      </c>
      <c r="AB39" s="19"/>
      <c r="AC39" s="19"/>
      <c r="AE39" s="17">
        <v>13</v>
      </c>
      <c r="AF39" s="18" t="s">
        <v>42</v>
      </c>
      <c r="AG39" s="19">
        <f t="shared" si="52"/>
        <v>0</v>
      </c>
      <c r="AH39" s="19" t="e">
        <f t="shared" si="53"/>
        <v>#DIV/0!</v>
      </c>
      <c r="AI39" s="19">
        <f t="shared" si="54"/>
        <v>0</v>
      </c>
      <c r="AJ39" s="19" t="e">
        <f t="shared" si="55"/>
        <v>#DIV/0!</v>
      </c>
      <c r="AK39" s="19">
        <f t="shared" si="56"/>
        <v>0</v>
      </c>
      <c r="AL39" s="19" t="e">
        <f t="shared" si="57"/>
        <v>#DIV/0!</v>
      </c>
      <c r="AM39" s="19">
        <f t="shared" si="58"/>
        <v>0</v>
      </c>
      <c r="AN39" s="19" t="e">
        <f t="shared" si="59"/>
        <v>#DIV/0!</v>
      </c>
      <c r="AO39" s="19">
        <f t="shared" si="60"/>
        <v>0</v>
      </c>
      <c r="AP39" s="19" t="e">
        <f t="shared" si="61"/>
        <v>#DIV/0!</v>
      </c>
      <c r="AQ39" s="19">
        <f t="shared" si="62"/>
        <v>0</v>
      </c>
      <c r="AR39" s="19" t="e">
        <f t="shared" si="63"/>
        <v>#DIV/0!</v>
      </c>
      <c r="AS39" s="19">
        <f t="shared" si="64"/>
        <v>0</v>
      </c>
      <c r="AT39" s="19" t="e">
        <f t="shared" si="65"/>
        <v>#DIV/0!</v>
      </c>
      <c r="AU39" s="19">
        <f t="shared" si="66"/>
        <v>0</v>
      </c>
      <c r="AV39" s="19" t="e">
        <f t="shared" si="67"/>
        <v>#DIV/0!</v>
      </c>
      <c r="AW39" s="19">
        <f t="shared" si="68"/>
        <v>0</v>
      </c>
      <c r="AX39" s="19" t="e">
        <f t="shared" si="69"/>
        <v>#DIV/0!</v>
      </c>
      <c r="AY39" s="19">
        <f t="shared" si="70"/>
        <v>0</v>
      </c>
      <c r="AZ39" s="19">
        <f t="shared" si="71"/>
        <v>0</v>
      </c>
      <c r="BA39" s="19">
        <f t="shared" si="72"/>
        <v>0</v>
      </c>
      <c r="BB39" s="19" t="e">
        <f t="shared" si="73"/>
        <v>#DIV/0!</v>
      </c>
      <c r="BC39" s="19">
        <f t="shared" si="74"/>
        <v>0</v>
      </c>
      <c r="BD39" s="19" t="e">
        <f t="shared" si="75"/>
        <v>#DIV/0!</v>
      </c>
    </row>
    <row r="40" spans="1:56">
      <c r="A40" s="17">
        <v>14</v>
      </c>
      <c r="B40" s="18" t="s">
        <v>44</v>
      </c>
      <c r="C40" s="19"/>
      <c r="D40" s="19"/>
      <c r="E40" s="19"/>
      <c r="F40" s="19"/>
      <c r="G40" s="19"/>
      <c r="H40" s="19"/>
      <c r="I40" s="19"/>
      <c r="J40" s="19"/>
      <c r="K40" s="19"/>
      <c r="L40" s="19">
        <v>21400</v>
      </c>
      <c r="M40" s="19"/>
      <c r="N40" s="19"/>
      <c r="O40" s="26"/>
      <c r="P40" s="17">
        <v>14</v>
      </c>
      <c r="Q40" s="18" t="s">
        <v>44</v>
      </c>
      <c r="R40" s="19">
        <v>1998400</v>
      </c>
      <c r="S40" s="19">
        <v>1998400</v>
      </c>
      <c r="T40" s="19">
        <v>1998400</v>
      </c>
      <c r="U40" s="19"/>
      <c r="V40" s="19"/>
      <c r="W40" s="19"/>
      <c r="X40" s="19"/>
      <c r="Y40" s="19"/>
      <c r="Z40" s="19"/>
      <c r="AA40" s="19">
        <v>21400</v>
      </c>
      <c r="AB40" s="19"/>
      <c r="AC40" s="19"/>
      <c r="AE40" s="17">
        <v>14</v>
      </c>
      <c r="AF40" s="18" t="s">
        <v>44</v>
      </c>
      <c r="AG40" s="19">
        <f t="shared" si="52"/>
        <v>-1998400</v>
      </c>
      <c r="AH40" s="19" t="e">
        <f t="shared" si="53"/>
        <v>#DIV/0!</v>
      </c>
      <c r="AI40" s="19">
        <f t="shared" si="54"/>
        <v>-1998400</v>
      </c>
      <c r="AJ40" s="19" t="e">
        <f t="shared" si="55"/>
        <v>#DIV/0!</v>
      </c>
      <c r="AK40" s="19">
        <f t="shared" si="56"/>
        <v>-1998400</v>
      </c>
      <c r="AL40" s="19" t="e">
        <f t="shared" si="57"/>
        <v>#DIV/0!</v>
      </c>
      <c r="AM40" s="19">
        <f t="shared" si="58"/>
        <v>0</v>
      </c>
      <c r="AN40" s="19" t="e">
        <f t="shared" si="59"/>
        <v>#DIV/0!</v>
      </c>
      <c r="AO40" s="19">
        <f t="shared" si="60"/>
        <v>0</v>
      </c>
      <c r="AP40" s="19" t="e">
        <f t="shared" si="61"/>
        <v>#DIV/0!</v>
      </c>
      <c r="AQ40" s="19">
        <f t="shared" si="62"/>
        <v>0</v>
      </c>
      <c r="AR40" s="19" t="e">
        <f t="shared" si="63"/>
        <v>#DIV/0!</v>
      </c>
      <c r="AS40" s="19">
        <f t="shared" si="64"/>
        <v>0</v>
      </c>
      <c r="AT40" s="19" t="e">
        <f t="shared" si="65"/>
        <v>#DIV/0!</v>
      </c>
      <c r="AU40" s="19">
        <f t="shared" si="66"/>
        <v>0</v>
      </c>
      <c r="AV40" s="19" t="e">
        <f t="shared" si="67"/>
        <v>#DIV/0!</v>
      </c>
      <c r="AW40" s="19">
        <f t="shared" si="68"/>
        <v>0</v>
      </c>
      <c r="AX40" s="19" t="e">
        <f t="shared" si="69"/>
        <v>#DIV/0!</v>
      </c>
      <c r="AY40" s="19">
        <f t="shared" si="70"/>
        <v>0</v>
      </c>
      <c r="AZ40" s="19">
        <f t="shared" si="71"/>
        <v>0</v>
      </c>
      <c r="BA40" s="19">
        <f t="shared" si="72"/>
        <v>0</v>
      </c>
      <c r="BB40" s="19" t="e">
        <f t="shared" si="73"/>
        <v>#DIV/0!</v>
      </c>
      <c r="BC40" s="19">
        <f t="shared" si="74"/>
        <v>0</v>
      </c>
      <c r="BD40" s="19" t="e">
        <f t="shared" si="75"/>
        <v>#DIV/0!</v>
      </c>
    </row>
    <row r="41" spans="1:56" ht="25.2" thickBot="1">
      <c r="A41" s="17"/>
      <c r="B41" s="20" t="s">
        <v>17</v>
      </c>
      <c r="C41" s="27">
        <f>SUM(C27:C40)</f>
        <v>60598198</v>
      </c>
      <c r="D41" s="27">
        <f t="shared" ref="D41:N41" si="76">SUM(D27:D40)</f>
        <v>60598198</v>
      </c>
      <c r="E41" s="27">
        <f t="shared" si="76"/>
        <v>60598198</v>
      </c>
      <c r="F41" s="27">
        <f t="shared" si="76"/>
        <v>0</v>
      </c>
      <c r="G41" s="27">
        <f t="shared" si="76"/>
        <v>0</v>
      </c>
      <c r="H41" s="27">
        <f t="shared" si="76"/>
        <v>0</v>
      </c>
      <c r="I41" s="27">
        <f t="shared" si="76"/>
        <v>0</v>
      </c>
      <c r="J41" s="27">
        <f t="shared" si="76"/>
        <v>0</v>
      </c>
      <c r="K41" s="27">
        <f t="shared" si="76"/>
        <v>0</v>
      </c>
      <c r="L41" s="27">
        <f t="shared" si="76"/>
        <v>10615233</v>
      </c>
      <c r="M41" s="27">
        <f t="shared" si="76"/>
        <v>0</v>
      </c>
      <c r="N41" s="27">
        <f t="shared" si="76"/>
        <v>0</v>
      </c>
      <c r="P41" s="17"/>
      <c r="Q41" s="20" t="s">
        <v>17</v>
      </c>
      <c r="R41" s="27">
        <f>SUM(R27:R40)</f>
        <v>95351754</v>
      </c>
      <c r="S41" s="27">
        <f t="shared" ref="S41:AC41" si="77">SUM(S27:S40)</f>
        <v>95351754</v>
      </c>
      <c r="T41" s="27">
        <f t="shared" si="77"/>
        <v>95351754</v>
      </c>
      <c r="U41" s="27">
        <f t="shared" si="77"/>
        <v>0</v>
      </c>
      <c r="V41" s="27">
        <f t="shared" si="77"/>
        <v>0</v>
      </c>
      <c r="W41" s="27">
        <f t="shared" si="77"/>
        <v>0</v>
      </c>
      <c r="X41" s="27">
        <f t="shared" si="77"/>
        <v>0</v>
      </c>
      <c r="Y41" s="27">
        <f t="shared" si="77"/>
        <v>0</v>
      </c>
      <c r="Z41" s="27">
        <f t="shared" si="77"/>
        <v>0</v>
      </c>
      <c r="AA41" s="27">
        <f t="shared" si="77"/>
        <v>10615233</v>
      </c>
      <c r="AB41" s="27">
        <f t="shared" si="77"/>
        <v>0</v>
      </c>
      <c r="AC41" s="27">
        <f t="shared" si="77"/>
        <v>0</v>
      </c>
      <c r="AE41" s="17"/>
      <c r="AF41" s="20" t="s">
        <v>17</v>
      </c>
      <c r="AG41" s="23">
        <f t="shared" si="52"/>
        <v>-34753556</v>
      </c>
      <c r="AH41" s="23">
        <f t="shared" si="53"/>
        <v>-57.350807692334349</v>
      </c>
      <c r="AI41" s="23">
        <f t="shared" si="54"/>
        <v>-34753556</v>
      </c>
      <c r="AJ41" s="23">
        <f t="shared" si="55"/>
        <v>-57.350807692334349</v>
      </c>
      <c r="AK41" s="23">
        <f t="shared" si="56"/>
        <v>-34753556</v>
      </c>
      <c r="AL41" s="23">
        <f t="shared" si="57"/>
        <v>-57.350807692334349</v>
      </c>
      <c r="AM41" s="23">
        <f t="shared" si="58"/>
        <v>0</v>
      </c>
      <c r="AN41" s="23" t="e">
        <f t="shared" si="59"/>
        <v>#DIV/0!</v>
      </c>
      <c r="AO41" s="23">
        <f t="shared" si="60"/>
        <v>0</v>
      </c>
      <c r="AP41" s="23" t="e">
        <f t="shared" si="61"/>
        <v>#DIV/0!</v>
      </c>
      <c r="AQ41" s="23">
        <f t="shared" si="62"/>
        <v>0</v>
      </c>
      <c r="AR41" s="23" t="e">
        <f t="shared" si="63"/>
        <v>#DIV/0!</v>
      </c>
      <c r="AS41" s="23">
        <f t="shared" si="64"/>
        <v>0</v>
      </c>
      <c r="AT41" s="23" t="e">
        <f t="shared" si="65"/>
        <v>#DIV/0!</v>
      </c>
      <c r="AU41" s="23">
        <f t="shared" si="66"/>
        <v>0</v>
      </c>
      <c r="AV41" s="23" t="e">
        <f t="shared" si="67"/>
        <v>#DIV/0!</v>
      </c>
      <c r="AW41" s="23">
        <f t="shared" si="68"/>
        <v>0</v>
      </c>
      <c r="AX41" s="23" t="e">
        <f t="shared" si="69"/>
        <v>#DIV/0!</v>
      </c>
      <c r="AY41" s="23">
        <f t="shared" si="70"/>
        <v>0</v>
      </c>
      <c r="AZ41" s="23">
        <f t="shared" si="71"/>
        <v>0</v>
      </c>
      <c r="BA41" s="23">
        <f t="shared" si="72"/>
        <v>0</v>
      </c>
      <c r="BB41" s="23" t="e">
        <f t="shared" si="73"/>
        <v>#DIV/0!</v>
      </c>
      <c r="BC41" s="23">
        <f t="shared" si="74"/>
        <v>0</v>
      </c>
      <c r="BD41" s="23" t="e">
        <f t="shared" si="75"/>
        <v>#DIV/0!</v>
      </c>
    </row>
    <row r="42" spans="1:56" ht="25.2" thickTop="1"/>
    <row r="43" spans="1:56">
      <c r="A43" s="37" t="s">
        <v>48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P43" s="37" t="s">
        <v>52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E43" s="37" t="s">
        <v>89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1:56">
      <c r="A44" s="37" t="s">
        <v>1946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P44" s="37" t="s">
        <v>1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E44" s="37" t="s">
        <v>1</v>
      </c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</row>
    <row r="45" spans="1:56" s="15" customFormat="1">
      <c r="A45" s="35" t="s">
        <v>2</v>
      </c>
      <c r="B45" s="35" t="s">
        <v>3</v>
      </c>
      <c r="C45" s="38" t="s">
        <v>4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P45" s="35" t="s">
        <v>2</v>
      </c>
      <c r="Q45" s="35" t="s">
        <v>3</v>
      </c>
      <c r="R45" s="38" t="s">
        <v>5</v>
      </c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40"/>
      <c r="AE45" s="35" t="s">
        <v>2</v>
      </c>
      <c r="AF45" s="35" t="s">
        <v>3</v>
      </c>
      <c r="AG45" s="33">
        <v>25112</v>
      </c>
      <c r="AH45" s="34"/>
      <c r="AI45" s="33">
        <v>25143</v>
      </c>
      <c r="AJ45" s="34"/>
      <c r="AK45" s="33">
        <v>25173</v>
      </c>
      <c r="AL45" s="34"/>
      <c r="AM45" s="33">
        <v>25204</v>
      </c>
      <c r="AN45" s="34"/>
      <c r="AO45" s="33">
        <v>25235</v>
      </c>
      <c r="AP45" s="34"/>
      <c r="AQ45" s="33">
        <v>25263</v>
      </c>
      <c r="AR45" s="34"/>
      <c r="AS45" s="33">
        <v>25294</v>
      </c>
      <c r="AT45" s="34"/>
      <c r="AU45" s="33">
        <v>25324</v>
      </c>
      <c r="AV45" s="34"/>
      <c r="AW45" s="33">
        <v>25355</v>
      </c>
      <c r="AX45" s="34"/>
      <c r="AY45" s="33">
        <v>25385</v>
      </c>
      <c r="AZ45" s="34"/>
      <c r="BA45" s="33">
        <v>25416</v>
      </c>
      <c r="BB45" s="34"/>
      <c r="BC45" s="33">
        <v>25447</v>
      </c>
      <c r="BD45" s="34"/>
    </row>
    <row r="46" spans="1:56" s="15" customFormat="1">
      <c r="A46" s="36"/>
      <c r="B46" s="36"/>
      <c r="C46" s="16">
        <v>25112</v>
      </c>
      <c r="D46" s="16">
        <v>25143</v>
      </c>
      <c r="E46" s="16">
        <v>25173</v>
      </c>
      <c r="F46" s="16">
        <v>25204</v>
      </c>
      <c r="G46" s="16">
        <v>25235</v>
      </c>
      <c r="H46" s="16">
        <v>25263</v>
      </c>
      <c r="I46" s="16">
        <v>25294</v>
      </c>
      <c r="J46" s="16">
        <v>25324</v>
      </c>
      <c r="K46" s="16">
        <v>25355</v>
      </c>
      <c r="L46" s="16">
        <v>25385</v>
      </c>
      <c r="M46" s="16">
        <v>25416</v>
      </c>
      <c r="N46" s="16">
        <v>25447</v>
      </c>
      <c r="P46" s="36"/>
      <c r="Q46" s="36"/>
      <c r="R46" s="16">
        <v>25112</v>
      </c>
      <c r="S46" s="16">
        <v>25143</v>
      </c>
      <c r="T46" s="16">
        <v>25173</v>
      </c>
      <c r="U46" s="16">
        <v>25204</v>
      </c>
      <c r="V46" s="16">
        <v>25235</v>
      </c>
      <c r="W46" s="16">
        <v>25263</v>
      </c>
      <c r="X46" s="16">
        <v>25294</v>
      </c>
      <c r="Y46" s="16">
        <v>25324</v>
      </c>
      <c r="Z46" s="16">
        <v>25355</v>
      </c>
      <c r="AA46" s="16">
        <v>25385</v>
      </c>
      <c r="AB46" s="16">
        <v>25416</v>
      </c>
      <c r="AC46" s="16">
        <v>25447</v>
      </c>
      <c r="AE46" s="36"/>
      <c r="AF46" s="36"/>
      <c r="AG46" s="16" t="s">
        <v>85</v>
      </c>
      <c r="AH46" s="16" t="s">
        <v>86</v>
      </c>
      <c r="AI46" s="16" t="s">
        <v>85</v>
      </c>
      <c r="AJ46" s="16" t="s">
        <v>86</v>
      </c>
      <c r="AK46" s="16" t="s">
        <v>85</v>
      </c>
      <c r="AL46" s="16" t="s">
        <v>86</v>
      </c>
      <c r="AM46" s="16" t="s">
        <v>85</v>
      </c>
      <c r="AN46" s="16" t="s">
        <v>86</v>
      </c>
      <c r="AO46" s="16" t="s">
        <v>85</v>
      </c>
      <c r="AP46" s="16" t="s">
        <v>86</v>
      </c>
      <c r="AQ46" s="16" t="s">
        <v>85</v>
      </c>
      <c r="AR46" s="16" t="s">
        <v>86</v>
      </c>
      <c r="AS46" s="16" t="s">
        <v>85</v>
      </c>
      <c r="AT46" s="16" t="s">
        <v>86</v>
      </c>
      <c r="AU46" s="16" t="s">
        <v>85</v>
      </c>
      <c r="AV46" s="16" t="s">
        <v>86</v>
      </c>
      <c r="AW46" s="16" t="s">
        <v>85</v>
      </c>
      <c r="AX46" s="16" t="s">
        <v>86</v>
      </c>
      <c r="AY46" s="16" t="s">
        <v>85</v>
      </c>
      <c r="AZ46" s="16" t="s">
        <v>86</v>
      </c>
      <c r="BA46" s="16" t="s">
        <v>85</v>
      </c>
      <c r="BB46" s="16" t="s">
        <v>86</v>
      </c>
      <c r="BC46" s="16" t="s">
        <v>85</v>
      </c>
      <c r="BD46" s="16" t="s">
        <v>86</v>
      </c>
    </row>
    <row r="47" spans="1:56">
      <c r="A47" s="17">
        <v>1</v>
      </c>
      <c r="B47" s="18" t="s">
        <v>19</v>
      </c>
      <c r="C47" s="19"/>
      <c r="D47" s="19"/>
      <c r="E47" s="19"/>
      <c r="F47" s="19"/>
      <c r="G47" s="18"/>
      <c r="H47" s="18"/>
      <c r="I47" s="18"/>
      <c r="J47" s="18"/>
      <c r="K47" s="18"/>
      <c r="L47" s="18"/>
      <c r="M47" s="18"/>
      <c r="N47" s="18"/>
      <c r="P47" s="17">
        <v>1</v>
      </c>
      <c r="Q47" s="18" t="s">
        <v>19</v>
      </c>
      <c r="R47" s="19">
        <v>282999</v>
      </c>
      <c r="S47" s="19">
        <v>282999</v>
      </c>
      <c r="T47" s="19">
        <v>282999</v>
      </c>
      <c r="U47" s="19"/>
      <c r="V47" s="18"/>
      <c r="W47" s="18"/>
      <c r="X47" s="18"/>
      <c r="Y47" s="18"/>
      <c r="Z47" s="18"/>
      <c r="AA47" s="18"/>
      <c r="AB47" s="18"/>
      <c r="AC47" s="18"/>
      <c r="AE47" s="17">
        <v>1</v>
      </c>
      <c r="AF47" s="18" t="s">
        <v>19</v>
      </c>
      <c r="AG47" s="19">
        <f t="shared" ref="AG47:AG61" si="78">+C47-R47</f>
        <v>-282999</v>
      </c>
      <c r="AH47" s="19" t="e">
        <f t="shared" ref="AH47:AH61" si="79">+AG47/C47*100</f>
        <v>#DIV/0!</v>
      </c>
      <c r="AI47" s="19">
        <f t="shared" ref="AI47:AI61" si="80">+D47-S47</f>
        <v>-282999</v>
      </c>
      <c r="AJ47" s="19" t="e">
        <f t="shared" ref="AJ47:AJ61" si="81">+AI47/D47*100</f>
        <v>#DIV/0!</v>
      </c>
      <c r="AK47" s="19">
        <f t="shared" ref="AK47:AK61" si="82">+E47-T47</f>
        <v>-282999</v>
      </c>
      <c r="AL47" s="19" t="e">
        <f t="shared" ref="AL47:AL61" si="83">+AK47/E47*100</f>
        <v>#DIV/0!</v>
      </c>
      <c r="AM47" s="19">
        <f t="shared" ref="AM47:AM61" si="84">+F47-U47</f>
        <v>0</v>
      </c>
      <c r="AN47" s="19" t="e">
        <f t="shared" ref="AN47:AN61" si="85">+AM47/F47*100</f>
        <v>#DIV/0!</v>
      </c>
      <c r="AO47" s="19">
        <f t="shared" ref="AO47:AO61" si="86">+G47-V47</f>
        <v>0</v>
      </c>
      <c r="AP47" s="19" t="e">
        <f t="shared" ref="AP47:AP61" si="87">+AO47/G47*100</f>
        <v>#DIV/0!</v>
      </c>
      <c r="AQ47" s="19">
        <f t="shared" ref="AQ47:AQ61" si="88">+H47-W47</f>
        <v>0</v>
      </c>
      <c r="AR47" s="19" t="e">
        <f t="shared" ref="AR47:AR61" si="89">+AQ47/H47*100</f>
        <v>#DIV/0!</v>
      </c>
      <c r="AS47" s="19">
        <f t="shared" ref="AS47:AS61" si="90">+I47-X47</f>
        <v>0</v>
      </c>
      <c r="AT47" s="19" t="e">
        <f t="shared" ref="AT47:AT61" si="91">+AS47/I47*100</f>
        <v>#DIV/0!</v>
      </c>
      <c r="AU47" s="19">
        <f t="shared" ref="AU47:AU61" si="92">+J47-Y47</f>
        <v>0</v>
      </c>
      <c r="AV47" s="19" t="e">
        <f t="shared" ref="AV47:AV61" si="93">+AU47/J47*100</f>
        <v>#DIV/0!</v>
      </c>
      <c r="AW47" s="19">
        <f t="shared" ref="AW47:AW61" si="94">+K47-Z47</f>
        <v>0</v>
      </c>
      <c r="AX47" s="19" t="e">
        <f t="shared" ref="AX47:AX61" si="95">+AW47/K47*100</f>
        <v>#DIV/0!</v>
      </c>
      <c r="AY47" s="19">
        <f t="shared" ref="AY47:AY61" si="96">+L47-AA47</f>
        <v>0</v>
      </c>
      <c r="AZ47" s="19" t="e">
        <f t="shared" ref="AZ47:AZ61" si="97">+AY47/L47*100</f>
        <v>#DIV/0!</v>
      </c>
      <c r="BA47" s="19">
        <f t="shared" ref="BA47:BA61" si="98">+M47-AB47</f>
        <v>0</v>
      </c>
      <c r="BB47" s="19" t="e">
        <f t="shared" ref="BB47:BB61" si="99">+BA47/M47*100</f>
        <v>#DIV/0!</v>
      </c>
      <c r="BC47" s="19">
        <f t="shared" ref="BC47:BC61" si="100">+N47-AC47</f>
        <v>0</v>
      </c>
      <c r="BD47" s="19" t="e">
        <f t="shared" ref="BD47:BD61" si="101">+BC47/N47*100</f>
        <v>#DIV/0!</v>
      </c>
    </row>
    <row r="48" spans="1:56">
      <c r="A48" s="17">
        <v>2</v>
      </c>
      <c r="B48" s="18" t="s">
        <v>21</v>
      </c>
      <c r="C48" s="19">
        <v>1980807.89</v>
      </c>
      <c r="D48" s="19">
        <v>2015027.15</v>
      </c>
      <c r="E48" s="19">
        <v>-2050387.05</v>
      </c>
      <c r="F48" s="19"/>
      <c r="G48" s="18"/>
      <c r="H48" s="18"/>
      <c r="I48" s="18"/>
      <c r="J48" s="18"/>
      <c r="K48" s="18"/>
      <c r="L48" s="18"/>
      <c r="M48" s="18"/>
      <c r="N48" s="18"/>
      <c r="P48" s="17">
        <v>2</v>
      </c>
      <c r="Q48" s="18" t="s">
        <v>21</v>
      </c>
      <c r="R48" s="19">
        <v>9807219.6600000001</v>
      </c>
      <c r="S48" s="19">
        <v>9848882.9900000002</v>
      </c>
      <c r="T48" s="19">
        <v>9890546.3200000003</v>
      </c>
      <c r="U48" s="19"/>
      <c r="V48" s="18"/>
      <c r="W48" s="18"/>
      <c r="X48" s="18"/>
      <c r="Y48" s="18"/>
      <c r="Z48" s="18"/>
      <c r="AA48" s="18"/>
      <c r="AB48" s="18"/>
      <c r="AC48" s="18"/>
      <c r="AE48" s="17">
        <v>2</v>
      </c>
      <c r="AF48" s="18" t="s">
        <v>21</v>
      </c>
      <c r="AG48" s="19">
        <f t="shared" si="78"/>
        <v>-7826411.7700000005</v>
      </c>
      <c r="AH48" s="19">
        <f t="shared" si="79"/>
        <v>-395.11210600034519</v>
      </c>
      <c r="AI48" s="19">
        <f t="shared" si="80"/>
        <v>-7833855.8399999999</v>
      </c>
      <c r="AJ48" s="19">
        <f t="shared" si="81"/>
        <v>-388.77172647524873</v>
      </c>
      <c r="AK48" s="19">
        <f t="shared" si="82"/>
        <v>-11940933.370000001</v>
      </c>
      <c r="AL48" s="19">
        <f t="shared" si="83"/>
        <v>582.37459946891499</v>
      </c>
      <c r="AM48" s="19">
        <f t="shared" si="84"/>
        <v>0</v>
      </c>
      <c r="AN48" s="19" t="e">
        <f t="shared" si="85"/>
        <v>#DIV/0!</v>
      </c>
      <c r="AO48" s="19">
        <f t="shared" si="86"/>
        <v>0</v>
      </c>
      <c r="AP48" s="19" t="e">
        <f t="shared" si="87"/>
        <v>#DIV/0!</v>
      </c>
      <c r="AQ48" s="19">
        <f t="shared" si="88"/>
        <v>0</v>
      </c>
      <c r="AR48" s="19" t="e">
        <f t="shared" si="89"/>
        <v>#DIV/0!</v>
      </c>
      <c r="AS48" s="19">
        <f t="shared" si="90"/>
        <v>0</v>
      </c>
      <c r="AT48" s="19" t="e">
        <f t="shared" si="91"/>
        <v>#DIV/0!</v>
      </c>
      <c r="AU48" s="19">
        <f t="shared" si="92"/>
        <v>0</v>
      </c>
      <c r="AV48" s="19" t="e">
        <f t="shared" si="93"/>
        <v>#DIV/0!</v>
      </c>
      <c r="AW48" s="19">
        <f t="shared" si="94"/>
        <v>0</v>
      </c>
      <c r="AX48" s="19" t="e">
        <f t="shared" si="95"/>
        <v>#DIV/0!</v>
      </c>
      <c r="AY48" s="19">
        <f t="shared" si="96"/>
        <v>0</v>
      </c>
      <c r="AZ48" s="19" t="e">
        <f t="shared" si="97"/>
        <v>#DIV/0!</v>
      </c>
      <c r="BA48" s="19">
        <f t="shared" si="98"/>
        <v>0</v>
      </c>
      <c r="BB48" s="19" t="e">
        <f t="shared" si="99"/>
        <v>#DIV/0!</v>
      </c>
      <c r="BC48" s="19">
        <f t="shared" si="100"/>
        <v>0</v>
      </c>
      <c r="BD48" s="19" t="e">
        <f t="shared" si="101"/>
        <v>#DIV/0!</v>
      </c>
    </row>
    <row r="49" spans="1:56">
      <c r="A49" s="17">
        <v>3</v>
      </c>
      <c r="B49" s="18" t="s">
        <v>23</v>
      </c>
      <c r="C49" s="19">
        <v>7002598</v>
      </c>
      <c r="D49" s="19">
        <v>7002598</v>
      </c>
      <c r="E49" s="19">
        <v>-7002598</v>
      </c>
      <c r="F49" s="19"/>
      <c r="G49" s="18"/>
      <c r="H49" s="18"/>
      <c r="I49" s="18"/>
      <c r="J49" s="18"/>
      <c r="K49" s="18"/>
      <c r="L49" s="18"/>
      <c r="M49" s="18"/>
      <c r="N49" s="18"/>
      <c r="P49" s="17">
        <v>3</v>
      </c>
      <c r="Q49" s="18" t="s">
        <v>23</v>
      </c>
      <c r="R49" s="19">
        <v>8536597</v>
      </c>
      <c r="S49" s="19">
        <v>8536597</v>
      </c>
      <c r="T49" s="19">
        <v>8536597</v>
      </c>
      <c r="U49" s="19"/>
      <c r="V49" s="18"/>
      <c r="W49" s="18"/>
      <c r="X49" s="18"/>
      <c r="Y49" s="18"/>
      <c r="Z49" s="18"/>
      <c r="AA49" s="18"/>
      <c r="AB49" s="18"/>
      <c r="AC49" s="18"/>
      <c r="AE49" s="17">
        <v>3</v>
      </c>
      <c r="AF49" s="18" t="s">
        <v>23</v>
      </c>
      <c r="AG49" s="19">
        <f t="shared" si="78"/>
        <v>-1533999</v>
      </c>
      <c r="AH49" s="19">
        <f t="shared" si="79"/>
        <v>-21.906141120766893</v>
      </c>
      <c r="AI49" s="19">
        <f t="shared" si="80"/>
        <v>-1533999</v>
      </c>
      <c r="AJ49" s="19">
        <f t="shared" si="81"/>
        <v>-21.906141120766893</v>
      </c>
      <c r="AK49" s="19">
        <f t="shared" si="82"/>
        <v>-15539195</v>
      </c>
      <c r="AL49" s="19">
        <f t="shared" si="83"/>
        <v>221.90614112076688</v>
      </c>
      <c r="AM49" s="19">
        <f t="shared" si="84"/>
        <v>0</v>
      </c>
      <c r="AN49" s="19" t="e">
        <f t="shared" si="85"/>
        <v>#DIV/0!</v>
      </c>
      <c r="AO49" s="19">
        <f t="shared" si="86"/>
        <v>0</v>
      </c>
      <c r="AP49" s="19" t="e">
        <f t="shared" si="87"/>
        <v>#DIV/0!</v>
      </c>
      <c r="AQ49" s="19">
        <f t="shared" si="88"/>
        <v>0</v>
      </c>
      <c r="AR49" s="19" t="e">
        <f t="shared" si="89"/>
        <v>#DIV/0!</v>
      </c>
      <c r="AS49" s="19">
        <f t="shared" si="90"/>
        <v>0</v>
      </c>
      <c r="AT49" s="19" t="e">
        <f t="shared" si="91"/>
        <v>#DIV/0!</v>
      </c>
      <c r="AU49" s="19">
        <f t="shared" si="92"/>
        <v>0</v>
      </c>
      <c r="AV49" s="19" t="e">
        <f t="shared" si="93"/>
        <v>#DIV/0!</v>
      </c>
      <c r="AW49" s="19">
        <f t="shared" si="94"/>
        <v>0</v>
      </c>
      <c r="AX49" s="19" t="e">
        <f t="shared" si="95"/>
        <v>#DIV/0!</v>
      </c>
      <c r="AY49" s="19">
        <f t="shared" si="96"/>
        <v>0</v>
      </c>
      <c r="AZ49" s="19" t="e">
        <f t="shared" si="97"/>
        <v>#DIV/0!</v>
      </c>
      <c r="BA49" s="19">
        <f t="shared" si="98"/>
        <v>0</v>
      </c>
      <c r="BB49" s="19" t="e">
        <f t="shared" si="99"/>
        <v>#DIV/0!</v>
      </c>
      <c r="BC49" s="19">
        <f t="shared" si="100"/>
        <v>0</v>
      </c>
      <c r="BD49" s="19" t="e">
        <f t="shared" si="101"/>
        <v>#DIV/0!</v>
      </c>
    </row>
    <row r="50" spans="1:56">
      <c r="A50" s="17">
        <v>4</v>
      </c>
      <c r="B50" s="18" t="s">
        <v>25</v>
      </c>
      <c r="C50" s="19"/>
      <c r="D50" s="19"/>
      <c r="E50" s="19"/>
      <c r="F50" s="19"/>
      <c r="G50" s="18"/>
      <c r="H50" s="18"/>
      <c r="I50" s="18"/>
      <c r="J50" s="18"/>
      <c r="K50" s="18"/>
      <c r="L50" s="18"/>
      <c r="M50" s="18"/>
      <c r="N50" s="18"/>
      <c r="P50" s="17">
        <v>4</v>
      </c>
      <c r="Q50" s="18" t="s">
        <v>25</v>
      </c>
      <c r="R50" s="19"/>
      <c r="S50" s="19"/>
      <c r="T50" s="19"/>
      <c r="U50" s="19"/>
      <c r="V50" s="18"/>
      <c r="W50" s="18"/>
      <c r="X50" s="18"/>
      <c r="Y50" s="18"/>
      <c r="Z50" s="18"/>
      <c r="AA50" s="18"/>
      <c r="AB50" s="18"/>
      <c r="AC50" s="18"/>
      <c r="AE50" s="17">
        <v>4</v>
      </c>
      <c r="AF50" s="18" t="s">
        <v>25</v>
      </c>
      <c r="AG50" s="19">
        <f t="shared" si="78"/>
        <v>0</v>
      </c>
      <c r="AH50" s="19" t="e">
        <f t="shared" si="79"/>
        <v>#DIV/0!</v>
      </c>
      <c r="AI50" s="19">
        <f t="shared" si="80"/>
        <v>0</v>
      </c>
      <c r="AJ50" s="19" t="e">
        <f t="shared" si="81"/>
        <v>#DIV/0!</v>
      </c>
      <c r="AK50" s="19">
        <f t="shared" si="82"/>
        <v>0</v>
      </c>
      <c r="AL50" s="19" t="e">
        <f t="shared" si="83"/>
        <v>#DIV/0!</v>
      </c>
      <c r="AM50" s="19">
        <f t="shared" si="84"/>
        <v>0</v>
      </c>
      <c r="AN50" s="19" t="e">
        <f t="shared" si="85"/>
        <v>#DIV/0!</v>
      </c>
      <c r="AO50" s="19">
        <f t="shared" si="86"/>
        <v>0</v>
      </c>
      <c r="AP50" s="19" t="e">
        <f t="shared" si="87"/>
        <v>#DIV/0!</v>
      </c>
      <c r="AQ50" s="19">
        <f t="shared" si="88"/>
        <v>0</v>
      </c>
      <c r="AR50" s="19" t="e">
        <f t="shared" si="89"/>
        <v>#DIV/0!</v>
      </c>
      <c r="AS50" s="19">
        <f t="shared" si="90"/>
        <v>0</v>
      </c>
      <c r="AT50" s="19" t="e">
        <f t="shared" si="91"/>
        <v>#DIV/0!</v>
      </c>
      <c r="AU50" s="19">
        <f t="shared" si="92"/>
        <v>0</v>
      </c>
      <c r="AV50" s="19" t="e">
        <f t="shared" si="93"/>
        <v>#DIV/0!</v>
      </c>
      <c r="AW50" s="19">
        <f t="shared" si="94"/>
        <v>0</v>
      </c>
      <c r="AX50" s="19" t="e">
        <f t="shared" si="95"/>
        <v>#DIV/0!</v>
      </c>
      <c r="AY50" s="19">
        <f t="shared" si="96"/>
        <v>0</v>
      </c>
      <c r="AZ50" s="19" t="e">
        <f t="shared" si="97"/>
        <v>#DIV/0!</v>
      </c>
      <c r="BA50" s="19">
        <f t="shared" si="98"/>
        <v>0</v>
      </c>
      <c r="BB50" s="19" t="e">
        <f t="shared" si="99"/>
        <v>#DIV/0!</v>
      </c>
      <c r="BC50" s="19">
        <f t="shared" si="100"/>
        <v>0</v>
      </c>
      <c r="BD50" s="19" t="e">
        <f t="shared" si="101"/>
        <v>#DIV/0!</v>
      </c>
    </row>
    <row r="51" spans="1:56">
      <c r="A51" s="17">
        <v>5</v>
      </c>
      <c r="B51" s="18" t="s">
        <v>27</v>
      </c>
      <c r="C51" s="19"/>
      <c r="D51" s="19"/>
      <c r="E51" s="19"/>
      <c r="F51" s="19"/>
      <c r="G51" s="18"/>
      <c r="H51" s="18"/>
      <c r="I51" s="18"/>
      <c r="J51" s="18"/>
      <c r="K51" s="18"/>
      <c r="L51" s="18"/>
      <c r="M51" s="18"/>
      <c r="N51" s="18"/>
      <c r="P51" s="17">
        <v>5</v>
      </c>
      <c r="Q51" s="18" t="s">
        <v>27</v>
      </c>
      <c r="R51" s="19"/>
      <c r="S51" s="19"/>
      <c r="T51" s="19"/>
      <c r="U51" s="19"/>
      <c r="V51" s="18"/>
      <c r="W51" s="18"/>
      <c r="X51" s="18"/>
      <c r="Y51" s="18"/>
      <c r="Z51" s="18"/>
      <c r="AA51" s="18"/>
      <c r="AB51" s="18"/>
      <c r="AC51" s="18"/>
      <c r="AE51" s="17">
        <v>5</v>
      </c>
      <c r="AF51" s="18" t="s">
        <v>27</v>
      </c>
      <c r="AG51" s="19">
        <f t="shared" si="78"/>
        <v>0</v>
      </c>
      <c r="AH51" s="19" t="e">
        <f t="shared" si="79"/>
        <v>#DIV/0!</v>
      </c>
      <c r="AI51" s="19">
        <f t="shared" si="80"/>
        <v>0</v>
      </c>
      <c r="AJ51" s="19" t="e">
        <f t="shared" si="81"/>
        <v>#DIV/0!</v>
      </c>
      <c r="AK51" s="19">
        <f t="shared" si="82"/>
        <v>0</v>
      </c>
      <c r="AL51" s="19" t="e">
        <f t="shared" si="83"/>
        <v>#DIV/0!</v>
      </c>
      <c r="AM51" s="19">
        <f t="shared" si="84"/>
        <v>0</v>
      </c>
      <c r="AN51" s="19" t="e">
        <f t="shared" si="85"/>
        <v>#DIV/0!</v>
      </c>
      <c r="AO51" s="19">
        <f t="shared" si="86"/>
        <v>0</v>
      </c>
      <c r="AP51" s="19" t="e">
        <f t="shared" si="87"/>
        <v>#DIV/0!</v>
      </c>
      <c r="AQ51" s="19">
        <f t="shared" si="88"/>
        <v>0</v>
      </c>
      <c r="AR51" s="19" t="e">
        <f t="shared" si="89"/>
        <v>#DIV/0!</v>
      </c>
      <c r="AS51" s="19">
        <f t="shared" si="90"/>
        <v>0</v>
      </c>
      <c r="AT51" s="19" t="e">
        <f t="shared" si="91"/>
        <v>#DIV/0!</v>
      </c>
      <c r="AU51" s="19">
        <f t="shared" si="92"/>
        <v>0</v>
      </c>
      <c r="AV51" s="19" t="e">
        <f t="shared" si="93"/>
        <v>#DIV/0!</v>
      </c>
      <c r="AW51" s="19">
        <f t="shared" si="94"/>
        <v>0</v>
      </c>
      <c r="AX51" s="19" t="e">
        <f t="shared" si="95"/>
        <v>#DIV/0!</v>
      </c>
      <c r="AY51" s="19">
        <f t="shared" si="96"/>
        <v>0</v>
      </c>
      <c r="AZ51" s="19" t="e">
        <f t="shared" si="97"/>
        <v>#DIV/0!</v>
      </c>
      <c r="BA51" s="19">
        <f t="shared" si="98"/>
        <v>0</v>
      </c>
      <c r="BB51" s="19" t="e">
        <f t="shared" si="99"/>
        <v>#DIV/0!</v>
      </c>
      <c r="BC51" s="19">
        <f t="shared" si="100"/>
        <v>0</v>
      </c>
      <c r="BD51" s="19" t="e">
        <f t="shared" si="101"/>
        <v>#DIV/0!</v>
      </c>
    </row>
    <row r="52" spans="1:56">
      <c r="A52" s="17">
        <v>6</v>
      </c>
      <c r="B52" s="18" t="s">
        <v>29</v>
      </c>
      <c r="C52" s="19">
        <v>35882202.020000003</v>
      </c>
      <c r="D52" s="19">
        <v>36318249.960000001</v>
      </c>
      <c r="E52" s="19">
        <v>-36768832.780000001</v>
      </c>
      <c r="F52" s="19"/>
      <c r="G52" s="18"/>
      <c r="H52" s="18"/>
      <c r="I52" s="18"/>
      <c r="J52" s="18"/>
      <c r="K52" s="18"/>
      <c r="L52" s="18"/>
      <c r="M52" s="18"/>
      <c r="N52" s="18"/>
      <c r="P52" s="17">
        <v>6</v>
      </c>
      <c r="Q52" s="18" t="s">
        <v>29</v>
      </c>
      <c r="R52" s="19">
        <v>59895021.229999997</v>
      </c>
      <c r="S52" s="19">
        <v>60348158.280000001</v>
      </c>
      <c r="T52" s="19">
        <v>60801294.350000001</v>
      </c>
      <c r="U52" s="19"/>
      <c r="V52" s="18"/>
      <c r="W52" s="18"/>
      <c r="X52" s="18"/>
      <c r="Y52" s="18"/>
      <c r="Z52" s="18"/>
      <c r="AA52" s="18"/>
      <c r="AB52" s="18"/>
      <c r="AC52" s="18"/>
      <c r="AE52" s="17">
        <v>6</v>
      </c>
      <c r="AF52" s="18" t="s">
        <v>29</v>
      </c>
      <c r="AG52" s="19">
        <f t="shared" si="78"/>
        <v>-24012819.209999993</v>
      </c>
      <c r="AH52" s="19">
        <f t="shared" si="79"/>
        <v>-66.921253039642721</v>
      </c>
      <c r="AI52" s="19">
        <f t="shared" si="80"/>
        <v>-24029908.32</v>
      </c>
      <c r="AJ52" s="19">
        <f t="shared" si="81"/>
        <v>-66.16482993113911</v>
      </c>
      <c r="AK52" s="19">
        <f t="shared" si="82"/>
        <v>-97570127.129999995</v>
      </c>
      <c r="AL52" s="19">
        <f t="shared" si="83"/>
        <v>265.36095859717415</v>
      </c>
      <c r="AM52" s="19">
        <f t="shared" si="84"/>
        <v>0</v>
      </c>
      <c r="AN52" s="19" t="e">
        <f t="shared" si="85"/>
        <v>#DIV/0!</v>
      </c>
      <c r="AO52" s="19">
        <f t="shared" si="86"/>
        <v>0</v>
      </c>
      <c r="AP52" s="19" t="e">
        <f t="shared" si="87"/>
        <v>#DIV/0!</v>
      </c>
      <c r="AQ52" s="19">
        <f t="shared" si="88"/>
        <v>0</v>
      </c>
      <c r="AR52" s="19" t="e">
        <f t="shared" si="89"/>
        <v>#DIV/0!</v>
      </c>
      <c r="AS52" s="19">
        <f t="shared" si="90"/>
        <v>0</v>
      </c>
      <c r="AT52" s="19" t="e">
        <f t="shared" si="91"/>
        <v>#DIV/0!</v>
      </c>
      <c r="AU52" s="19">
        <f t="shared" si="92"/>
        <v>0</v>
      </c>
      <c r="AV52" s="19" t="e">
        <f t="shared" si="93"/>
        <v>#DIV/0!</v>
      </c>
      <c r="AW52" s="19">
        <f t="shared" si="94"/>
        <v>0</v>
      </c>
      <c r="AX52" s="19" t="e">
        <f t="shared" si="95"/>
        <v>#DIV/0!</v>
      </c>
      <c r="AY52" s="19">
        <f t="shared" si="96"/>
        <v>0</v>
      </c>
      <c r="AZ52" s="19" t="e">
        <f t="shared" si="97"/>
        <v>#DIV/0!</v>
      </c>
      <c r="BA52" s="19">
        <f t="shared" si="98"/>
        <v>0</v>
      </c>
      <c r="BB52" s="19" t="e">
        <f t="shared" si="99"/>
        <v>#DIV/0!</v>
      </c>
      <c r="BC52" s="19">
        <f t="shared" si="100"/>
        <v>0</v>
      </c>
      <c r="BD52" s="19" t="e">
        <f t="shared" si="101"/>
        <v>#DIV/0!</v>
      </c>
    </row>
    <row r="53" spans="1:56">
      <c r="A53" s="17">
        <v>7</v>
      </c>
      <c r="B53" s="18" t="s">
        <v>31</v>
      </c>
      <c r="C53" s="19"/>
      <c r="D53" s="19"/>
      <c r="E53" s="19"/>
      <c r="F53" s="19"/>
      <c r="G53" s="18"/>
      <c r="H53" s="18"/>
      <c r="I53" s="18"/>
      <c r="J53" s="18"/>
      <c r="K53" s="18"/>
      <c r="L53" s="18"/>
      <c r="M53" s="18"/>
      <c r="N53" s="18"/>
      <c r="P53" s="17">
        <v>7</v>
      </c>
      <c r="Q53" s="18" t="s">
        <v>31</v>
      </c>
      <c r="R53" s="19"/>
      <c r="S53" s="19"/>
      <c r="T53" s="19"/>
      <c r="U53" s="19"/>
      <c r="V53" s="18"/>
      <c r="W53" s="18"/>
      <c r="X53" s="18"/>
      <c r="Y53" s="18"/>
      <c r="Z53" s="18"/>
      <c r="AA53" s="18"/>
      <c r="AB53" s="18"/>
      <c r="AC53" s="18"/>
      <c r="AE53" s="17">
        <v>7</v>
      </c>
      <c r="AF53" s="18" t="s">
        <v>31</v>
      </c>
      <c r="AG53" s="19">
        <f t="shared" si="78"/>
        <v>0</v>
      </c>
      <c r="AH53" s="19" t="e">
        <f t="shared" si="79"/>
        <v>#DIV/0!</v>
      </c>
      <c r="AI53" s="19">
        <f t="shared" si="80"/>
        <v>0</v>
      </c>
      <c r="AJ53" s="19" t="e">
        <f t="shared" si="81"/>
        <v>#DIV/0!</v>
      </c>
      <c r="AK53" s="19">
        <f t="shared" si="82"/>
        <v>0</v>
      </c>
      <c r="AL53" s="19" t="e">
        <f t="shared" si="83"/>
        <v>#DIV/0!</v>
      </c>
      <c r="AM53" s="19">
        <f t="shared" si="84"/>
        <v>0</v>
      </c>
      <c r="AN53" s="19" t="e">
        <f t="shared" si="85"/>
        <v>#DIV/0!</v>
      </c>
      <c r="AO53" s="19">
        <f t="shared" si="86"/>
        <v>0</v>
      </c>
      <c r="AP53" s="19" t="e">
        <f t="shared" si="87"/>
        <v>#DIV/0!</v>
      </c>
      <c r="AQ53" s="19">
        <f t="shared" si="88"/>
        <v>0</v>
      </c>
      <c r="AR53" s="19" t="e">
        <f t="shared" si="89"/>
        <v>#DIV/0!</v>
      </c>
      <c r="AS53" s="19">
        <f t="shared" si="90"/>
        <v>0</v>
      </c>
      <c r="AT53" s="19" t="e">
        <f t="shared" si="91"/>
        <v>#DIV/0!</v>
      </c>
      <c r="AU53" s="19">
        <f t="shared" si="92"/>
        <v>0</v>
      </c>
      <c r="AV53" s="19" t="e">
        <f t="shared" si="93"/>
        <v>#DIV/0!</v>
      </c>
      <c r="AW53" s="19">
        <f t="shared" si="94"/>
        <v>0</v>
      </c>
      <c r="AX53" s="19" t="e">
        <f t="shared" si="95"/>
        <v>#DIV/0!</v>
      </c>
      <c r="AY53" s="19">
        <f t="shared" si="96"/>
        <v>0</v>
      </c>
      <c r="AZ53" s="19" t="e">
        <f t="shared" si="97"/>
        <v>#DIV/0!</v>
      </c>
      <c r="BA53" s="19">
        <f t="shared" si="98"/>
        <v>0</v>
      </c>
      <c r="BB53" s="19" t="e">
        <f t="shared" si="99"/>
        <v>#DIV/0!</v>
      </c>
      <c r="BC53" s="19">
        <f t="shared" si="100"/>
        <v>0</v>
      </c>
      <c r="BD53" s="19" t="e">
        <f t="shared" si="101"/>
        <v>#DIV/0!</v>
      </c>
    </row>
    <row r="54" spans="1:56">
      <c r="A54" s="17">
        <v>8</v>
      </c>
      <c r="B54" s="18" t="s">
        <v>33</v>
      </c>
      <c r="C54" s="19"/>
      <c r="D54" s="19"/>
      <c r="E54" s="19"/>
      <c r="F54" s="19"/>
      <c r="G54" s="18"/>
      <c r="H54" s="18"/>
      <c r="I54" s="18"/>
      <c r="J54" s="18"/>
      <c r="K54" s="18"/>
      <c r="L54" s="18"/>
      <c r="M54" s="18"/>
      <c r="N54" s="18"/>
      <c r="P54" s="17">
        <v>8</v>
      </c>
      <c r="Q54" s="18" t="s">
        <v>33</v>
      </c>
      <c r="R54" s="19"/>
      <c r="S54" s="19"/>
      <c r="T54" s="19"/>
      <c r="U54" s="19"/>
      <c r="V54" s="18"/>
      <c r="W54" s="18"/>
      <c r="X54" s="18"/>
      <c r="Y54" s="18"/>
      <c r="Z54" s="18"/>
      <c r="AA54" s="18"/>
      <c r="AB54" s="18"/>
      <c r="AC54" s="18"/>
      <c r="AE54" s="17">
        <v>8</v>
      </c>
      <c r="AF54" s="18" t="s">
        <v>33</v>
      </c>
      <c r="AG54" s="19">
        <f t="shared" si="78"/>
        <v>0</v>
      </c>
      <c r="AH54" s="19" t="e">
        <f t="shared" si="79"/>
        <v>#DIV/0!</v>
      </c>
      <c r="AI54" s="19">
        <f t="shared" si="80"/>
        <v>0</v>
      </c>
      <c r="AJ54" s="19" t="e">
        <f t="shared" si="81"/>
        <v>#DIV/0!</v>
      </c>
      <c r="AK54" s="19">
        <f t="shared" si="82"/>
        <v>0</v>
      </c>
      <c r="AL54" s="19" t="e">
        <f t="shared" si="83"/>
        <v>#DIV/0!</v>
      </c>
      <c r="AM54" s="19">
        <f t="shared" si="84"/>
        <v>0</v>
      </c>
      <c r="AN54" s="19" t="e">
        <f t="shared" si="85"/>
        <v>#DIV/0!</v>
      </c>
      <c r="AO54" s="19">
        <f t="shared" si="86"/>
        <v>0</v>
      </c>
      <c r="AP54" s="19" t="e">
        <f t="shared" si="87"/>
        <v>#DIV/0!</v>
      </c>
      <c r="AQ54" s="19">
        <f t="shared" si="88"/>
        <v>0</v>
      </c>
      <c r="AR54" s="19" t="e">
        <f t="shared" si="89"/>
        <v>#DIV/0!</v>
      </c>
      <c r="AS54" s="19">
        <f t="shared" si="90"/>
        <v>0</v>
      </c>
      <c r="AT54" s="19" t="e">
        <f t="shared" si="91"/>
        <v>#DIV/0!</v>
      </c>
      <c r="AU54" s="19">
        <f t="shared" si="92"/>
        <v>0</v>
      </c>
      <c r="AV54" s="19" t="e">
        <f t="shared" si="93"/>
        <v>#DIV/0!</v>
      </c>
      <c r="AW54" s="19">
        <f t="shared" si="94"/>
        <v>0</v>
      </c>
      <c r="AX54" s="19" t="e">
        <f t="shared" si="95"/>
        <v>#DIV/0!</v>
      </c>
      <c r="AY54" s="19">
        <f t="shared" si="96"/>
        <v>0</v>
      </c>
      <c r="AZ54" s="19" t="e">
        <f t="shared" si="97"/>
        <v>#DIV/0!</v>
      </c>
      <c r="BA54" s="19">
        <f t="shared" si="98"/>
        <v>0</v>
      </c>
      <c r="BB54" s="19" t="e">
        <f t="shared" si="99"/>
        <v>#DIV/0!</v>
      </c>
      <c r="BC54" s="19">
        <f t="shared" si="100"/>
        <v>0</v>
      </c>
      <c r="BD54" s="19" t="e">
        <f t="shared" si="101"/>
        <v>#DIV/0!</v>
      </c>
    </row>
    <row r="55" spans="1:56">
      <c r="A55" s="17">
        <v>9</v>
      </c>
      <c r="B55" s="18" t="s">
        <v>35</v>
      </c>
      <c r="C55" s="19"/>
      <c r="D55" s="19"/>
      <c r="E55" s="19"/>
      <c r="F55" s="19"/>
      <c r="G55" s="18"/>
      <c r="H55" s="18"/>
      <c r="I55" s="18"/>
      <c r="J55" s="18"/>
      <c r="K55" s="18"/>
      <c r="L55" s="18"/>
      <c r="M55" s="18"/>
      <c r="N55" s="18"/>
      <c r="P55" s="17">
        <v>9</v>
      </c>
      <c r="Q55" s="18" t="s">
        <v>35</v>
      </c>
      <c r="R55" s="19"/>
      <c r="S55" s="19"/>
      <c r="T55" s="19"/>
      <c r="U55" s="19"/>
      <c r="V55" s="18"/>
      <c r="W55" s="18"/>
      <c r="X55" s="18"/>
      <c r="Y55" s="18"/>
      <c r="Z55" s="18"/>
      <c r="AA55" s="18"/>
      <c r="AB55" s="18"/>
      <c r="AC55" s="18"/>
      <c r="AE55" s="17">
        <v>9</v>
      </c>
      <c r="AF55" s="18" t="s">
        <v>35</v>
      </c>
      <c r="AG55" s="19">
        <f t="shared" si="78"/>
        <v>0</v>
      </c>
      <c r="AH55" s="19" t="e">
        <f t="shared" si="79"/>
        <v>#DIV/0!</v>
      </c>
      <c r="AI55" s="19">
        <f t="shared" si="80"/>
        <v>0</v>
      </c>
      <c r="AJ55" s="19" t="e">
        <f t="shared" si="81"/>
        <v>#DIV/0!</v>
      </c>
      <c r="AK55" s="19">
        <f t="shared" si="82"/>
        <v>0</v>
      </c>
      <c r="AL55" s="19" t="e">
        <f t="shared" si="83"/>
        <v>#DIV/0!</v>
      </c>
      <c r="AM55" s="19">
        <f t="shared" si="84"/>
        <v>0</v>
      </c>
      <c r="AN55" s="19" t="e">
        <f t="shared" si="85"/>
        <v>#DIV/0!</v>
      </c>
      <c r="AO55" s="19">
        <f t="shared" si="86"/>
        <v>0</v>
      </c>
      <c r="AP55" s="19" t="e">
        <f t="shared" si="87"/>
        <v>#DIV/0!</v>
      </c>
      <c r="AQ55" s="19">
        <f t="shared" si="88"/>
        <v>0</v>
      </c>
      <c r="AR55" s="19" t="e">
        <f t="shared" si="89"/>
        <v>#DIV/0!</v>
      </c>
      <c r="AS55" s="19">
        <f t="shared" si="90"/>
        <v>0</v>
      </c>
      <c r="AT55" s="19" t="e">
        <f t="shared" si="91"/>
        <v>#DIV/0!</v>
      </c>
      <c r="AU55" s="19">
        <f t="shared" si="92"/>
        <v>0</v>
      </c>
      <c r="AV55" s="19" t="e">
        <f t="shared" si="93"/>
        <v>#DIV/0!</v>
      </c>
      <c r="AW55" s="19">
        <f t="shared" si="94"/>
        <v>0</v>
      </c>
      <c r="AX55" s="19" t="e">
        <f t="shared" si="95"/>
        <v>#DIV/0!</v>
      </c>
      <c r="AY55" s="19">
        <f t="shared" si="96"/>
        <v>0</v>
      </c>
      <c r="AZ55" s="19" t="e">
        <f t="shared" si="97"/>
        <v>#DIV/0!</v>
      </c>
      <c r="BA55" s="19">
        <f t="shared" si="98"/>
        <v>0</v>
      </c>
      <c r="BB55" s="19" t="e">
        <f t="shared" si="99"/>
        <v>#DIV/0!</v>
      </c>
      <c r="BC55" s="19">
        <f t="shared" si="100"/>
        <v>0</v>
      </c>
      <c r="BD55" s="19" t="e">
        <f t="shared" si="101"/>
        <v>#DIV/0!</v>
      </c>
    </row>
    <row r="56" spans="1:56">
      <c r="A56" s="17">
        <v>10</v>
      </c>
      <c r="B56" s="18" t="s">
        <v>37</v>
      </c>
      <c r="C56" s="19"/>
      <c r="D56" s="19"/>
      <c r="E56" s="19"/>
      <c r="F56" s="19"/>
      <c r="G56" s="18"/>
      <c r="H56" s="18"/>
      <c r="I56" s="18"/>
      <c r="J56" s="18"/>
      <c r="K56" s="18"/>
      <c r="L56" s="18"/>
      <c r="M56" s="18"/>
      <c r="N56" s="18"/>
      <c r="P56" s="17">
        <v>10</v>
      </c>
      <c r="Q56" s="18" t="s">
        <v>37</v>
      </c>
      <c r="R56" s="19"/>
      <c r="S56" s="19"/>
      <c r="T56" s="19"/>
      <c r="U56" s="19"/>
      <c r="V56" s="18"/>
      <c r="W56" s="18"/>
      <c r="X56" s="18"/>
      <c r="Y56" s="18"/>
      <c r="Z56" s="18"/>
      <c r="AA56" s="18"/>
      <c r="AB56" s="18"/>
      <c r="AC56" s="18"/>
      <c r="AE56" s="17">
        <v>10</v>
      </c>
      <c r="AF56" s="18" t="s">
        <v>37</v>
      </c>
      <c r="AG56" s="19">
        <f t="shared" si="78"/>
        <v>0</v>
      </c>
      <c r="AH56" s="19" t="e">
        <f t="shared" si="79"/>
        <v>#DIV/0!</v>
      </c>
      <c r="AI56" s="19">
        <f t="shared" si="80"/>
        <v>0</v>
      </c>
      <c r="AJ56" s="19" t="e">
        <f t="shared" si="81"/>
        <v>#DIV/0!</v>
      </c>
      <c r="AK56" s="19">
        <f t="shared" si="82"/>
        <v>0</v>
      </c>
      <c r="AL56" s="19" t="e">
        <f t="shared" si="83"/>
        <v>#DIV/0!</v>
      </c>
      <c r="AM56" s="19">
        <f t="shared" si="84"/>
        <v>0</v>
      </c>
      <c r="AN56" s="19" t="e">
        <f t="shared" si="85"/>
        <v>#DIV/0!</v>
      </c>
      <c r="AO56" s="19">
        <f t="shared" si="86"/>
        <v>0</v>
      </c>
      <c r="AP56" s="19" t="e">
        <f t="shared" si="87"/>
        <v>#DIV/0!</v>
      </c>
      <c r="AQ56" s="19">
        <f t="shared" si="88"/>
        <v>0</v>
      </c>
      <c r="AR56" s="19" t="e">
        <f t="shared" si="89"/>
        <v>#DIV/0!</v>
      </c>
      <c r="AS56" s="19">
        <f t="shared" si="90"/>
        <v>0</v>
      </c>
      <c r="AT56" s="19" t="e">
        <f t="shared" si="91"/>
        <v>#DIV/0!</v>
      </c>
      <c r="AU56" s="19">
        <f t="shared" si="92"/>
        <v>0</v>
      </c>
      <c r="AV56" s="19" t="e">
        <f t="shared" si="93"/>
        <v>#DIV/0!</v>
      </c>
      <c r="AW56" s="19">
        <f t="shared" si="94"/>
        <v>0</v>
      </c>
      <c r="AX56" s="19" t="e">
        <f t="shared" si="95"/>
        <v>#DIV/0!</v>
      </c>
      <c r="AY56" s="19">
        <f t="shared" si="96"/>
        <v>0</v>
      </c>
      <c r="AZ56" s="19" t="e">
        <f t="shared" si="97"/>
        <v>#DIV/0!</v>
      </c>
      <c r="BA56" s="19">
        <f t="shared" si="98"/>
        <v>0</v>
      </c>
      <c r="BB56" s="19" t="e">
        <f t="shared" si="99"/>
        <v>#DIV/0!</v>
      </c>
      <c r="BC56" s="19">
        <f t="shared" si="100"/>
        <v>0</v>
      </c>
      <c r="BD56" s="19" t="e">
        <f t="shared" si="101"/>
        <v>#DIV/0!</v>
      </c>
    </row>
    <row r="57" spans="1:56">
      <c r="A57" s="17">
        <v>11</v>
      </c>
      <c r="B57" s="18" t="s">
        <v>39</v>
      </c>
      <c r="C57" s="19"/>
      <c r="D57" s="19"/>
      <c r="E57" s="19"/>
      <c r="F57" s="19"/>
      <c r="G57" s="18"/>
      <c r="H57" s="18"/>
      <c r="I57" s="18"/>
      <c r="J57" s="18"/>
      <c r="K57" s="18"/>
      <c r="L57" s="18"/>
      <c r="M57" s="18"/>
      <c r="N57" s="18"/>
      <c r="P57" s="17">
        <v>11</v>
      </c>
      <c r="Q57" s="18" t="s">
        <v>39</v>
      </c>
      <c r="R57" s="19"/>
      <c r="S57" s="19"/>
      <c r="T57" s="19"/>
      <c r="U57" s="19"/>
      <c r="V57" s="18"/>
      <c r="W57" s="18"/>
      <c r="X57" s="18"/>
      <c r="Y57" s="18"/>
      <c r="Z57" s="18"/>
      <c r="AA57" s="18"/>
      <c r="AB57" s="18"/>
      <c r="AC57" s="18"/>
      <c r="AE57" s="17">
        <v>11</v>
      </c>
      <c r="AF57" s="18" t="s">
        <v>39</v>
      </c>
      <c r="AG57" s="19">
        <f t="shared" si="78"/>
        <v>0</v>
      </c>
      <c r="AH57" s="19" t="e">
        <f t="shared" si="79"/>
        <v>#DIV/0!</v>
      </c>
      <c r="AI57" s="19">
        <f t="shared" si="80"/>
        <v>0</v>
      </c>
      <c r="AJ57" s="19" t="e">
        <f t="shared" si="81"/>
        <v>#DIV/0!</v>
      </c>
      <c r="AK57" s="19">
        <f t="shared" si="82"/>
        <v>0</v>
      </c>
      <c r="AL57" s="19" t="e">
        <f t="shared" si="83"/>
        <v>#DIV/0!</v>
      </c>
      <c r="AM57" s="19">
        <f t="shared" si="84"/>
        <v>0</v>
      </c>
      <c r="AN57" s="19" t="e">
        <f t="shared" si="85"/>
        <v>#DIV/0!</v>
      </c>
      <c r="AO57" s="19">
        <f t="shared" si="86"/>
        <v>0</v>
      </c>
      <c r="AP57" s="19" t="e">
        <f t="shared" si="87"/>
        <v>#DIV/0!</v>
      </c>
      <c r="AQ57" s="19">
        <f t="shared" si="88"/>
        <v>0</v>
      </c>
      <c r="AR57" s="19" t="e">
        <f t="shared" si="89"/>
        <v>#DIV/0!</v>
      </c>
      <c r="AS57" s="19">
        <f t="shared" si="90"/>
        <v>0</v>
      </c>
      <c r="AT57" s="19" t="e">
        <f t="shared" si="91"/>
        <v>#DIV/0!</v>
      </c>
      <c r="AU57" s="19">
        <f t="shared" si="92"/>
        <v>0</v>
      </c>
      <c r="AV57" s="19" t="e">
        <f t="shared" si="93"/>
        <v>#DIV/0!</v>
      </c>
      <c r="AW57" s="19">
        <f t="shared" si="94"/>
        <v>0</v>
      </c>
      <c r="AX57" s="19" t="e">
        <f t="shared" si="95"/>
        <v>#DIV/0!</v>
      </c>
      <c r="AY57" s="19">
        <f t="shared" si="96"/>
        <v>0</v>
      </c>
      <c r="AZ57" s="19" t="e">
        <f t="shared" si="97"/>
        <v>#DIV/0!</v>
      </c>
      <c r="BA57" s="19">
        <f t="shared" si="98"/>
        <v>0</v>
      </c>
      <c r="BB57" s="19" t="e">
        <f t="shared" si="99"/>
        <v>#DIV/0!</v>
      </c>
      <c r="BC57" s="19">
        <f t="shared" si="100"/>
        <v>0</v>
      </c>
      <c r="BD57" s="19" t="e">
        <f t="shared" si="101"/>
        <v>#DIV/0!</v>
      </c>
    </row>
    <row r="58" spans="1:56">
      <c r="A58" s="17">
        <v>12</v>
      </c>
      <c r="B58" s="18" t="s">
        <v>41</v>
      </c>
      <c r="C58" s="19"/>
      <c r="D58" s="19"/>
      <c r="E58" s="19"/>
      <c r="F58" s="19"/>
      <c r="G58" s="18"/>
      <c r="H58" s="18"/>
      <c r="I58" s="18"/>
      <c r="J58" s="18"/>
      <c r="K58" s="18"/>
      <c r="L58" s="18"/>
      <c r="M58" s="18"/>
      <c r="N58" s="18"/>
      <c r="P58" s="17">
        <v>12</v>
      </c>
      <c r="Q58" s="18" t="s">
        <v>41</v>
      </c>
      <c r="R58" s="19"/>
      <c r="S58" s="19"/>
      <c r="T58" s="19"/>
      <c r="U58" s="19"/>
      <c r="V58" s="18"/>
      <c r="W58" s="18"/>
      <c r="X58" s="18"/>
      <c r="Y58" s="18"/>
      <c r="Z58" s="18"/>
      <c r="AA58" s="18"/>
      <c r="AB58" s="18"/>
      <c r="AC58" s="18"/>
      <c r="AE58" s="17">
        <v>12</v>
      </c>
      <c r="AF58" s="18" t="s">
        <v>41</v>
      </c>
      <c r="AG58" s="19">
        <f t="shared" si="78"/>
        <v>0</v>
      </c>
      <c r="AH58" s="19" t="e">
        <f t="shared" si="79"/>
        <v>#DIV/0!</v>
      </c>
      <c r="AI58" s="19">
        <f t="shared" si="80"/>
        <v>0</v>
      </c>
      <c r="AJ58" s="19" t="e">
        <f t="shared" si="81"/>
        <v>#DIV/0!</v>
      </c>
      <c r="AK58" s="19">
        <f t="shared" si="82"/>
        <v>0</v>
      </c>
      <c r="AL58" s="19" t="e">
        <f t="shared" si="83"/>
        <v>#DIV/0!</v>
      </c>
      <c r="AM58" s="19">
        <f t="shared" si="84"/>
        <v>0</v>
      </c>
      <c r="AN58" s="19" t="e">
        <f t="shared" si="85"/>
        <v>#DIV/0!</v>
      </c>
      <c r="AO58" s="19">
        <f t="shared" si="86"/>
        <v>0</v>
      </c>
      <c r="AP58" s="19" t="e">
        <f t="shared" si="87"/>
        <v>#DIV/0!</v>
      </c>
      <c r="AQ58" s="19">
        <f t="shared" si="88"/>
        <v>0</v>
      </c>
      <c r="AR58" s="19" t="e">
        <f t="shared" si="89"/>
        <v>#DIV/0!</v>
      </c>
      <c r="AS58" s="19">
        <f t="shared" si="90"/>
        <v>0</v>
      </c>
      <c r="AT58" s="19" t="e">
        <f t="shared" si="91"/>
        <v>#DIV/0!</v>
      </c>
      <c r="AU58" s="19">
        <f t="shared" si="92"/>
        <v>0</v>
      </c>
      <c r="AV58" s="19" t="e">
        <f t="shared" si="93"/>
        <v>#DIV/0!</v>
      </c>
      <c r="AW58" s="19">
        <f t="shared" si="94"/>
        <v>0</v>
      </c>
      <c r="AX58" s="19" t="e">
        <f t="shared" si="95"/>
        <v>#DIV/0!</v>
      </c>
      <c r="AY58" s="19">
        <f t="shared" si="96"/>
        <v>0</v>
      </c>
      <c r="AZ58" s="19" t="e">
        <f t="shared" si="97"/>
        <v>#DIV/0!</v>
      </c>
      <c r="BA58" s="19">
        <f t="shared" si="98"/>
        <v>0</v>
      </c>
      <c r="BB58" s="19" t="e">
        <f t="shared" si="99"/>
        <v>#DIV/0!</v>
      </c>
      <c r="BC58" s="19">
        <f t="shared" si="100"/>
        <v>0</v>
      </c>
      <c r="BD58" s="19" t="e">
        <f t="shared" si="101"/>
        <v>#DIV/0!</v>
      </c>
    </row>
    <row r="59" spans="1:56">
      <c r="A59" s="17">
        <v>13</v>
      </c>
      <c r="B59" s="18" t="s">
        <v>43</v>
      </c>
      <c r="C59" s="19"/>
      <c r="D59" s="19"/>
      <c r="E59" s="19"/>
      <c r="F59" s="19"/>
      <c r="G59" s="18"/>
      <c r="H59" s="18"/>
      <c r="I59" s="18"/>
      <c r="J59" s="18"/>
      <c r="K59" s="18"/>
      <c r="L59" s="18"/>
      <c r="M59" s="18"/>
      <c r="N59" s="18"/>
      <c r="P59" s="17">
        <v>13</v>
      </c>
      <c r="Q59" s="18" t="s">
        <v>43</v>
      </c>
      <c r="R59" s="19"/>
      <c r="S59" s="19"/>
      <c r="T59" s="19"/>
      <c r="U59" s="19"/>
      <c r="V59" s="18"/>
      <c r="W59" s="18"/>
      <c r="X59" s="18"/>
      <c r="Y59" s="18"/>
      <c r="Z59" s="18"/>
      <c r="AA59" s="18"/>
      <c r="AB59" s="18"/>
      <c r="AC59" s="18"/>
      <c r="AE59" s="17">
        <v>13</v>
      </c>
      <c r="AF59" s="18" t="s">
        <v>43</v>
      </c>
      <c r="AG59" s="19">
        <f t="shared" si="78"/>
        <v>0</v>
      </c>
      <c r="AH59" s="19" t="e">
        <f t="shared" si="79"/>
        <v>#DIV/0!</v>
      </c>
      <c r="AI59" s="19">
        <f t="shared" si="80"/>
        <v>0</v>
      </c>
      <c r="AJ59" s="19" t="e">
        <f t="shared" si="81"/>
        <v>#DIV/0!</v>
      </c>
      <c r="AK59" s="19">
        <f t="shared" si="82"/>
        <v>0</v>
      </c>
      <c r="AL59" s="19" t="e">
        <f t="shared" si="83"/>
        <v>#DIV/0!</v>
      </c>
      <c r="AM59" s="19">
        <f t="shared" si="84"/>
        <v>0</v>
      </c>
      <c r="AN59" s="19" t="e">
        <f t="shared" si="85"/>
        <v>#DIV/0!</v>
      </c>
      <c r="AO59" s="19">
        <f t="shared" si="86"/>
        <v>0</v>
      </c>
      <c r="AP59" s="19" t="e">
        <f t="shared" si="87"/>
        <v>#DIV/0!</v>
      </c>
      <c r="AQ59" s="19">
        <f t="shared" si="88"/>
        <v>0</v>
      </c>
      <c r="AR59" s="19" t="e">
        <f t="shared" si="89"/>
        <v>#DIV/0!</v>
      </c>
      <c r="AS59" s="19">
        <f t="shared" si="90"/>
        <v>0</v>
      </c>
      <c r="AT59" s="19" t="e">
        <f t="shared" si="91"/>
        <v>#DIV/0!</v>
      </c>
      <c r="AU59" s="19">
        <f t="shared" si="92"/>
        <v>0</v>
      </c>
      <c r="AV59" s="19" t="e">
        <f t="shared" si="93"/>
        <v>#DIV/0!</v>
      </c>
      <c r="AW59" s="19">
        <f t="shared" si="94"/>
        <v>0</v>
      </c>
      <c r="AX59" s="19" t="e">
        <f t="shared" si="95"/>
        <v>#DIV/0!</v>
      </c>
      <c r="AY59" s="19">
        <f t="shared" si="96"/>
        <v>0</v>
      </c>
      <c r="AZ59" s="19" t="e">
        <f t="shared" si="97"/>
        <v>#DIV/0!</v>
      </c>
      <c r="BA59" s="19">
        <f t="shared" si="98"/>
        <v>0</v>
      </c>
      <c r="BB59" s="19" t="e">
        <f t="shared" si="99"/>
        <v>#DIV/0!</v>
      </c>
      <c r="BC59" s="19">
        <f t="shared" si="100"/>
        <v>0</v>
      </c>
      <c r="BD59" s="19" t="e">
        <f t="shared" si="101"/>
        <v>#DIV/0!</v>
      </c>
    </row>
    <row r="60" spans="1:56">
      <c r="A60" s="17">
        <v>14</v>
      </c>
      <c r="B60" s="18" t="s">
        <v>44</v>
      </c>
      <c r="C60" s="19"/>
      <c r="D60" s="19"/>
      <c r="E60" s="19"/>
      <c r="F60" s="19"/>
      <c r="G60" s="18"/>
      <c r="H60" s="18"/>
      <c r="I60" s="18"/>
      <c r="J60" s="18"/>
      <c r="K60" s="18"/>
      <c r="L60" s="18"/>
      <c r="M60" s="18"/>
      <c r="N60" s="18"/>
      <c r="P60" s="17">
        <v>14</v>
      </c>
      <c r="Q60" s="18" t="s">
        <v>44</v>
      </c>
      <c r="R60" s="19">
        <v>388577.77</v>
      </c>
      <c r="S60" s="19">
        <v>444088.88</v>
      </c>
      <c r="T60" s="19">
        <v>499599.99</v>
      </c>
      <c r="U60" s="19"/>
      <c r="V60" s="18"/>
      <c r="W60" s="18"/>
      <c r="X60" s="18"/>
      <c r="Y60" s="18"/>
      <c r="Z60" s="18"/>
      <c r="AA60" s="18"/>
      <c r="AB60" s="18"/>
      <c r="AC60" s="18"/>
      <c r="AE60" s="17">
        <v>14</v>
      </c>
      <c r="AF60" s="18" t="s">
        <v>44</v>
      </c>
      <c r="AG60" s="19">
        <f t="shared" si="78"/>
        <v>-388577.77</v>
      </c>
      <c r="AH60" s="19" t="e">
        <f t="shared" si="79"/>
        <v>#DIV/0!</v>
      </c>
      <c r="AI60" s="19">
        <f t="shared" si="80"/>
        <v>-444088.88</v>
      </c>
      <c r="AJ60" s="19" t="e">
        <f t="shared" si="81"/>
        <v>#DIV/0!</v>
      </c>
      <c r="AK60" s="19">
        <f t="shared" si="82"/>
        <v>-499599.99</v>
      </c>
      <c r="AL60" s="19" t="e">
        <f t="shared" si="83"/>
        <v>#DIV/0!</v>
      </c>
      <c r="AM60" s="19">
        <f t="shared" si="84"/>
        <v>0</v>
      </c>
      <c r="AN60" s="19" t="e">
        <f t="shared" si="85"/>
        <v>#DIV/0!</v>
      </c>
      <c r="AO60" s="19">
        <f t="shared" si="86"/>
        <v>0</v>
      </c>
      <c r="AP60" s="19" t="e">
        <f t="shared" si="87"/>
        <v>#DIV/0!</v>
      </c>
      <c r="AQ60" s="19">
        <f t="shared" si="88"/>
        <v>0</v>
      </c>
      <c r="AR60" s="19" t="e">
        <f t="shared" si="89"/>
        <v>#DIV/0!</v>
      </c>
      <c r="AS60" s="19">
        <f t="shared" si="90"/>
        <v>0</v>
      </c>
      <c r="AT60" s="19" t="e">
        <f t="shared" si="91"/>
        <v>#DIV/0!</v>
      </c>
      <c r="AU60" s="19">
        <f t="shared" si="92"/>
        <v>0</v>
      </c>
      <c r="AV60" s="19" t="e">
        <f t="shared" si="93"/>
        <v>#DIV/0!</v>
      </c>
      <c r="AW60" s="19">
        <f t="shared" si="94"/>
        <v>0</v>
      </c>
      <c r="AX60" s="19" t="e">
        <f t="shared" si="95"/>
        <v>#DIV/0!</v>
      </c>
      <c r="AY60" s="19">
        <f t="shared" si="96"/>
        <v>0</v>
      </c>
      <c r="AZ60" s="19" t="e">
        <f t="shared" si="97"/>
        <v>#DIV/0!</v>
      </c>
      <c r="BA60" s="19">
        <f t="shared" si="98"/>
        <v>0</v>
      </c>
      <c r="BB60" s="19" t="e">
        <f t="shared" si="99"/>
        <v>#DIV/0!</v>
      </c>
      <c r="BC60" s="19">
        <f t="shared" si="100"/>
        <v>0</v>
      </c>
      <c r="BD60" s="19" t="e">
        <f t="shared" si="101"/>
        <v>#DIV/0!</v>
      </c>
    </row>
    <row r="61" spans="1:56" ht="25.2" thickBot="1">
      <c r="A61" s="17"/>
      <c r="B61" s="20" t="s">
        <v>17</v>
      </c>
      <c r="C61" s="27">
        <f>SUM(C47:C60)</f>
        <v>44865607.910000004</v>
      </c>
      <c r="D61" s="27">
        <f t="shared" ref="D61:N61" si="102">SUM(D47:D60)</f>
        <v>45335875.109999999</v>
      </c>
      <c r="E61" s="27">
        <f t="shared" si="102"/>
        <v>-45821817.829999998</v>
      </c>
      <c r="F61" s="27">
        <f t="shared" si="102"/>
        <v>0</v>
      </c>
      <c r="G61" s="27">
        <f t="shared" si="102"/>
        <v>0</v>
      </c>
      <c r="H61" s="27">
        <f t="shared" si="102"/>
        <v>0</v>
      </c>
      <c r="I61" s="27">
        <f t="shared" si="102"/>
        <v>0</v>
      </c>
      <c r="J61" s="27">
        <f t="shared" si="102"/>
        <v>0</v>
      </c>
      <c r="K61" s="27">
        <f t="shared" si="102"/>
        <v>0</v>
      </c>
      <c r="L61" s="27">
        <f t="shared" si="102"/>
        <v>0</v>
      </c>
      <c r="M61" s="27">
        <f t="shared" si="102"/>
        <v>0</v>
      </c>
      <c r="N61" s="27">
        <f t="shared" si="102"/>
        <v>0</v>
      </c>
      <c r="P61" s="17"/>
      <c r="Q61" s="20" t="s">
        <v>17</v>
      </c>
      <c r="R61" s="27">
        <f>SUM(R47:R60)</f>
        <v>78910414.659999996</v>
      </c>
      <c r="S61" s="27">
        <f t="shared" ref="S61:AC61" si="103">SUM(S47:S60)</f>
        <v>79460726.150000006</v>
      </c>
      <c r="T61" s="27">
        <f t="shared" si="103"/>
        <v>80011036.659999996</v>
      </c>
      <c r="U61" s="27">
        <f t="shared" si="103"/>
        <v>0</v>
      </c>
      <c r="V61" s="27">
        <f t="shared" si="103"/>
        <v>0</v>
      </c>
      <c r="W61" s="27">
        <f t="shared" si="103"/>
        <v>0</v>
      </c>
      <c r="X61" s="27">
        <f t="shared" si="103"/>
        <v>0</v>
      </c>
      <c r="Y61" s="27">
        <f t="shared" si="103"/>
        <v>0</v>
      </c>
      <c r="Z61" s="27">
        <f t="shared" si="103"/>
        <v>0</v>
      </c>
      <c r="AA61" s="27">
        <f t="shared" si="103"/>
        <v>0</v>
      </c>
      <c r="AB61" s="27">
        <f t="shared" si="103"/>
        <v>0</v>
      </c>
      <c r="AC61" s="27">
        <f t="shared" si="103"/>
        <v>0</v>
      </c>
      <c r="AE61" s="17"/>
      <c r="AF61" s="20" t="s">
        <v>17</v>
      </c>
      <c r="AG61" s="23">
        <f t="shared" si="78"/>
        <v>-34044806.749999993</v>
      </c>
      <c r="AH61" s="23">
        <f t="shared" si="79"/>
        <v>-75.881746254934427</v>
      </c>
      <c r="AI61" s="23">
        <f t="shared" si="80"/>
        <v>-34124851.040000007</v>
      </c>
      <c r="AJ61" s="23">
        <f t="shared" si="81"/>
        <v>-75.271186355621694</v>
      </c>
      <c r="AK61" s="23">
        <f t="shared" si="82"/>
        <v>-125832854.48999999</v>
      </c>
      <c r="AL61" s="23">
        <f t="shared" si="83"/>
        <v>274.61340568556835</v>
      </c>
      <c r="AM61" s="23">
        <f t="shared" si="84"/>
        <v>0</v>
      </c>
      <c r="AN61" s="23" t="e">
        <f t="shared" si="85"/>
        <v>#DIV/0!</v>
      </c>
      <c r="AO61" s="23">
        <f t="shared" si="86"/>
        <v>0</v>
      </c>
      <c r="AP61" s="23" t="e">
        <f t="shared" si="87"/>
        <v>#DIV/0!</v>
      </c>
      <c r="AQ61" s="23">
        <f t="shared" si="88"/>
        <v>0</v>
      </c>
      <c r="AR61" s="23" t="e">
        <f t="shared" si="89"/>
        <v>#DIV/0!</v>
      </c>
      <c r="AS61" s="23">
        <f t="shared" si="90"/>
        <v>0</v>
      </c>
      <c r="AT61" s="23" t="e">
        <f t="shared" si="91"/>
        <v>#DIV/0!</v>
      </c>
      <c r="AU61" s="23">
        <f t="shared" si="92"/>
        <v>0</v>
      </c>
      <c r="AV61" s="23" t="e">
        <f t="shared" si="93"/>
        <v>#DIV/0!</v>
      </c>
      <c r="AW61" s="23">
        <f t="shared" si="94"/>
        <v>0</v>
      </c>
      <c r="AX61" s="23" t="e">
        <f t="shared" si="95"/>
        <v>#DIV/0!</v>
      </c>
      <c r="AY61" s="23">
        <f t="shared" si="96"/>
        <v>0</v>
      </c>
      <c r="AZ61" s="23" t="e">
        <f t="shared" si="97"/>
        <v>#DIV/0!</v>
      </c>
      <c r="BA61" s="23">
        <f t="shared" si="98"/>
        <v>0</v>
      </c>
      <c r="BB61" s="23" t="e">
        <f t="shared" si="99"/>
        <v>#DIV/0!</v>
      </c>
      <c r="BC61" s="23">
        <f t="shared" si="100"/>
        <v>0</v>
      </c>
      <c r="BD61" s="23" t="e">
        <f t="shared" si="101"/>
        <v>#DIV/0!</v>
      </c>
    </row>
    <row r="62" spans="1:56" ht="25.2" thickTop="1"/>
    <row r="63" spans="1:56">
      <c r="A63" s="32" t="s">
        <v>1942</v>
      </c>
      <c r="B63" s="32"/>
      <c r="C63" s="32"/>
      <c r="D63" s="32"/>
      <c r="E63" s="32"/>
      <c r="F63" s="32"/>
      <c r="G63" s="32"/>
      <c r="H63" s="32"/>
      <c r="I63" s="32"/>
    </row>
    <row r="64" spans="1:56" customFormat="1" ht="21">
      <c r="A64" s="28" t="s">
        <v>659</v>
      </c>
      <c r="B64" s="28" t="s">
        <v>660</v>
      </c>
      <c r="C64" s="28" t="s">
        <v>661</v>
      </c>
      <c r="D64" s="28" t="s">
        <v>662</v>
      </c>
      <c r="E64" s="28" t="s">
        <v>663</v>
      </c>
      <c r="F64" s="28" t="s">
        <v>664</v>
      </c>
      <c r="G64" s="28" t="s">
        <v>665</v>
      </c>
    </row>
    <row r="65" spans="1:9" customFormat="1" ht="21">
      <c r="A65" s="28" t="s">
        <v>272</v>
      </c>
      <c r="B65" s="28" t="s">
        <v>91</v>
      </c>
      <c r="C65" s="28" t="s">
        <v>273</v>
      </c>
      <c r="D65" s="28" t="s">
        <v>274</v>
      </c>
      <c r="E65" s="29">
        <v>7660375.6699999999</v>
      </c>
      <c r="F65" s="29">
        <v>-691735.8</v>
      </c>
      <c r="G65" s="29">
        <v>6968639.8700000001</v>
      </c>
      <c r="H65" t="s">
        <v>1247</v>
      </c>
      <c r="I65" t="s">
        <v>11</v>
      </c>
    </row>
    <row r="66" spans="1:9" customFormat="1" ht="21">
      <c r="A66" s="28" t="s">
        <v>272</v>
      </c>
      <c r="B66" s="28" t="s">
        <v>108</v>
      </c>
      <c r="C66" s="28" t="s">
        <v>273</v>
      </c>
      <c r="D66" s="28" t="s">
        <v>274</v>
      </c>
      <c r="E66" s="29">
        <v>2738324.33</v>
      </c>
      <c r="F66" s="29">
        <v>-2738323.33</v>
      </c>
      <c r="G66" s="29">
        <v>1</v>
      </c>
      <c r="H66" t="s">
        <v>1247</v>
      </c>
      <c r="I66" t="s">
        <v>11</v>
      </c>
    </row>
    <row r="67" spans="1:9" customFormat="1" ht="21">
      <c r="A67" s="28" t="s">
        <v>275</v>
      </c>
      <c r="B67" s="28" t="s">
        <v>91</v>
      </c>
      <c r="C67" s="28" t="s">
        <v>273</v>
      </c>
      <c r="D67" s="28" t="s">
        <v>276</v>
      </c>
      <c r="E67" s="29">
        <v>340000</v>
      </c>
      <c r="F67" s="29">
        <v>-339999</v>
      </c>
      <c r="G67" s="29">
        <v>1</v>
      </c>
      <c r="H67" t="s">
        <v>1247</v>
      </c>
      <c r="I67" t="s">
        <v>11</v>
      </c>
    </row>
    <row r="68" spans="1:9" customFormat="1" ht="21">
      <c r="A68" s="28" t="s">
        <v>277</v>
      </c>
      <c r="B68" s="28" t="s">
        <v>91</v>
      </c>
      <c r="C68" s="28" t="s">
        <v>273</v>
      </c>
      <c r="D68" s="28" t="s">
        <v>278</v>
      </c>
      <c r="E68" s="29">
        <v>286000</v>
      </c>
      <c r="F68" s="29">
        <v>-285999</v>
      </c>
      <c r="G68" s="29">
        <v>1</v>
      </c>
      <c r="H68" t="s">
        <v>1247</v>
      </c>
      <c r="I68" t="s">
        <v>11</v>
      </c>
    </row>
    <row r="69" spans="1:9" customFormat="1" ht="21">
      <c r="A69" s="28" t="s">
        <v>279</v>
      </c>
      <c r="B69" s="28" t="s">
        <v>91</v>
      </c>
      <c r="C69" s="28" t="s">
        <v>273</v>
      </c>
      <c r="D69" s="28" t="s">
        <v>280</v>
      </c>
      <c r="E69" s="29">
        <v>240000</v>
      </c>
      <c r="F69" s="29">
        <v>-239999</v>
      </c>
      <c r="G69" s="29">
        <v>1</v>
      </c>
      <c r="H69" t="s">
        <v>1247</v>
      </c>
      <c r="I69" t="s">
        <v>11</v>
      </c>
    </row>
    <row r="70" spans="1:9" customFormat="1" ht="21">
      <c r="A70" s="28" t="s">
        <v>281</v>
      </c>
      <c r="B70" s="28" t="s">
        <v>91</v>
      </c>
      <c r="C70" s="28" t="s">
        <v>273</v>
      </c>
      <c r="D70" s="28" t="s">
        <v>282</v>
      </c>
      <c r="E70" s="29">
        <v>240000</v>
      </c>
      <c r="F70" s="29">
        <v>-239999</v>
      </c>
      <c r="G70" s="29">
        <v>1</v>
      </c>
      <c r="H70" t="s">
        <v>1247</v>
      </c>
      <c r="I70" t="s">
        <v>11</v>
      </c>
    </row>
    <row r="71" spans="1:9" customFormat="1" ht="21">
      <c r="A71" s="28" t="s">
        <v>283</v>
      </c>
      <c r="B71" s="28" t="s">
        <v>91</v>
      </c>
      <c r="C71" s="28" t="s">
        <v>273</v>
      </c>
      <c r="D71" s="28" t="s">
        <v>284</v>
      </c>
      <c r="E71" s="29">
        <v>230000</v>
      </c>
      <c r="F71" s="29">
        <v>-229999</v>
      </c>
      <c r="G71" s="29">
        <v>1</v>
      </c>
      <c r="H71" t="s">
        <v>1247</v>
      </c>
      <c r="I71" t="s">
        <v>11</v>
      </c>
    </row>
    <row r="72" spans="1:9" customFormat="1" ht="21">
      <c r="A72" s="28" t="s">
        <v>285</v>
      </c>
      <c r="B72" s="28" t="s">
        <v>91</v>
      </c>
      <c r="C72" s="28" t="s">
        <v>273</v>
      </c>
      <c r="D72" s="28" t="s">
        <v>286</v>
      </c>
      <c r="E72" s="29">
        <v>230000</v>
      </c>
      <c r="F72" s="29">
        <v>-229999</v>
      </c>
      <c r="G72" s="29">
        <v>1</v>
      </c>
      <c r="H72" t="s">
        <v>1247</v>
      </c>
      <c r="I72" t="s">
        <v>11</v>
      </c>
    </row>
    <row r="73" spans="1:9" customFormat="1" ht="21">
      <c r="A73" s="28" t="s">
        <v>287</v>
      </c>
      <c r="B73" s="28" t="s">
        <v>91</v>
      </c>
      <c r="C73" s="28" t="s">
        <v>273</v>
      </c>
      <c r="D73" s="28" t="s">
        <v>288</v>
      </c>
      <c r="E73" s="29">
        <v>835000</v>
      </c>
      <c r="F73" s="29">
        <v>-834999</v>
      </c>
      <c r="G73" s="29">
        <v>1</v>
      </c>
      <c r="H73" t="s">
        <v>1247</v>
      </c>
      <c r="I73" t="s">
        <v>11</v>
      </c>
    </row>
    <row r="74" spans="1:9" customFormat="1" ht="21">
      <c r="A74" s="28" t="s">
        <v>289</v>
      </c>
      <c r="B74" s="28" t="s">
        <v>91</v>
      </c>
      <c r="C74" s="28" t="s">
        <v>273</v>
      </c>
      <c r="D74" s="28" t="s">
        <v>290</v>
      </c>
      <c r="E74" s="29">
        <v>835000</v>
      </c>
      <c r="F74" s="29">
        <v>-834999</v>
      </c>
      <c r="G74" s="29">
        <v>1</v>
      </c>
      <c r="H74" t="s">
        <v>1247</v>
      </c>
      <c r="I74" t="s">
        <v>11</v>
      </c>
    </row>
    <row r="75" spans="1:9" customFormat="1" ht="21">
      <c r="A75" s="28" t="s">
        <v>291</v>
      </c>
      <c r="B75" s="28" t="s">
        <v>91</v>
      </c>
      <c r="C75" s="28" t="s">
        <v>273</v>
      </c>
      <c r="D75" s="28" t="s">
        <v>292</v>
      </c>
      <c r="E75" s="29">
        <v>580900</v>
      </c>
      <c r="F75" s="29">
        <v>-580899</v>
      </c>
      <c r="G75" s="29">
        <v>1</v>
      </c>
      <c r="H75" t="s">
        <v>1247</v>
      </c>
      <c r="I75" t="s">
        <v>11</v>
      </c>
    </row>
    <row r="76" spans="1:9" customFormat="1" ht="21">
      <c r="A76" s="28" t="s">
        <v>293</v>
      </c>
      <c r="B76" s="28" t="s">
        <v>91</v>
      </c>
      <c r="C76" s="28" t="s">
        <v>273</v>
      </c>
      <c r="D76" s="28" t="s">
        <v>294</v>
      </c>
      <c r="E76" s="29">
        <v>340000</v>
      </c>
      <c r="F76" s="29">
        <v>-339999</v>
      </c>
      <c r="G76" s="29">
        <v>1</v>
      </c>
      <c r="H76" t="s">
        <v>1247</v>
      </c>
      <c r="I76" t="s">
        <v>11</v>
      </c>
    </row>
    <row r="77" spans="1:9" customFormat="1" ht="21">
      <c r="A77" s="28" t="s">
        <v>295</v>
      </c>
      <c r="B77" s="28" t="s">
        <v>91</v>
      </c>
      <c r="C77" s="28" t="s">
        <v>273</v>
      </c>
      <c r="D77" s="28" t="s">
        <v>296</v>
      </c>
      <c r="E77" s="29">
        <v>1469166.67</v>
      </c>
      <c r="F77" s="29">
        <v>-357571.84000000003</v>
      </c>
      <c r="G77" s="29">
        <v>1111594.83</v>
      </c>
      <c r="H77" t="s">
        <v>1247</v>
      </c>
      <c r="I77" t="s">
        <v>11</v>
      </c>
    </row>
    <row r="78" spans="1:9" customFormat="1" ht="21">
      <c r="A78" s="28" t="s">
        <v>295</v>
      </c>
      <c r="B78" s="28" t="s">
        <v>108</v>
      </c>
      <c r="C78" s="28" t="s">
        <v>273</v>
      </c>
      <c r="D78" s="28" t="s">
        <v>296</v>
      </c>
      <c r="E78" s="29">
        <v>3905833.33</v>
      </c>
      <c r="F78" s="29">
        <v>-3905832.33</v>
      </c>
      <c r="G78" s="29">
        <v>1</v>
      </c>
      <c r="H78" t="s">
        <v>1247</v>
      </c>
      <c r="I78" t="s">
        <v>11</v>
      </c>
    </row>
    <row r="79" spans="1:9" customFormat="1" ht="21">
      <c r="A79" s="28" t="s">
        <v>297</v>
      </c>
      <c r="B79" s="28" t="s">
        <v>91</v>
      </c>
      <c r="C79" s="28" t="s">
        <v>273</v>
      </c>
      <c r="D79" s="28" t="s">
        <v>298</v>
      </c>
      <c r="E79" s="29">
        <v>4066892</v>
      </c>
      <c r="F79" s="29">
        <v>-4066891</v>
      </c>
      <c r="G79" s="29">
        <v>1</v>
      </c>
      <c r="H79" t="s">
        <v>1247</v>
      </c>
      <c r="I79" t="s">
        <v>11</v>
      </c>
    </row>
    <row r="80" spans="1:9" customFormat="1" ht="21">
      <c r="A80" s="28" t="s">
        <v>299</v>
      </c>
      <c r="B80" s="28" t="s">
        <v>91</v>
      </c>
      <c r="C80" s="28" t="s">
        <v>273</v>
      </c>
      <c r="D80" s="28" t="s">
        <v>300</v>
      </c>
      <c r="E80" s="29">
        <v>507000</v>
      </c>
      <c r="F80" s="29">
        <v>-506999</v>
      </c>
      <c r="G80" s="29">
        <v>1</v>
      </c>
      <c r="H80" t="s">
        <v>1247</v>
      </c>
      <c r="I80" t="s">
        <v>11</v>
      </c>
    </row>
    <row r="81" spans="1:9" customFormat="1" ht="21">
      <c r="A81" s="28" t="s">
        <v>301</v>
      </c>
      <c r="B81" s="28" t="s">
        <v>91</v>
      </c>
      <c r="C81" s="28" t="s">
        <v>273</v>
      </c>
      <c r="D81" s="28" t="s">
        <v>302</v>
      </c>
      <c r="E81" s="29">
        <v>744480</v>
      </c>
      <c r="F81" s="29">
        <v>-744479</v>
      </c>
      <c r="G81" s="29">
        <v>1</v>
      </c>
      <c r="H81" t="s">
        <v>1247</v>
      </c>
      <c r="I81" t="s">
        <v>11</v>
      </c>
    </row>
    <row r="82" spans="1:9" customFormat="1" ht="21">
      <c r="A82" s="28" t="s">
        <v>303</v>
      </c>
      <c r="B82" s="28" t="s">
        <v>91</v>
      </c>
      <c r="C82" s="28" t="s">
        <v>92</v>
      </c>
      <c r="D82" s="28" t="s">
        <v>304</v>
      </c>
      <c r="E82" s="29">
        <v>8169009.4299999997</v>
      </c>
      <c r="F82" s="29">
        <v>-698227.8</v>
      </c>
      <c r="G82" s="29">
        <v>7470781.6299999999</v>
      </c>
      <c r="H82" t="s">
        <v>1247</v>
      </c>
      <c r="I82" t="s">
        <v>11</v>
      </c>
    </row>
    <row r="83" spans="1:9" customFormat="1" ht="21">
      <c r="A83" s="28" t="s">
        <v>303</v>
      </c>
      <c r="B83" s="28" t="s">
        <v>108</v>
      </c>
      <c r="C83" s="28" t="s">
        <v>92</v>
      </c>
      <c r="D83" s="28" t="s">
        <v>304</v>
      </c>
      <c r="E83" s="29">
        <v>3390909.57</v>
      </c>
      <c r="F83" s="29">
        <v>-3390908.57</v>
      </c>
      <c r="G83" s="29">
        <v>1</v>
      </c>
      <c r="H83" t="s">
        <v>1247</v>
      </c>
      <c r="I83" t="s">
        <v>11</v>
      </c>
    </row>
    <row r="84" spans="1:9" customFormat="1" ht="21">
      <c r="A84" s="28" t="s">
        <v>524</v>
      </c>
      <c r="B84" s="28" t="s">
        <v>91</v>
      </c>
      <c r="C84" s="28" t="s">
        <v>273</v>
      </c>
      <c r="D84" s="28" t="s">
        <v>525</v>
      </c>
      <c r="E84" s="29">
        <v>43166666.670000002</v>
      </c>
      <c r="F84" s="29">
        <v>-4656507.32</v>
      </c>
      <c r="G84" s="29">
        <v>38510159.350000001</v>
      </c>
      <c r="H84" t="s">
        <v>1247</v>
      </c>
      <c r="I84" t="s">
        <v>9</v>
      </c>
    </row>
    <row r="85" spans="1:9" customFormat="1" ht="21">
      <c r="A85" s="28" t="s">
        <v>524</v>
      </c>
      <c r="B85" s="28" t="s">
        <v>108</v>
      </c>
      <c r="C85" s="28" t="s">
        <v>273</v>
      </c>
      <c r="D85" s="28" t="s">
        <v>525</v>
      </c>
      <c r="E85" s="29">
        <v>26833333.329999998</v>
      </c>
      <c r="F85" s="29">
        <v>-26833332.329999998</v>
      </c>
      <c r="G85" s="29">
        <v>1</v>
      </c>
      <c r="H85" t="s">
        <v>1247</v>
      </c>
      <c r="I85" t="s">
        <v>9</v>
      </c>
    </row>
    <row r="86" spans="1:9" customFormat="1" ht="21">
      <c r="A86" s="28" t="s">
        <v>526</v>
      </c>
      <c r="B86" s="28" t="s">
        <v>91</v>
      </c>
      <c r="C86" s="28" t="s">
        <v>273</v>
      </c>
      <c r="D86" s="28" t="s">
        <v>527</v>
      </c>
      <c r="E86" s="29">
        <v>61651741.799999997</v>
      </c>
      <c r="F86" s="29">
        <v>-6912191.96</v>
      </c>
      <c r="G86" s="29">
        <v>54739549.840000004</v>
      </c>
      <c r="H86" t="s">
        <v>1247</v>
      </c>
      <c r="I86" t="s">
        <v>9</v>
      </c>
    </row>
    <row r="87" spans="1:9" customFormat="1" ht="21">
      <c r="A87" s="28" t="s">
        <v>526</v>
      </c>
      <c r="B87" s="28" t="s">
        <v>108</v>
      </c>
      <c r="C87" s="28" t="s">
        <v>273</v>
      </c>
      <c r="D87" s="28" t="s">
        <v>527</v>
      </c>
      <c r="E87" s="29">
        <v>42255688.200000003</v>
      </c>
      <c r="F87" s="29">
        <v>-42255687.200000003</v>
      </c>
      <c r="G87" s="29">
        <v>1</v>
      </c>
      <c r="H87" t="s">
        <v>1247</v>
      </c>
      <c r="I87" t="s">
        <v>9</v>
      </c>
    </row>
    <row r="88" spans="1:9" customFormat="1" ht="21">
      <c r="A88" s="28" t="s">
        <v>528</v>
      </c>
      <c r="B88" s="28" t="s">
        <v>91</v>
      </c>
      <c r="C88" s="28" t="s">
        <v>273</v>
      </c>
      <c r="D88" s="28" t="s">
        <v>529</v>
      </c>
      <c r="E88" s="29">
        <v>4000000</v>
      </c>
      <c r="F88" s="29">
        <v>-3999999</v>
      </c>
      <c r="G88" s="29">
        <v>1</v>
      </c>
      <c r="H88" t="s">
        <v>1247</v>
      </c>
      <c r="I88" t="s">
        <v>9</v>
      </c>
    </row>
    <row r="89" spans="1:9" customFormat="1" ht="21">
      <c r="A89" s="28" t="s">
        <v>530</v>
      </c>
      <c r="B89" s="28" t="s">
        <v>91</v>
      </c>
      <c r="C89" s="28" t="s">
        <v>273</v>
      </c>
      <c r="D89" s="28" t="s">
        <v>531</v>
      </c>
      <c r="E89" s="29">
        <v>2700000</v>
      </c>
      <c r="F89" s="29">
        <v>-2699999</v>
      </c>
      <c r="G89" s="29">
        <v>1</v>
      </c>
      <c r="H89" t="s">
        <v>1247</v>
      </c>
      <c r="I89" t="s">
        <v>9</v>
      </c>
    </row>
    <row r="90" spans="1:9" customFormat="1" ht="21">
      <c r="A90" s="28" t="s">
        <v>530</v>
      </c>
      <c r="B90" s="28" t="s">
        <v>108</v>
      </c>
      <c r="C90" s="28" t="s">
        <v>273</v>
      </c>
      <c r="D90" s="28" t="s">
        <v>532</v>
      </c>
      <c r="E90" s="29">
        <v>238700</v>
      </c>
      <c r="F90" s="29">
        <v>-30933.15</v>
      </c>
      <c r="G90" s="29">
        <v>207766.85</v>
      </c>
      <c r="H90" t="s">
        <v>1247</v>
      </c>
      <c r="I90" t="s">
        <v>9</v>
      </c>
    </row>
    <row r="91" spans="1:9" customFormat="1" ht="21">
      <c r="A91" s="28" t="s">
        <v>530</v>
      </c>
      <c r="B91" s="28" t="s">
        <v>480</v>
      </c>
      <c r="C91" s="28" t="s">
        <v>273</v>
      </c>
      <c r="D91" s="28" t="s">
        <v>533</v>
      </c>
      <c r="E91" s="29">
        <v>226300</v>
      </c>
      <c r="F91" s="29">
        <v>-226299</v>
      </c>
      <c r="G91" s="29">
        <v>1</v>
      </c>
      <c r="H91" t="s">
        <v>1247</v>
      </c>
      <c r="I91" t="s">
        <v>9</v>
      </c>
    </row>
    <row r="92" spans="1:9" customFormat="1" ht="21">
      <c r="A92" s="28" t="s">
        <v>534</v>
      </c>
      <c r="B92" s="28" t="s">
        <v>91</v>
      </c>
      <c r="C92" s="28" t="s">
        <v>273</v>
      </c>
      <c r="D92" s="28" t="s">
        <v>535</v>
      </c>
      <c r="E92" s="29">
        <v>5695000</v>
      </c>
      <c r="F92" s="29">
        <v>-5694999</v>
      </c>
      <c r="G92" s="29">
        <v>1</v>
      </c>
      <c r="H92" t="s">
        <v>1247</v>
      </c>
      <c r="I92" t="s">
        <v>9</v>
      </c>
    </row>
    <row r="93" spans="1:9" customFormat="1" ht="21">
      <c r="A93" s="28" t="s">
        <v>536</v>
      </c>
      <c r="B93" s="28" t="s">
        <v>91</v>
      </c>
      <c r="C93" s="28" t="s">
        <v>273</v>
      </c>
      <c r="D93" s="28" t="s">
        <v>537</v>
      </c>
      <c r="E93" s="29">
        <v>2898000</v>
      </c>
      <c r="F93" s="29">
        <v>-1257388.1399999999</v>
      </c>
      <c r="G93" s="29">
        <v>1640611.86</v>
      </c>
      <c r="H93" t="s">
        <v>1247</v>
      </c>
      <c r="I93" t="s">
        <v>9</v>
      </c>
    </row>
    <row r="94" spans="1:9" customFormat="1" ht="21">
      <c r="A94" s="28" t="s">
        <v>536</v>
      </c>
      <c r="B94" s="28" t="s">
        <v>108</v>
      </c>
      <c r="C94" s="28" t="s">
        <v>273</v>
      </c>
      <c r="D94" s="28" t="s">
        <v>537</v>
      </c>
      <c r="E94" s="29">
        <v>16002000</v>
      </c>
      <c r="F94" s="29">
        <v>-16001999</v>
      </c>
      <c r="G94" s="29">
        <v>1</v>
      </c>
      <c r="H94" t="s">
        <v>1247</v>
      </c>
      <c r="I94" t="s">
        <v>9</v>
      </c>
    </row>
    <row r="95" spans="1:9" customFormat="1" ht="21">
      <c r="A95" s="28" t="s">
        <v>538</v>
      </c>
      <c r="B95" s="28" t="s">
        <v>91</v>
      </c>
      <c r="C95" s="28" t="s">
        <v>92</v>
      </c>
      <c r="D95" s="28" t="s">
        <v>539</v>
      </c>
      <c r="E95" s="29">
        <v>60277013.329999998</v>
      </c>
      <c r="F95" s="29">
        <v>-4896050.17</v>
      </c>
      <c r="G95" s="29">
        <v>55380963.159999996</v>
      </c>
      <c r="H95" t="s">
        <v>1247</v>
      </c>
      <c r="I95" t="s">
        <v>9</v>
      </c>
    </row>
    <row r="96" spans="1:9" customFormat="1" ht="21">
      <c r="A96" s="28" t="s">
        <v>538</v>
      </c>
      <c r="B96" s="28" t="s">
        <v>108</v>
      </c>
      <c r="C96" s="28" t="s">
        <v>92</v>
      </c>
      <c r="D96" s="28" t="s">
        <v>539</v>
      </c>
      <c r="E96" s="29">
        <v>21546986.670000002</v>
      </c>
      <c r="F96" s="29">
        <v>-21546985.670000002</v>
      </c>
      <c r="G96" s="29">
        <v>1</v>
      </c>
      <c r="H96" t="s">
        <v>1247</v>
      </c>
      <c r="I96" t="s">
        <v>9</v>
      </c>
    </row>
    <row r="97" spans="1:9" customFormat="1" ht="21">
      <c r="A97" s="28" t="s">
        <v>538</v>
      </c>
      <c r="B97" s="28" t="s">
        <v>480</v>
      </c>
      <c r="C97" s="28" t="s">
        <v>92</v>
      </c>
      <c r="D97" s="28" t="s">
        <v>540</v>
      </c>
      <c r="E97" s="29">
        <v>1714960</v>
      </c>
      <c r="F97" s="29">
        <v>-139299.04</v>
      </c>
      <c r="G97" s="29">
        <v>1575660.96</v>
      </c>
      <c r="H97" t="s">
        <v>1247</v>
      </c>
      <c r="I97" t="s">
        <v>9</v>
      </c>
    </row>
    <row r="98" spans="1:9" customFormat="1" ht="21">
      <c r="A98" s="28" t="s">
        <v>538</v>
      </c>
      <c r="B98" s="28" t="s">
        <v>482</v>
      </c>
      <c r="C98" s="28" t="s">
        <v>92</v>
      </c>
      <c r="D98" s="28" t="s">
        <v>540</v>
      </c>
      <c r="E98" s="29">
        <v>613040</v>
      </c>
      <c r="F98" s="29">
        <v>-613039</v>
      </c>
      <c r="G98" s="29">
        <v>1</v>
      </c>
      <c r="H98" t="s">
        <v>1247</v>
      </c>
      <c r="I98" t="s">
        <v>9</v>
      </c>
    </row>
    <row r="99" spans="1:9" customFormat="1" ht="21">
      <c r="A99" s="28" t="s">
        <v>538</v>
      </c>
      <c r="B99" s="28" t="s">
        <v>541</v>
      </c>
      <c r="C99" s="28" t="s">
        <v>92</v>
      </c>
      <c r="D99" s="28" t="s">
        <v>542</v>
      </c>
      <c r="E99" s="29">
        <v>1714960</v>
      </c>
      <c r="F99" s="29">
        <v>-139299.04</v>
      </c>
      <c r="G99" s="29">
        <v>1575660.96</v>
      </c>
      <c r="H99" t="s">
        <v>1247</v>
      </c>
      <c r="I99" t="s">
        <v>9</v>
      </c>
    </row>
    <row r="100" spans="1:9" customFormat="1" ht="21">
      <c r="A100" s="28" t="s">
        <v>538</v>
      </c>
      <c r="B100" s="28" t="s">
        <v>543</v>
      </c>
      <c r="C100" s="28" t="s">
        <v>92</v>
      </c>
      <c r="D100" s="28" t="s">
        <v>542</v>
      </c>
      <c r="E100" s="29">
        <v>613040</v>
      </c>
      <c r="F100" s="29">
        <v>-613039</v>
      </c>
      <c r="G100" s="29">
        <v>1</v>
      </c>
      <c r="H100" t="s">
        <v>1247</v>
      </c>
      <c r="I100" t="s">
        <v>9</v>
      </c>
    </row>
    <row r="101" spans="1:9" customFormat="1" ht="21">
      <c r="A101" s="28" t="s">
        <v>1248</v>
      </c>
      <c r="B101" s="28" t="s">
        <v>91</v>
      </c>
      <c r="C101" s="28" t="s">
        <v>273</v>
      </c>
      <c r="D101" s="28" t="s">
        <v>1249</v>
      </c>
      <c r="E101" s="29">
        <v>150000</v>
      </c>
      <c r="F101" s="29">
        <v>-149999</v>
      </c>
      <c r="G101" s="29">
        <v>1</v>
      </c>
      <c r="H101" t="s">
        <v>1247</v>
      </c>
      <c r="I101" t="s">
        <v>13</v>
      </c>
    </row>
    <row r="102" spans="1:9" customFormat="1" ht="21">
      <c r="A102" s="28" t="s">
        <v>1250</v>
      </c>
      <c r="B102" s="28" t="s">
        <v>91</v>
      </c>
      <c r="C102" s="28" t="s">
        <v>273</v>
      </c>
      <c r="D102" s="28" t="s">
        <v>1251</v>
      </c>
      <c r="E102" s="29">
        <v>16636.669999999998</v>
      </c>
      <c r="F102" s="29">
        <v>-4743.28</v>
      </c>
      <c r="G102" s="29">
        <v>11893.39</v>
      </c>
      <c r="H102" t="s">
        <v>1247</v>
      </c>
      <c r="I102" t="s">
        <v>13</v>
      </c>
    </row>
    <row r="103" spans="1:9" customFormat="1" ht="21">
      <c r="A103" s="28" t="s">
        <v>1250</v>
      </c>
      <c r="B103" s="28" t="s">
        <v>108</v>
      </c>
      <c r="C103" s="28" t="s">
        <v>273</v>
      </c>
      <c r="D103" s="28" t="s">
        <v>1251</v>
      </c>
      <c r="E103" s="29">
        <v>54663.33</v>
      </c>
      <c r="F103" s="29">
        <v>-54662.33</v>
      </c>
      <c r="G103" s="29">
        <v>1</v>
      </c>
      <c r="H103" t="s">
        <v>1247</v>
      </c>
      <c r="I103" t="s">
        <v>13</v>
      </c>
    </row>
    <row r="104" spans="1:9" customFormat="1" ht="21">
      <c r="A104" s="28" t="s">
        <v>1252</v>
      </c>
      <c r="B104" s="28" t="s">
        <v>91</v>
      </c>
      <c r="C104" s="28" t="s">
        <v>273</v>
      </c>
      <c r="D104" s="28" t="s">
        <v>1253</v>
      </c>
      <c r="E104" s="29">
        <v>62716.67</v>
      </c>
      <c r="F104" s="29">
        <v>-11808.01</v>
      </c>
      <c r="G104" s="29">
        <v>50908.66</v>
      </c>
      <c r="H104" t="s">
        <v>1247</v>
      </c>
      <c r="I104" t="s">
        <v>13</v>
      </c>
    </row>
    <row r="105" spans="1:9" customFormat="1" ht="21">
      <c r="A105" s="28" t="s">
        <v>1252</v>
      </c>
      <c r="B105" s="28" t="s">
        <v>108</v>
      </c>
      <c r="C105" s="28" t="s">
        <v>273</v>
      </c>
      <c r="D105" s="28" t="s">
        <v>1253</v>
      </c>
      <c r="E105" s="29">
        <v>114783.33</v>
      </c>
      <c r="F105" s="29">
        <v>-114782.33</v>
      </c>
      <c r="G105" s="29">
        <v>1</v>
      </c>
      <c r="H105" t="s">
        <v>1247</v>
      </c>
      <c r="I105" t="s">
        <v>13</v>
      </c>
    </row>
    <row r="106" spans="1:9" customFormat="1" ht="21">
      <c r="A106" s="28" t="s">
        <v>1254</v>
      </c>
      <c r="B106" s="28" t="s">
        <v>91</v>
      </c>
      <c r="C106" s="28" t="s">
        <v>273</v>
      </c>
      <c r="D106" s="28" t="s">
        <v>1255</v>
      </c>
      <c r="E106" s="29">
        <v>274900</v>
      </c>
      <c r="F106" s="29">
        <v>-274899</v>
      </c>
      <c r="G106" s="29">
        <v>1</v>
      </c>
      <c r="H106" t="s">
        <v>1247</v>
      </c>
      <c r="I106" t="s">
        <v>13</v>
      </c>
    </row>
    <row r="107" spans="1:9" customFormat="1" ht="21">
      <c r="A107" s="28" t="s">
        <v>1256</v>
      </c>
      <c r="B107" s="28" t="s">
        <v>91</v>
      </c>
      <c r="C107" s="28" t="s">
        <v>273</v>
      </c>
      <c r="D107" s="28" t="s">
        <v>1257</v>
      </c>
      <c r="E107" s="29">
        <v>5360000</v>
      </c>
      <c r="F107" s="29">
        <v>-5359999</v>
      </c>
      <c r="G107" s="29">
        <v>1</v>
      </c>
      <c r="H107" t="s">
        <v>1247</v>
      </c>
      <c r="I107" t="s">
        <v>15</v>
      </c>
    </row>
    <row r="108" spans="1:9" customFormat="1" ht="21">
      <c r="A108" s="28" t="s">
        <v>1258</v>
      </c>
      <c r="B108" s="28" t="s">
        <v>91</v>
      </c>
      <c r="C108" s="28" t="s">
        <v>273</v>
      </c>
      <c r="D108" s="28" t="s">
        <v>1259</v>
      </c>
      <c r="E108" s="29">
        <v>2350988</v>
      </c>
      <c r="F108" s="29">
        <v>-2350987</v>
      </c>
      <c r="G108" s="29">
        <v>1</v>
      </c>
      <c r="H108" t="s">
        <v>1247</v>
      </c>
      <c r="I108" t="s">
        <v>15</v>
      </c>
    </row>
    <row r="109" spans="1:9" customFormat="1" ht="21">
      <c r="A109" s="28" t="s">
        <v>1260</v>
      </c>
      <c r="B109" s="28" t="s">
        <v>91</v>
      </c>
      <c r="C109" s="28" t="s">
        <v>605</v>
      </c>
      <c r="D109" s="28" t="s">
        <v>1261</v>
      </c>
      <c r="E109" s="29">
        <v>2499800</v>
      </c>
      <c r="F109" s="29">
        <v>-2256843.2599999998</v>
      </c>
      <c r="G109" s="29">
        <v>242956.74</v>
      </c>
      <c r="H109" t="s">
        <v>1247</v>
      </c>
      <c r="I109" t="s">
        <v>675</v>
      </c>
    </row>
    <row r="110" spans="1:9" customFormat="1" ht="21">
      <c r="A110" s="28" t="s">
        <v>1262</v>
      </c>
      <c r="B110" s="28" t="s">
        <v>91</v>
      </c>
      <c r="C110" s="28" t="s">
        <v>1263</v>
      </c>
      <c r="D110" s="28" t="s">
        <v>1264</v>
      </c>
      <c r="E110" s="29">
        <v>1799800</v>
      </c>
      <c r="F110" s="29">
        <v>-1799799</v>
      </c>
      <c r="G110" s="29">
        <v>1</v>
      </c>
      <c r="H110" t="s">
        <v>1247</v>
      </c>
      <c r="I110" t="s">
        <v>675</v>
      </c>
    </row>
    <row r="111" spans="1:9" customFormat="1" ht="21">
      <c r="A111" s="28" t="s">
        <v>1265</v>
      </c>
      <c r="B111" s="28" t="s">
        <v>91</v>
      </c>
      <c r="C111" s="28" t="s">
        <v>605</v>
      </c>
      <c r="D111" s="28" t="s">
        <v>1266</v>
      </c>
      <c r="E111" s="29">
        <v>3505300</v>
      </c>
      <c r="F111" s="29">
        <v>-3505299</v>
      </c>
      <c r="G111" s="29">
        <v>1</v>
      </c>
      <c r="H111" t="s">
        <v>1247</v>
      </c>
      <c r="I111" t="s">
        <v>768</v>
      </c>
    </row>
    <row r="112" spans="1:9" customFormat="1" ht="21">
      <c r="A112" s="28" t="s">
        <v>1267</v>
      </c>
      <c r="B112" s="28" t="s">
        <v>91</v>
      </c>
      <c r="C112" s="28" t="s">
        <v>605</v>
      </c>
      <c r="D112" s="28" t="s">
        <v>1268</v>
      </c>
      <c r="E112" s="29">
        <v>3497300</v>
      </c>
      <c r="F112" s="29">
        <v>-3497299</v>
      </c>
      <c r="G112" s="29">
        <v>1</v>
      </c>
      <c r="H112" t="s">
        <v>1247</v>
      </c>
      <c r="I112" t="s">
        <v>768</v>
      </c>
    </row>
    <row r="113" spans="1:9" customFormat="1" ht="21">
      <c r="A113" s="28" t="s">
        <v>1269</v>
      </c>
      <c r="B113" s="28" t="s">
        <v>91</v>
      </c>
      <c r="C113" s="28" t="s">
        <v>774</v>
      </c>
      <c r="D113" s="28" t="s">
        <v>775</v>
      </c>
      <c r="E113" s="29">
        <v>1998400</v>
      </c>
      <c r="F113" s="29">
        <v>-497136.22</v>
      </c>
      <c r="G113" s="29">
        <v>1501263.78</v>
      </c>
      <c r="H113" t="s">
        <v>1247</v>
      </c>
      <c r="I113" t="s">
        <v>681</v>
      </c>
    </row>
    <row r="114" spans="1:9" customFormat="1" ht="21">
      <c r="A114" s="28" t="s">
        <v>1270</v>
      </c>
      <c r="B114" s="28" t="s">
        <v>91</v>
      </c>
      <c r="C114" s="28" t="s">
        <v>679</v>
      </c>
      <c r="D114" s="28" t="s">
        <v>680</v>
      </c>
      <c r="E114" s="29">
        <v>449663</v>
      </c>
      <c r="F114" s="29">
        <v>-103237.7</v>
      </c>
      <c r="G114" s="29">
        <v>346425.3</v>
      </c>
      <c r="H114" t="s">
        <v>1247</v>
      </c>
      <c r="I114" t="s">
        <v>681</v>
      </c>
    </row>
    <row r="115" spans="1:9" customFormat="1" ht="21">
      <c r="A115" s="28" t="s">
        <v>1271</v>
      </c>
      <c r="B115" s="28" t="s">
        <v>91</v>
      </c>
      <c r="C115" s="28" t="s">
        <v>679</v>
      </c>
      <c r="D115" s="28" t="s">
        <v>683</v>
      </c>
      <c r="E115" s="29">
        <v>49870</v>
      </c>
      <c r="F115" s="29">
        <v>-11449.61</v>
      </c>
      <c r="G115" s="29">
        <v>38420.39</v>
      </c>
      <c r="H115" t="s">
        <v>1247</v>
      </c>
      <c r="I115" t="s">
        <v>681</v>
      </c>
    </row>
    <row r="116" spans="1:9" customFormat="1" ht="21">
      <c r="A116" s="28" t="s">
        <v>1272</v>
      </c>
      <c r="B116" s="28" t="s">
        <v>91</v>
      </c>
      <c r="C116" s="28" t="s">
        <v>679</v>
      </c>
      <c r="D116" s="28" t="s">
        <v>683</v>
      </c>
      <c r="E116" s="29">
        <v>49870</v>
      </c>
      <c r="F116" s="29">
        <v>-11449.61</v>
      </c>
      <c r="G116" s="29">
        <v>38420.39</v>
      </c>
      <c r="H116" t="s">
        <v>1247</v>
      </c>
      <c r="I116" t="s">
        <v>681</v>
      </c>
    </row>
    <row r="117" spans="1:9" customFormat="1" ht="21">
      <c r="A117" s="28" t="s">
        <v>1273</v>
      </c>
      <c r="B117" s="28" t="s">
        <v>91</v>
      </c>
      <c r="C117" s="28" t="s">
        <v>679</v>
      </c>
      <c r="D117" s="28" t="s">
        <v>683</v>
      </c>
      <c r="E117" s="29">
        <v>49870</v>
      </c>
      <c r="F117" s="29">
        <v>-11449.61</v>
      </c>
      <c r="G117" s="29">
        <v>38420.39</v>
      </c>
      <c r="H117" t="s">
        <v>1247</v>
      </c>
      <c r="I117" t="s">
        <v>681</v>
      </c>
    </row>
    <row r="118" spans="1:9" customFormat="1" ht="21">
      <c r="A118" s="28" t="s">
        <v>1274</v>
      </c>
      <c r="B118" s="28" t="s">
        <v>91</v>
      </c>
      <c r="C118" s="28" t="s">
        <v>679</v>
      </c>
      <c r="D118" s="28" t="s">
        <v>683</v>
      </c>
      <c r="E118" s="29">
        <v>49870</v>
      </c>
      <c r="F118" s="29">
        <v>-11449.61</v>
      </c>
      <c r="G118" s="29">
        <v>38420.39</v>
      </c>
      <c r="H118" t="s">
        <v>1247</v>
      </c>
      <c r="I118" t="s">
        <v>681</v>
      </c>
    </row>
    <row r="119" spans="1:9" customFormat="1" ht="21">
      <c r="A119" s="28" t="s">
        <v>1275</v>
      </c>
      <c r="B119" s="28" t="s">
        <v>91</v>
      </c>
      <c r="C119" s="28" t="s">
        <v>686</v>
      </c>
      <c r="D119" s="28" t="s">
        <v>687</v>
      </c>
      <c r="E119" s="29">
        <v>349650</v>
      </c>
      <c r="F119" s="29">
        <v>-91004.800000000003</v>
      </c>
      <c r="G119" s="29">
        <v>258645.2</v>
      </c>
      <c r="H119" t="s">
        <v>1247</v>
      </c>
      <c r="I119" t="s">
        <v>681</v>
      </c>
    </row>
    <row r="120" spans="1:9" customFormat="1" ht="21">
      <c r="A120" s="28" t="s">
        <v>1276</v>
      </c>
      <c r="B120" s="28" t="s">
        <v>91</v>
      </c>
      <c r="C120" s="28" t="s">
        <v>686</v>
      </c>
      <c r="D120" s="28" t="s">
        <v>687</v>
      </c>
      <c r="E120" s="29">
        <v>349650</v>
      </c>
      <c r="F120" s="29">
        <v>-91004.800000000003</v>
      </c>
      <c r="G120" s="29">
        <v>258645.2</v>
      </c>
      <c r="H120" t="s">
        <v>1247</v>
      </c>
      <c r="I120" t="s">
        <v>681</v>
      </c>
    </row>
    <row r="121" spans="1:9" customFormat="1" ht="21">
      <c r="A121" s="28" t="s">
        <v>1277</v>
      </c>
      <c r="B121" s="28" t="s">
        <v>91</v>
      </c>
      <c r="C121" s="28" t="s">
        <v>605</v>
      </c>
      <c r="D121" s="28" t="s">
        <v>1278</v>
      </c>
      <c r="E121" s="29">
        <v>1449000</v>
      </c>
      <c r="F121" s="29">
        <v>-396192.33</v>
      </c>
      <c r="G121" s="29">
        <v>1052807.67</v>
      </c>
      <c r="H121" t="s">
        <v>1247</v>
      </c>
      <c r="I121" t="s">
        <v>681</v>
      </c>
    </row>
    <row r="122" spans="1:9" customFormat="1" ht="21">
      <c r="A122" s="28" t="s">
        <v>1279</v>
      </c>
      <c r="B122" s="28" t="s">
        <v>91</v>
      </c>
      <c r="C122" s="28" t="s">
        <v>605</v>
      </c>
      <c r="D122" s="28" t="s">
        <v>1280</v>
      </c>
      <c r="E122" s="29">
        <v>330000</v>
      </c>
      <c r="F122" s="29">
        <v>-312224.26</v>
      </c>
      <c r="G122" s="29">
        <v>17775.740000000002</v>
      </c>
      <c r="H122" t="s">
        <v>1247</v>
      </c>
      <c r="I122" t="s">
        <v>681</v>
      </c>
    </row>
    <row r="123" spans="1:9" customFormat="1" ht="21">
      <c r="A123" s="28" t="s">
        <v>1281</v>
      </c>
      <c r="B123" s="28" t="s">
        <v>91</v>
      </c>
      <c r="C123" s="28" t="s">
        <v>605</v>
      </c>
      <c r="D123" s="28" t="s">
        <v>1282</v>
      </c>
      <c r="E123" s="29">
        <v>81180</v>
      </c>
      <c r="F123" s="29">
        <v>-75466.2</v>
      </c>
      <c r="G123" s="29">
        <v>5713.8</v>
      </c>
      <c r="H123" t="s">
        <v>1247</v>
      </c>
      <c r="I123" t="s">
        <v>681</v>
      </c>
    </row>
    <row r="124" spans="1:9" customFormat="1" ht="21">
      <c r="A124" s="28" t="s">
        <v>1283</v>
      </c>
      <c r="B124" s="28" t="s">
        <v>91</v>
      </c>
      <c r="C124" s="28" t="s">
        <v>605</v>
      </c>
      <c r="D124" s="28" t="s">
        <v>1114</v>
      </c>
      <c r="E124" s="29">
        <v>45475</v>
      </c>
      <c r="F124" s="29">
        <v>-41681.230000000003</v>
      </c>
      <c r="G124" s="29">
        <v>3793.77</v>
      </c>
      <c r="H124" t="s">
        <v>1247</v>
      </c>
      <c r="I124" t="s">
        <v>681</v>
      </c>
    </row>
    <row r="125" spans="1:9" customFormat="1" ht="21">
      <c r="A125" s="28" t="s">
        <v>1284</v>
      </c>
      <c r="B125" s="28" t="s">
        <v>91</v>
      </c>
      <c r="C125" s="28" t="s">
        <v>605</v>
      </c>
      <c r="D125" s="28" t="s">
        <v>1114</v>
      </c>
      <c r="E125" s="29">
        <v>45475</v>
      </c>
      <c r="F125" s="29">
        <v>-41681.230000000003</v>
      </c>
      <c r="G125" s="29">
        <v>3793.77</v>
      </c>
      <c r="H125" t="s">
        <v>1247</v>
      </c>
      <c r="I125" t="s">
        <v>681</v>
      </c>
    </row>
    <row r="126" spans="1:9" customFormat="1" ht="21">
      <c r="A126" s="28" t="s">
        <v>1285</v>
      </c>
      <c r="B126" s="28" t="s">
        <v>91</v>
      </c>
      <c r="C126" s="28" t="s">
        <v>605</v>
      </c>
      <c r="D126" s="28" t="s">
        <v>1114</v>
      </c>
      <c r="E126" s="29">
        <v>45475</v>
      </c>
      <c r="F126" s="29">
        <v>-41681.230000000003</v>
      </c>
      <c r="G126" s="29">
        <v>3793.77</v>
      </c>
      <c r="H126" t="s">
        <v>1247</v>
      </c>
      <c r="I126" t="s">
        <v>681</v>
      </c>
    </row>
    <row r="127" spans="1:9" customFormat="1" ht="21">
      <c r="A127" s="28" t="s">
        <v>1286</v>
      </c>
      <c r="B127" s="28" t="s">
        <v>91</v>
      </c>
      <c r="C127" s="28" t="s">
        <v>605</v>
      </c>
      <c r="D127" s="28" t="s">
        <v>1114</v>
      </c>
      <c r="E127" s="29">
        <v>45475</v>
      </c>
      <c r="F127" s="29">
        <v>-41681.230000000003</v>
      </c>
      <c r="G127" s="29">
        <v>3793.77</v>
      </c>
      <c r="H127" t="s">
        <v>1247</v>
      </c>
      <c r="I127" t="s">
        <v>681</v>
      </c>
    </row>
    <row r="128" spans="1:9" customFormat="1" ht="21">
      <c r="A128" s="28" t="s">
        <v>1287</v>
      </c>
      <c r="B128" s="28" t="s">
        <v>91</v>
      </c>
      <c r="C128" s="28" t="s">
        <v>605</v>
      </c>
      <c r="D128" s="28" t="s">
        <v>1114</v>
      </c>
      <c r="E128" s="29">
        <v>45475</v>
      </c>
      <c r="F128" s="29">
        <v>-41681.230000000003</v>
      </c>
      <c r="G128" s="29">
        <v>3793.77</v>
      </c>
      <c r="H128" t="s">
        <v>1247</v>
      </c>
      <c r="I128" t="s">
        <v>681</v>
      </c>
    </row>
    <row r="129" spans="1:9" customFormat="1" ht="21">
      <c r="A129" s="28" t="s">
        <v>1288</v>
      </c>
      <c r="B129" s="28" t="s">
        <v>91</v>
      </c>
      <c r="C129" s="28" t="s">
        <v>605</v>
      </c>
      <c r="D129" s="28" t="s">
        <v>1114</v>
      </c>
      <c r="E129" s="29">
        <v>45475</v>
      </c>
      <c r="F129" s="29">
        <v>-41681.230000000003</v>
      </c>
      <c r="G129" s="29">
        <v>3793.77</v>
      </c>
      <c r="H129" t="s">
        <v>1247</v>
      </c>
      <c r="I129" t="s">
        <v>681</v>
      </c>
    </row>
    <row r="130" spans="1:9" customFormat="1" ht="21">
      <c r="A130" s="28" t="s">
        <v>1289</v>
      </c>
      <c r="B130" s="28" t="s">
        <v>91</v>
      </c>
      <c r="C130" s="28" t="s">
        <v>605</v>
      </c>
      <c r="D130" s="28" t="s">
        <v>1114</v>
      </c>
      <c r="E130" s="29">
        <v>45475</v>
      </c>
      <c r="F130" s="29">
        <v>-41681.230000000003</v>
      </c>
      <c r="G130" s="29">
        <v>3793.77</v>
      </c>
      <c r="H130" t="s">
        <v>1247</v>
      </c>
      <c r="I130" t="s">
        <v>681</v>
      </c>
    </row>
    <row r="131" spans="1:9" customFormat="1" ht="21">
      <c r="A131" s="28" t="s">
        <v>1290</v>
      </c>
      <c r="B131" s="28" t="s">
        <v>91</v>
      </c>
      <c r="C131" s="28" t="s">
        <v>605</v>
      </c>
      <c r="D131" s="28" t="s">
        <v>1114</v>
      </c>
      <c r="E131" s="29">
        <v>45475</v>
      </c>
      <c r="F131" s="29">
        <v>-41681.230000000003</v>
      </c>
      <c r="G131" s="29">
        <v>3793.77</v>
      </c>
      <c r="H131" t="s">
        <v>1247</v>
      </c>
      <c r="I131" t="s">
        <v>681</v>
      </c>
    </row>
    <row r="132" spans="1:9" customFormat="1" ht="21">
      <c r="A132" s="28" t="s">
        <v>1291</v>
      </c>
      <c r="B132" s="28" t="s">
        <v>91</v>
      </c>
      <c r="C132" s="28" t="s">
        <v>605</v>
      </c>
      <c r="D132" s="28" t="s">
        <v>1114</v>
      </c>
      <c r="E132" s="29">
        <v>45475</v>
      </c>
      <c r="F132" s="29">
        <v>-41681.230000000003</v>
      </c>
      <c r="G132" s="29">
        <v>3793.77</v>
      </c>
      <c r="H132" t="s">
        <v>1247</v>
      </c>
      <c r="I132" t="s">
        <v>681</v>
      </c>
    </row>
    <row r="133" spans="1:9" customFormat="1" ht="21">
      <c r="A133" s="28" t="s">
        <v>1292</v>
      </c>
      <c r="B133" s="28" t="s">
        <v>91</v>
      </c>
      <c r="C133" s="28" t="s">
        <v>605</v>
      </c>
      <c r="D133" s="28" t="s">
        <v>1114</v>
      </c>
      <c r="E133" s="29">
        <v>45475</v>
      </c>
      <c r="F133" s="29">
        <v>-41681.230000000003</v>
      </c>
      <c r="G133" s="29">
        <v>3793.77</v>
      </c>
      <c r="H133" t="s">
        <v>1247</v>
      </c>
      <c r="I133" t="s">
        <v>681</v>
      </c>
    </row>
    <row r="134" spans="1:9" customFormat="1" ht="21">
      <c r="A134" s="28" t="s">
        <v>1293</v>
      </c>
      <c r="B134" s="28" t="s">
        <v>91</v>
      </c>
      <c r="C134" s="28" t="s">
        <v>605</v>
      </c>
      <c r="D134" s="28" t="s">
        <v>1294</v>
      </c>
      <c r="E134" s="29">
        <v>350000</v>
      </c>
      <c r="F134" s="29">
        <v>-234719.42</v>
      </c>
      <c r="G134" s="29">
        <v>115280.58</v>
      </c>
      <c r="H134" t="s">
        <v>1247</v>
      </c>
      <c r="I134" t="s">
        <v>681</v>
      </c>
    </row>
    <row r="135" spans="1:9" customFormat="1" ht="21">
      <c r="A135" s="28" t="s">
        <v>1295</v>
      </c>
      <c r="B135" s="28" t="s">
        <v>91</v>
      </c>
      <c r="C135" s="28" t="s">
        <v>605</v>
      </c>
      <c r="D135" s="28" t="s">
        <v>1296</v>
      </c>
      <c r="E135" s="29">
        <v>810000</v>
      </c>
      <c r="F135" s="29">
        <v>-809999</v>
      </c>
      <c r="G135" s="29">
        <v>1</v>
      </c>
      <c r="H135" t="s">
        <v>1247</v>
      </c>
      <c r="I135" t="s">
        <v>681</v>
      </c>
    </row>
    <row r="136" spans="1:9" customFormat="1" ht="21">
      <c r="A136" s="28" t="s">
        <v>1297</v>
      </c>
      <c r="B136" s="28" t="s">
        <v>91</v>
      </c>
      <c r="C136" s="28" t="s">
        <v>605</v>
      </c>
      <c r="D136" s="28" t="s">
        <v>1298</v>
      </c>
      <c r="E136" s="29">
        <v>2440000</v>
      </c>
      <c r="F136" s="29">
        <v>-2439999</v>
      </c>
      <c r="G136" s="29">
        <v>1</v>
      </c>
      <c r="H136" t="s">
        <v>1247</v>
      </c>
      <c r="I136" t="s">
        <v>681</v>
      </c>
    </row>
    <row r="137" spans="1:9" customFormat="1" ht="21">
      <c r="A137" s="28" t="s">
        <v>1299</v>
      </c>
      <c r="B137" s="28" t="s">
        <v>91</v>
      </c>
      <c r="C137" s="28" t="s">
        <v>605</v>
      </c>
      <c r="D137" s="28" t="s">
        <v>1300</v>
      </c>
      <c r="E137" s="29">
        <v>712000</v>
      </c>
      <c r="F137" s="29">
        <v>-711999</v>
      </c>
      <c r="G137" s="29">
        <v>1</v>
      </c>
      <c r="H137" t="s">
        <v>1247</v>
      </c>
      <c r="I137" t="s">
        <v>681</v>
      </c>
    </row>
    <row r="138" spans="1:9" customFormat="1" ht="21">
      <c r="A138" s="28" t="s">
        <v>1301</v>
      </c>
      <c r="B138" s="28" t="s">
        <v>91</v>
      </c>
      <c r="C138" s="28" t="s">
        <v>605</v>
      </c>
      <c r="D138" s="28" t="s">
        <v>1302</v>
      </c>
      <c r="E138" s="29">
        <v>1690000</v>
      </c>
      <c r="F138" s="29">
        <v>-1490762.29</v>
      </c>
      <c r="G138" s="29">
        <v>199237.71</v>
      </c>
      <c r="H138" t="s">
        <v>1247</v>
      </c>
      <c r="I138" t="s">
        <v>681</v>
      </c>
    </row>
    <row r="139" spans="1:9" customFormat="1" ht="21">
      <c r="A139" s="28" t="s">
        <v>1303</v>
      </c>
      <c r="B139" s="28" t="s">
        <v>91</v>
      </c>
      <c r="C139" s="28" t="s">
        <v>605</v>
      </c>
      <c r="D139" s="28" t="s">
        <v>1304</v>
      </c>
      <c r="E139" s="29">
        <v>1156400</v>
      </c>
      <c r="F139" s="29">
        <v>-1156399</v>
      </c>
      <c r="G139" s="29">
        <v>1</v>
      </c>
      <c r="H139" t="s">
        <v>1247</v>
      </c>
      <c r="I139" t="s">
        <v>681</v>
      </c>
    </row>
    <row r="140" spans="1:9" customFormat="1" ht="21">
      <c r="A140" s="28" t="s">
        <v>1305</v>
      </c>
      <c r="B140" s="28" t="s">
        <v>91</v>
      </c>
      <c r="C140" s="28" t="s">
        <v>605</v>
      </c>
      <c r="D140" s="28" t="s">
        <v>1304</v>
      </c>
      <c r="E140" s="29">
        <v>1335360</v>
      </c>
      <c r="F140" s="29">
        <v>-1335359</v>
      </c>
      <c r="G140" s="29">
        <v>1</v>
      </c>
      <c r="H140" t="s">
        <v>1247</v>
      </c>
      <c r="I140" t="s">
        <v>681</v>
      </c>
    </row>
    <row r="141" spans="1:9" customFormat="1" ht="21">
      <c r="A141" s="28" t="s">
        <v>1306</v>
      </c>
      <c r="B141" s="28" t="s">
        <v>91</v>
      </c>
      <c r="C141" s="28" t="s">
        <v>605</v>
      </c>
      <c r="D141" s="28" t="s">
        <v>816</v>
      </c>
      <c r="E141" s="29">
        <v>798000</v>
      </c>
      <c r="F141" s="29">
        <v>-602811.56000000006</v>
      </c>
      <c r="G141" s="29">
        <v>195188.44</v>
      </c>
      <c r="H141" t="s">
        <v>1247</v>
      </c>
      <c r="I141" t="s">
        <v>681</v>
      </c>
    </row>
    <row r="142" spans="1:9" customFormat="1" ht="21">
      <c r="A142" s="28" t="s">
        <v>1307</v>
      </c>
      <c r="B142" s="28" t="s">
        <v>91</v>
      </c>
      <c r="C142" s="28" t="s">
        <v>605</v>
      </c>
      <c r="D142" s="28" t="s">
        <v>816</v>
      </c>
      <c r="E142" s="29">
        <v>799000</v>
      </c>
      <c r="F142" s="29">
        <v>-319930.59000000003</v>
      </c>
      <c r="G142" s="29">
        <v>479069.41</v>
      </c>
      <c r="H142" t="s">
        <v>1247</v>
      </c>
      <c r="I142" t="s">
        <v>681</v>
      </c>
    </row>
    <row r="143" spans="1:9" customFormat="1" ht="21">
      <c r="A143" s="28" t="s">
        <v>1308</v>
      </c>
      <c r="B143" s="28" t="s">
        <v>91</v>
      </c>
      <c r="C143" s="28" t="s">
        <v>605</v>
      </c>
      <c r="D143" s="28" t="s">
        <v>816</v>
      </c>
      <c r="E143" s="29">
        <v>799000</v>
      </c>
      <c r="F143" s="29">
        <v>-319930.59000000003</v>
      </c>
      <c r="G143" s="29">
        <v>479069.41</v>
      </c>
      <c r="H143" t="s">
        <v>1247</v>
      </c>
      <c r="I143" t="s">
        <v>681</v>
      </c>
    </row>
    <row r="144" spans="1:9" customFormat="1" ht="21">
      <c r="A144" s="28" t="s">
        <v>1309</v>
      </c>
      <c r="B144" s="28" t="s">
        <v>91</v>
      </c>
      <c r="C144" s="28" t="s">
        <v>605</v>
      </c>
      <c r="D144" s="28" t="s">
        <v>816</v>
      </c>
      <c r="E144" s="29">
        <v>448500</v>
      </c>
      <c r="F144" s="29">
        <v>-430697.43</v>
      </c>
      <c r="G144" s="29">
        <v>17802.57</v>
      </c>
      <c r="H144" t="s">
        <v>1247</v>
      </c>
      <c r="I144" t="s">
        <v>681</v>
      </c>
    </row>
    <row r="145" spans="1:9" customFormat="1" ht="21">
      <c r="A145" s="28" t="s">
        <v>1310</v>
      </c>
      <c r="B145" s="28" t="s">
        <v>91</v>
      </c>
      <c r="C145" s="28" t="s">
        <v>605</v>
      </c>
      <c r="D145" s="28" t="s">
        <v>816</v>
      </c>
      <c r="E145" s="29">
        <v>449000</v>
      </c>
      <c r="F145" s="29">
        <v>-346438.76</v>
      </c>
      <c r="G145" s="29">
        <v>102561.24</v>
      </c>
      <c r="H145" t="s">
        <v>1247</v>
      </c>
      <c r="I145" t="s">
        <v>681</v>
      </c>
    </row>
    <row r="146" spans="1:9" customFormat="1" ht="21">
      <c r="A146" s="28" t="s">
        <v>1311</v>
      </c>
      <c r="B146" s="28" t="s">
        <v>91</v>
      </c>
      <c r="C146" s="28" t="s">
        <v>605</v>
      </c>
      <c r="D146" s="28" t="s">
        <v>1312</v>
      </c>
      <c r="E146" s="29">
        <v>188888</v>
      </c>
      <c r="F146" s="29">
        <v>-178972.66</v>
      </c>
      <c r="G146" s="29">
        <v>9915.34</v>
      </c>
      <c r="H146" t="s">
        <v>1247</v>
      </c>
      <c r="I146" t="s">
        <v>681</v>
      </c>
    </row>
    <row r="147" spans="1:9" customFormat="1" ht="21">
      <c r="A147" s="28" t="s">
        <v>1313</v>
      </c>
      <c r="B147" s="28" t="s">
        <v>91</v>
      </c>
      <c r="C147" s="28" t="s">
        <v>605</v>
      </c>
      <c r="D147" s="28" t="s">
        <v>1105</v>
      </c>
      <c r="E147" s="29">
        <v>898000</v>
      </c>
      <c r="F147" s="29">
        <v>-897999</v>
      </c>
      <c r="G147" s="29">
        <v>1</v>
      </c>
      <c r="H147" t="s">
        <v>1247</v>
      </c>
      <c r="I147" t="s">
        <v>681</v>
      </c>
    </row>
    <row r="148" spans="1:9" customFormat="1" ht="21">
      <c r="A148" s="28" t="s">
        <v>1314</v>
      </c>
      <c r="B148" s="28" t="s">
        <v>91</v>
      </c>
      <c r="C148" s="28" t="s">
        <v>605</v>
      </c>
      <c r="D148" s="28" t="s">
        <v>875</v>
      </c>
      <c r="E148" s="29">
        <v>337570</v>
      </c>
      <c r="F148" s="29">
        <v>-337569</v>
      </c>
      <c r="G148" s="29">
        <v>1</v>
      </c>
      <c r="H148" t="s">
        <v>1247</v>
      </c>
      <c r="I148" t="s">
        <v>681</v>
      </c>
    </row>
    <row r="149" spans="1:9" customFormat="1" ht="21">
      <c r="A149" s="28" t="s">
        <v>1315</v>
      </c>
      <c r="B149" s="28" t="s">
        <v>91</v>
      </c>
      <c r="C149" s="28" t="s">
        <v>605</v>
      </c>
      <c r="D149" s="28" t="s">
        <v>1316</v>
      </c>
      <c r="E149" s="29">
        <v>730000</v>
      </c>
      <c r="F149" s="29">
        <v>-729999</v>
      </c>
      <c r="G149" s="29">
        <v>1</v>
      </c>
      <c r="H149" t="s">
        <v>1247</v>
      </c>
      <c r="I149" t="s">
        <v>681</v>
      </c>
    </row>
    <row r="150" spans="1:9" customFormat="1" ht="21">
      <c r="A150" s="28" t="s">
        <v>1317</v>
      </c>
      <c r="B150" s="28" t="s">
        <v>91</v>
      </c>
      <c r="C150" s="28" t="s">
        <v>605</v>
      </c>
      <c r="D150" s="28" t="s">
        <v>1312</v>
      </c>
      <c r="E150" s="29">
        <v>188888</v>
      </c>
      <c r="F150" s="29">
        <v>-178972.66</v>
      </c>
      <c r="G150" s="29">
        <v>9915.34</v>
      </c>
      <c r="H150" t="s">
        <v>1247</v>
      </c>
      <c r="I150" t="s">
        <v>681</v>
      </c>
    </row>
    <row r="151" spans="1:9" customFormat="1" ht="21">
      <c r="A151" s="28" t="s">
        <v>1318</v>
      </c>
      <c r="B151" s="28" t="s">
        <v>91</v>
      </c>
      <c r="C151" s="28" t="s">
        <v>605</v>
      </c>
      <c r="D151" s="28" t="s">
        <v>1319</v>
      </c>
      <c r="E151" s="29">
        <v>484000</v>
      </c>
      <c r="F151" s="29">
        <v>-483999</v>
      </c>
      <c r="G151" s="29">
        <v>1</v>
      </c>
      <c r="H151" t="s">
        <v>1247</v>
      </c>
      <c r="I151" t="s">
        <v>681</v>
      </c>
    </row>
    <row r="152" spans="1:9" customFormat="1" ht="21">
      <c r="A152" s="28" t="s">
        <v>1320</v>
      </c>
      <c r="B152" s="28" t="s">
        <v>91</v>
      </c>
      <c r="C152" s="28" t="s">
        <v>605</v>
      </c>
      <c r="D152" s="28" t="s">
        <v>1321</v>
      </c>
      <c r="E152" s="29">
        <v>1448000</v>
      </c>
      <c r="F152" s="29">
        <v>-1447999</v>
      </c>
      <c r="G152" s="29">
        <v>1</v>
      </c>
      <c r="H152" t="s">
        <v>1247</v>
      </c>
      <c r="I152" t="s">
        <v>681</v>
      </c>
    </row>
    <row r="153" spans="1:9" customFormat="1" ht="21">
      <c r="A153" s="28" t="s">
        <v>1322</v>
      </c>
      <c r="B153" s="28" t="s">
        <v>91</v>
      </c>
      <c r="C153" s="28" t="s">
        <v>605</v>
      </c>
      <c r="D153" s="28" t="s">
        <v>1323</v>
      </c>
      <c r="E153" s="29">
        <v>519500</v>
      </c>
      <c r="F153" s="29">
        <v>-519499</v>
      </c>
      <c r="G153" s="29">
        <v>1</v>
      </c>
      <c r="H153" t="s">
        <v>1247</v>
      </c>
      <c r="I153" t="s">
        <v>681</v>
      </c>
    </row>
    <row r="154" spans="1:9" customFormat="1" ht="21">
      <c r="A154" s="28" t="s">
        <v>1324</v>
      </c>
      <c r="B154" s="28" t="s">
        <v>91</v>
      </c>
      <c r="C154" s="28" t="s">
        <v>605</v>
      </c>
      <c r="D154" s="28" t="s">
        <v>788</v>
      </c>
      <c r="E154" s="29">
        <v>1750000</v>
      </c>
      <c r="F154" s="29">
        <v>-1749999</v>
      </c>
      <c r="G154" s="29">
        <v>1</v>
      </c>
      <c r="H154" t="s">
        <v>1247</v>
      </c>
      <c r="I154" t="s">
        <v>681</v>
      </c>
    </row>
    <row r="155" spans="1:9" customFormat="1" ht="21">
      <c r="A155" s="28" t="s">
        <v>1325</v>
      </c>
      <c r="B155" s="28" t="s">
        <v>91</v>
      </c>
      <c r="C155" s="28" t="s">
        <v>605</v>
      </c>
      <c r="D155" s="28" t="s">
        <v>1326</v>
      </c>
      <c r="E155" s="29">
        <v>725000</v>
      </c>
      <c r="F155" s="29">
        <v>-724999</v>
      </c>
      <c r="G155" s="29">
        <v>1</v>
      </c>
      <c r="H155" t="s">
        <v>1247</v>
      </c>
      <c r="I155" t="s">
        <v>681</v>
      </c>
    </row>
    <row r="156" spans="1:9" customFormat="1" ht="21">
      <c r="A156" s="28" t="s">
        <v>1327</v>
      </c>
      <c r="B156" s="28" t="s">
        <v>91</v>
      </c>
      <c r="C156" s="28" t="s">
        <v>605</v>
      </c>
      <c r="D156" s="28" t="s">
        <v>1124</v>
      </c>
      <c r="E156" s="29">
        <v>2130000</v>
      </c>
      <c r="F156" s="29">
        <v>-2129999</v>
      </c>
      <c r="G156" s="29">
        <v>1</v>
      </c>
      <c r="H156" t="s">
        <v>1247</v>
      </c>
      <c r="I156" t="s">
        <v>681</v>
      </c>
    </row>
    <row r="157" spans="1:9" customFormat="1" ht="21">
      <c r="A157" s="28" t="s">
        <v>1328</v>
      </c>
      <c r="B157" s="28" t="s">
        <v>91</v>
      </c>
      <c r="C157" s="28" t="s">
        <v>605</v>
      </c>
      <c r="D157" s="28" t="s">
        <v>1329</v>
      </c>
      <c r="E157" s="29">
        <v>870000</v>
      </c>
      <c r="F157" s="29">
        <v>-869999</v>
      </c>
      <c r="G157" s="29">
        <v>1</v>
      </c>
      <c r="H157" t="s">
        <v>1247</v>
      </c>
      <c r="I157" t="s">
        <v>681</v>
      </c>
    </row>
    <row r="158" spans="1:9" customFormat="1" ht="21">
      <c r="A158" s="28" t="s">
        <v>1330</v>
      </c>
      <c r="B158" s="28" t="s">
        <v>91</v>
      </c>
      <c r="C158" s="28" t="s">
        <v>605</v>
      </c>
      <c r="D158" s="28" t="s">
        <v>816</v>
      </c>
      <c r="E158" s="29">
        <v>450000</v>
      </c>
      <c r="F158" s="29">
        <v>-449999</v>
      </c>
      <c r="G158" s="29">
        <v>1</v>
      </c>
      <c r="H158" t="s">
        <v>1247</v>
      </c>
      <c r="I158" t="s">
        <v>681</v>
      </c>
    </row>
    <row r="159" spans="1:9" customFormat="1" ht="21">
      <c r="A159" s="28" t="s">
        <v>1331</v>
      </c>
      <c r="B159" s="28" t="s">
        <v>91</v>
      </c>
      <c r="C159" s="28" t="s">
        <v>605</v>
      </c>
      <c r="D159" s="28" t="s">
        <v>1332</v>
      </c>
      <c r="E159" s="29">
        <v>1030000</v>
      </c>
      <c r="F159" s="29">
        <v>-1029999</v>
      </c>
      <c r="G159" s="29">
        <v>1</v>
      </c>
      <c r="H159" t="s">
        <v>1247</v>
      </c>
      <c r="I159" t="s">
        <v>681</v>
      </c>
    </row>
    <row r="160" spans="1:9" customFormat="1" ht="21">
      <c r="A160" s="28" t="s">
        <v>1333</v>
      </c>
      <c r="B160" s="28" t="s">
        <v>91</v>
      </c>
      <c r="C160" s="28" t="s">
        <v>605</v>
      </c>
      <c r="D160" s="28" t="s">
        <v>816</v>
      </c>
      <c r="E160" s="29">
        <v>770000</v>
      </c>
      <c r="F160" s="29">
        <v>-769999</v>
      </c>
      <c r="G160" s="29">
        <v>1</v>
      </c>
      <c r="H160" t="s">
        <v>1247</v>
      </c>
      <c r="I160" t="s">
        <v>681</v>
      </c>
    </row>
    <row r="161" spans="1:9" customFormat="1" ht="21">
      <c r="A161" s="28" t="s">
        <v>1334</v>
      </c>
      <c r="B161" s="28" t="s">
        <v>91</v>
      </c>
      <c r="C161" s="28" t="s">
        <v>605</v>
      </c>
      <c r="D161" s="28" t="s">
        <v>1335</v>
      </c>
      <c r="E161" s="29">
        <v>74000</v>
      </c>
      <c r="F161" s="29">
        <v>-73999</v>
      </c>
      <c r="G161" s="29">
        <v>1</v>
      </c>
      <c r="H161" t="s">
        <v>1247</v>
      </c>
      <c r="I161" t="s">
        <v>681</v>
      </c>
    </row>
    <row r="162" spans="1:9" customFormat="1" ht="21">
      <c r="A162" s="28" t="s">
        <v>1336</v>
      </c>
      <c r="B162" s="28" t="s">
        <v>91</v>
      </c>
      <c r="C162" s="28" t="s">
        <v>605</v>
      </c>
      <c r="D162" s="28" t="s">
        <v>1337</v>
      </c>
      <c r="E162" s="29">
        <v>86000</v>
      </c>
      <c r="F162" s="29">
        <v>-85999</v>
      </c>
      <c r="G162" s="29">
        <v>1</v>
      </c>
      <c r="H162" t="s">
        <v>1247</v>
      </c>
      <c r="I162" t="s">
        <v>681</v>
      </c>
    </row>
    <row r="163" spans="1:9" customFormat="1" ht="21">
      <c r="A163" s="28" t="s">
        <v>1338</v>
      </c>
      <c r="B163" s="28" t="s">
        <v>91</v>
      </c>
      <c r="C163" s="28" t="s">
        <v>605</v>
      </c>
      <c r="D163" s="28" t="s">
        <v>1339</v>
      </c>
      <c r="E163" s="29">
        <v>50000</v>
      </c>
      <c r="F163" s="29">
        <v>-49999</v>
      </c>
      <c r="G163" s="29">
        <v>1</v>
      </c>
      <c r="H163" t="s">
        <v>1247</v>
      </c>
      <c r="I163" t="s">
        <v>681</v>
      </c>
    </row>
    <row r="164" spans="1:9" customFormat="1" ht="21">
      <c r="A164" s="28" t="s">
        <v>1340</v>
      </c>
      <c r="B164" s="28" t="s">
        <v>91</v>
      </c>
      <c r="C164" s="28" t="s">
        <v>605</v>
      </c>
      <c r="D164" s="28" t="s">
        <v>1341</v>
      </c>
      <c r="E164" s="29">
        <v>38000</v>
      </c>
      <c r="F164" s="29">
        <v>-37999</v>
      </c>
      <c r="G164" s="29">
        <v>1</v>
      </c>
      <c r="H164" t="s">
        <v>1247</v>
      </c>
      <c r="I164" t="s">
        <v>681</v>
      </c>
    </row>
    <row r="165" spans="1:9" customFormat="1" ht="21">
      <c r="A165" s="28" t="s">
        <v>1342</v>
      </c>
      <c r="B165" s="28" t="s">
        <v>91</v>
      </c>
      <c r="C165" s="28" t="s">
        <v>605</v>
      </c>
      <c r="D165" s="28" t="s">
        <v>693</v>
      </c>
      <c r="E165" s="29">
        <v>375000</v>
      </c>
      <c r="F165" s="29">
        <v>-374999</v>
      </c>
      <c r="G165" s="29">
        <v>1</v>
      </c>
      <c r="H165" t="s">
        <v>1247</v>
      </c>
      <c r="I165" t="s">
        <v>681</v>
      </c>
    </row>
    <row r="166" spans="1:9" customFormat="1" ht="21">
      <c r="A166" s="28" t="s">
        <v>1343</v>
      </c>
      <c r="B166" s="28" t="s">
        <v>91</v>
      </c>
      <c r="C166" s="28" t="s">
        <v>605</v>
      </c>
      <c r="D166" s="28" t="s">
        <v>1319</v>
      </c>
      <c r="E166" s="29">
        <v>95000</v>
      </c>
      <c r="F166" s="29">
        <v>-94999</v>
      </c>
      <c r="G166" s="29">
        <v>1</v>
      </c>
      <c r="H166" t="s">
        <v>1247</v>
      </c>
      <c r="I166" t="s">
        <v>681</v>
      </c>
    </row>
    <row r="167" spans="1:9" customFormat="1" ht="21">
      <c r="A167" s="28" t="s">
        <v>1344</v>
      </c>
      <c r="B167" s="28" t="s">
        <v>91</v>
      </c>
      <c r="C167" s="28" t="s">
        <v>605</v>
      </c>
      <c r="D167" s="28" t="s">
        <v>875</v>
      </c>
      <c r="E167" s="29">
        <v>374000</v>
      </c>
      <c r="F167" s="29">
        <v>-373999</v>
      </c>
      <c r="G167" s="29">
        <v>1</v>
      </c>
      <c r="H167" t="s">
        <v>1247</v>
      </c>
      <c r="I167" t="s">
        <v>681</v>
      </c>
    </row>
    <row r="168" spans="1:9" customFormat="1" ht="21">
      <c r="A168" s="28" t="s">
        <v>1345</v>
      </c>
      <c r="B168" s="28" t="s">
        <v>91</v>
      </c>
      <c r="C168" s="28" t="s">
        <v>605</v>
      </c>
      <c r="D168" s="28" t="s">
        <v>1346</v>
      </c>
      <c r="E168" s="29">
        <v>705000</v>
      </c>
      <c r="F168" s="29">
        <v>-704999</v>
      </c>
      <c r="G168" s="29">
        <v>1</v>
      </c>
      <c r="H168" t="s">
        <v>1247</v>
      </c>
      <c r="I168" t="s">
        <v>681</v>
      </c>
    </row>
    <row r="169" spans="1:9" customFormat="1" ht="21">
      <c r="A169" s="28" t="s">
        <v>1347</v>
      </c>
      <c r="B169" s="28" t="s">
        <v>91</v>
      </c>
      <c r="C169" s="28" t="s">
        <v>605</v>
      </c>
      <c r="D169" s="28" t="s">
        <v>1348</v>
      </c>
      <c r="E169" s="29">
        <v>2350000</v>
      </c>
      <c r="F169" s="29">
        <v>-2349999</v>
      </c>
      <c r="G169" s="29">
        <v>1</v>
      </c>
      <c r="H169" t="s">
        <v>1247</v>
      </c>
      <c r="I169" t="s">
        <v>681</v>
      </c>
    </row>
    <row r="170" spans="1:9" customFormat="1" ht="21">
      <c r="A170" s="28" t="s">
        <v>1349</v>
      </c>
      <c r="B170" s="28" t="s">
        <v>91</v>
      </c>
      <c r="C170" s="28" t="s">
        <v>605</v>
      </c>
      <c r="D170" s="28" t="s">
        <v>1350</v>
      </c>
      <c r="E170" s="29">
        <v>188888</v>
      </c>
      <c r="F170" s="29">
        <v>-178972.66</v>
      </c>
      <c r="G170" s="29">
        <v>9915.34</v>
      </c>
      <c r="H170" t="s">
        <v>1247</v>
      </c>
      <c r="I170" t="s">
        <v>681</v>
      </c>
    </row>
    <row r="171" spans="1:9" customFormat="1" ht="21">
      <c r="A171" s="28" t="s">
        <v>1351</v>
      </c>
      <c r="B171" s="28" t="s">
        <v>91</v>
      </c>
      <c r="C171" s="28" t="s">
        <v>605</v>
      </c>
      <c r="D171" s="28" t="s">
        <v>1350</v>
      </c>
      <c r="E171" s="29">
        <v>188888</v>
      </c>
      <c r="F171" s="29">
        <v>-178972.66</v>
      </c>
      <c r="G171" s="29">
        <v>9915.34</v>
      </c>
      <c r="H171" t="s">
        <v>1247</v>
      </c>
      <c r="I171" t="s">
        <v>681</v>
      </c>
    </row>
    <row r="172" spans="1:9" customFormat="1" ht="21">
      <c r="A172" s="28" t="s">
        <v>1352</v>
      </c>
      <c r="B172" s="28" t="s">
        <v>91</v>
      </c>
      <c r="C172" s="28" t="s">
        <v>605</v>
      </c>
      <c r="D172" s="28" t="s">
        <v>855</v>
      </c>
      <c r="E172" s="29">
        <v>999500</v>
      </c>
      <c r="F172" s="29">
        <v>-944563.45</v>
      </c>
      <c r="G172" s="29">
        <v>54936.55</v>
      </c>
      <c r="H172" t="s">
        <v>1247</v>
      </c>
      <c r="I172" t="s">
        <v>681</v>
      </c>
    </row>
    <row r="173" spans="1:9" customFormat="1" ht="21">
      <c r="A173" s="28" t="s">
        <v>1353</v>
      </c>
      <c r="B173" s="28" t="s">
        <v>91</v>
      </c>
      <c r="C173" s="28" t="s">
        <v>605</v>
      </c>
      <c r="D173" s="28" t="s">
        <v>928</v>
      </c>
      <c r="E173" s="29">
        <v>1289800</v>
      </c>
      <c r="F173" s="29">
        <v>-1051758.32</v>
      </c>
      <c r="G173" s="29">
        <v>238041.68</v>
      </c>
      <c r="H173" t="s">
        <v>1247</v>
      </c>
      <c r="I173" t="s">
        <v>681</v>
      </c>
    </row>
    <row r="174" spans="1:9" customFormat="1" ht="21">
      <c r="A174" s="28" t="s">
        <v>1354</v>
      </c>
      <c r="B174" s="28" t="s">
        <v>91</v>
      </c>
      <c r="C174" s="28" t="s">
        <v>605</v>
      </c>
      <c r="D174" s="28" t="s">
        <v>855</v>
      </c>
      <c r="E174" s="29">
        <v>989700</v>
      </c>
      <c r="F174" s="29">
        <v>-775599.11</v>
      </c>
      <c r="G174" s="29">
        <v>214100.89</v>
      </c>
      <c r="H174" t="s">
        <v>1247</v>
      </c>
      <c r="I174" t="s">
        <v>681</v>
      </c>
    </row>
    <row r="175" spans="1:9" customFormat="1" ht="21">
      <c r="A175" s="28" t="s">
        <v>1355</v>
      </c>
      <c r="B175" s="28" t="s">
        <v>91</v>
      </c>
      <c r="C175" s="28" t="s">
        <v>605</v>
      </c>
      <c r="D175" s="28" t="s">
        <v>1356</v>
      </c>
      <c r="E175" s="29">
        <v>200000</v>
      </c>
      <c r="F175" s="29">
        <v>-134962.37</v>
      </c>
      <c r="G175" s="29">
        <v>65037.63</v>
      </c>
      <c r="H175" t="s">
        <v>1247</v>
      </c>
      <c r="I175" t="s">
        <v>681</v>
      </c>
    </row>
    <row r="176" spans="1:9" customFormat="1" ht="21">
      <c r="A176" s="28" t="s">
        <v>1357</v>
      </c>
      <c r="B176" s="28" t="s">
        <v>91</v>
      </c>
      <c r="C176" s="28" t="s">
        <v>605</v>
      </c>
      <c r="D176" s="28" t="s">
        <v>819</v>
      </c>
      <c r="E176" s="29">
        <v>1992310</v>
      </c>
      <c r="F176" s="29">
        <v>-1294936.74</v>
      </c>
      <c r="G176" s="29">
        <v>697373.26</v>
      </c>
      <c r="H176" t="s">
        <v>1247</v>
      </c>
      <c r="I176" t="s">
        <v>681</v>
      </c>
    </row>
    <row r="177" spans="1:9" customFormat="1" ht="21">
      <c r="A177" s="28" t="s">
        <v>1358</v>
      </c>
      <c r="B177" s="28" t="s">
        <v>91</v>
      </c>
      <c r="C177" s="28" t="s">
        <v>605</v>
      </c>
      <c r="D177" s="28" t="s">
        <v>788</v>
      </c>
      <c r="E177" s="29">
        <v>1759000</v>
      </c>
      <c r="F177" s="29">
        <v>-713762.41</v>
      </c>
      <c r="G177" s="29">
        <v>1045237.59</v>
      </c>
      <c r="H177" t="s">
        <v>1247</v>
      </c>
      <c r="I177" t="s">
        <v>681</v>
      </c>
    </row>
    <row r="178" spans="1:9" customFormat="1" ht="21">
      <c r="A178" s="28" t="s">
        <v>1359</v>
      </c>
      <c r="B178" s="28" t="s">
        <v>91</v>
      </c>
      <c r="C178" s="28" t="s">
        <v>605</v>
      </c>
      <c r="D178" s="28" t="s">
        <v>1360</v>
      </c>
      <c r="E178" s="29">
        <v>4989000</v>
      </c>
      <c r="F178" s="29">
        <v>-1855775.6</v>
      </c>
      <c r="G178" s="29">
        <v>3133224.4</v>
      </c>
      <c r="H178" t="s">
        <v>1247</v>
      </c>
      <c r="I178" t="s">
        <v>681</v>
      </c>
    </row>
    <row r="179" spans="1:9" customFormat="1" ht="21">
      <c r="A179" s="28" t="s">
        <v>1361</v>
      </c>
      <c r="B179" s="28" t="s">
        <v>91</v>
      </c>
      <c r="C179" s="28" t="s">
        <v>605</v>
      </c>
      <c r="D179" s="28" t="s">
        <v>843</v>
      </c>
      <c r="E179" s="29">
        <v>639500</v>
      </c>
      <c r="F179" s="29">
        <v>-215231.39</v>
      </c>
      <c r="G179" s="29">
        <v>424268.61</v>
      </c>
      <c r="H179" t="s">
        <v>1247</v>
      </c>
      <c r="I179" t="s">
        <v>681</v>
      </c>
    </row>
    <row r="180" spans="1:9" customFormat="1" ht="21">
      <c r="A180" s="28" t="s">
        <v>1362</v>
      </c>
      <c r="B180" s="28" t="s">
        <v>91</v>
      </c>
      <c r="C180" s="28" t="s">
        <v>605</v>
      </c>
      <c r="D180" s="28" t="s">
        <v>788</v>
      </c>
      <c r="E180" s="29">
        <v>2543333</v>
      </c>
      <c r="F180" s="29">
        <v>-2543332</v>
      </c>
      <c r="G180" s="29">
        <v>1</v>
      </c>
      <c r="H180" t="s">
        <v>1247</v>
      </c>
      <c r="I180" t="s">
        <v>681</v>
      </c>
    </row>
    <row r="181" spans="1:9" customFormat="1" ht="21">
      <c r="A181" s="28" t="s">
        <v>1363</v>
      </c>
      <c r="B181" s="28" t="s">
        <v>91</v>
      </c>
      <c r="C181" s="28" t="s">
        <v>605</v>
      </c>
      <c r="D181" s="28" t="s">
        <v>1364</v>
      </c>
      <c r="E181" s="29">
        <v>1200000</v>
      </c>
      <c r="F181" s="29">
        <v>-583747.42000000004</v>
      </c>
      <c r="G181" s="29">
        <v>616252.57999999996</v>
      </c>
      <c r="H181" t="s">
        <v>1247</v>
      </c>
      <c r="I181" t="s">
        <v>681</v>
      </c>
    </row>
    <row r="182" spans="1:9" customFormat="1" ht="21">
      <c r="A182" s="28" t="s">
        <v>1365</v>
      </c>
      <c r="B182" s="28" t="s">
        <v>91</v>
      </c>
      <c r="C182" s="28" t="s">
        <v>1263</v>
      </c>
      <c r="D182" s="28" t="s">
        <v>1366</v>
      </c>
      <c r="E182" s="29">
        <v>99538</v>
      </c>
      <c r="F182" s="29">
        <v>-99537</v>
      </c>
      <c r="G182" s="29">
        <v>1</v>
      </c>
      <c r="H182" t="s">
        <v>1247</v>
      </c>
      <c r="I182" t="s">
        <v>681</v>
      </c>
    </row>
    <row r="183" spans="1:9" customFormat="1" ht="21">
      <c r="A183" s="28" t="s">
        <v>1367</v>
      </c>
      <c r="B183" s="28" t="s">
        <v>91</v>
      </c>
      <c r="C183" s="28" t="s">
        <v>1263</v>
      </c>
      <c r="D183" s="28" t="s">
        <v>1368</v>
      </c>
      <c r="E183" s="29">
        <v>1330000</v>
      </c>
      <c r="F183" s="29">
        <v>-1329999</v>
      </c>
      <c r="G183" s="29">
        <v>1</v>
      </c>
      <c r="H183" t="s">
        <v>1247</v>
      </c>
      <c r="I183" t="s">
        <v>681</v>
      </c>
    </row>
    <row r="184" spans="1:9" customFormat="1" ht="21">
      <c r="A184" s="28" t="s">
        <v>1369</v>
      </c>
      <c r="B184" s="28" t="s">
        <v>91</v>
      </c>
      <c r="C184" s="28" t="s">
        <v>1263</v>
      </c>
      <c r="D184" s="28" t="s">
        <v>1370</v>
      </c>
      <c r="E184" s="29">
        <v>1330000</v>
      </c>
      <c r="F184" s="29">
        <v>-1329999</v>
      </c>
      <c r="G184" s="29">
        <v>1</v>
      </c>
      <c r="H184" t="s">
        <v>1247</v>
      </c>
      <c r="I184" t="s">
        <v>681</v>
      </c>
    </row>
    <row r="185" spans="1:9" customFormat="1" ht="21">
      <c r="A185" s="28" t="s">
        <v>1371</v>
      </c>
      <c r="B185" s="28" t="s">
        <v>91</v>
      </c>
      <c r="C185" s="28" t="s">
        <v>1263</v>
      </c>
      <c r="D185" s="28" t="s">
        <v>1319</v>
      </c>
      <c r="E185" s="29">
        <v>294000</v>
      </c>
      <c r="F185" s="29">
        <v>-293999</v>
      </c>
      <c r="G185" s="29">
        <v>1</v>
      </c>
      <c r="H185" t="s">
        <v>1247</v>
      </c>
      <c r="I185" t="s">
        <v>681</v>
      </c>
    </row>
    <row r="186" spans="1:9" customFormat="1" ht="21">
      <c r="A186" s="28" t="s">
        <v>1372</v>
      </c>
      <c r="B186" s="28" t="s">
        <v>91</v>
      </c>
      <c r="C186" s="28" t="s">
        <v>1263</v>
      </c>
      <c r="D186" s="28" t="s">
        <v>982</v>
      </c>
      <c r="E186" s="29">
        <v>49769</v>
      </c>
      <c r="F186" s="29">
        <v>-49768</v>
      </c>
      <c r="G186" s="29">
        <v>1</v>
      </c>
      <c r="H186" t="s">
        <v>1247</v>
      </c>
      <c r="I186" t="s">
        <v>681</v>
      </c>
    </row>
    <row r="187" spans="1:9" customFormat="1" ht="21">
      <c r="A187" s="28" t="s">
        <v>1373</v>
      </c>
      <c r="B187" s="28" t="s">
        <v>91</v>
      </c>
      <c r="C187" s="28" t="s">
        <v>1263</v>
      </c>
      <c r="D187" s="28" t="s">
        <v>982</v>
      </c>
      <c r="E187" s="29">
        <v>49769</v>
      </c>
      <c r="F187" s="29">
        <v>-49768</v>
      </c>
      <c r="G187" s="29">
        <v>1</v>
      </c>
      <c r="H187" t="s">
        <v>1247</v>
      </c>
      <c r="I187" t="s">
        <v>681</v>
      </c>
    </row>
    <row r="188" spans="1:9" customFormat="1" ht="21">
      <c r="A188" s="28" t="s">
        <v>1374</v>
      </c>
      <c r="B188" s="28" t="s">
        <v>91</v>
      </c>
      <c r="C188" s="28" t="s">
        <v>1263</v>
      </c>
      <c r="D188" s="28" t="s">
        <v>1375</v>
      </c>
      <c r="E188" s="29">
        <v>605000</v>
      </c>
      <c r="F188" s="29">
        <v>-604999</v>
      </c>
      <c r="G188" s="29">
        <v>1</v>
      </c>
      <c r="H188" t="s">
        <v>1247</v>
      </c>
      <c r="I188" t="s">
        <v>681</v>
      </c>
    </row>
    <row r="189" spans="1:9" customFormat="1" ht="21">
      <c r="A189" s="28" t="s">
        <v>1376</v>
      </c>
      <c r="B189" s="28" t="s">
        <v>91</v>
      </c>
      <c r="C189" s="28" t="s">
        <v>1263</v>
      </c>
      <c r="D189" s="28" t="s">
        <v>1377</v>
      </c>
      <c r="E189" s="29">
        <v>100300</v>
      </c>
      <c r="F189" s="29">
        <v>-100299</v>
      </c>
      <c r="G189" s="29">
        <v>1</v>
      </c>
      <c r="H189" t="s">
        <v>1247</v>
      </c>
      <c r="I189" t="s">
        <v>681</v>
      </c>
    </row>
    <row r="190" spans="1:9" customFormat="1" ht="21">
      <c r="A190" s="28" t="s">
        <v>1378</v>
      </c>
      <c r="B190" s="28" t="s">
        <v>91</v>
      </c>
      <c r="C190" s="28" t="s">
        <v>1263</v>
      </c>
      <c r="D190" s="28" t="s">
        <v>798</v>
      </c>
      <c r="E190" s="29">
        <v>62500</v>
      </c>
      <c r="F190" s="29">
        <v>-62499</v>
      </c>
      <c r="G190" s="29">
        <v>1</v>
      </c>
      <c r="H190" t="s">
        <v>1247</v>
      </c>
      <c r="I190" t="s">
        <v>681</v>
      </c>
    </row>
    <row r="191" spans="1:9" customFormat="1" ht="21">
      <c r="A191" s="28" t="s">
        <v>1379</v>
      </c>
      <c r="B191" s="28" t="s">
        <v>91</v>
      </c>
      <c r="C191" s="28" t="s">
        <v>1263</v>
      </c>
      <c r="D191" s="28" t="s">
        <v>1380</v>
      </c>
      <c r="E191" s="29">
        <v>70000</v>
      </c>
      <c r="F191" s="29">
        <v>-69999</v>
      </c>
      <c r="G191" s="29">
        <v>1</v>
      </c>
      <c r="H191" t="s">
        <v>1247</v>
      </c>
      <c r="I191" t="s">
        <v>681</v>
      </c>
    </row>
  </sheetData>
  <mergeCells count="105">
    <mergeCell ref="A3:A4"/>
    <mergeCell ref="B3:B4"/>
    <mergeCell ref="C3:N3"/>
    <mergeCell ref="P3:P4"/>
    <mergeCell ref="Q3:Q4"/>
    <mergeCell ref="R3:AC3"/>
    <mergeCell ref="A1:N1"/>
    <mergeCell ref="P1:AC1"/>
    <mergeCell ref="AE1:BD1"/>
    <mergeCell ref="A2:N2"/>
    <mergeCell ref="P2:AC2"/>
    <mergeCell ref="AE2:BD2"/>
    <mergeCell ref="C14:N14"/>
    <mergeCell ref="P14:P15"/>
    <mergeCell ref="Q14:Q15"/>
    <mergeCell ref="R14:AC14"/>
    <mergeCell ref="BA3:BB3"/>
    <mergeCell ref="BC3:BD3"/>
    <mergeCell ref="A12:N12"/>
    <mergeCell ref="P12:AC12"/>
    <mergeCell ref="AE12:BD12"/>
    <mergeCell ref="A13:N13"/>
    <mergeCell ref="P13:AC13"/>
    <mergeCell ref="AE13:BD13"/>
    <mergeCell ref="AO3:AP3"/>
    <mergeCell ref="AQ3:AR3"/>
    <mergeCell ref="AS3:AT3"/>
    <mergeCell ref="AU3:AV3"/>
    <mergeCell ref="AW3:AX3"/>
    <mergeCell ref="AY3:AZ3"/>
    <mergeCell ref="AE3:AE4"/>
    <mergeCell ref="AF3:AF4"/>
    <mergeCell ref="AG3:AH3"/>
    <mergeCell ref="AI3:AJ3"/>
    <mergeCell ref="AK3:AL3"/>
    <mergeCell ref="AM3:AN3"/>
    <mergeCell ref="Q25:Q26"/>
    <mergeCell ref="R25:AC25"/>
    <mergeCell ref="BA14:BB14"/>
    <mergeCell ref="BC14:BD14"/>
    <mergeCell ref="A23:N23"/>
    <mergeCell ref="P23:AC23"/>
    <mergeCell ref="AE23:BD23"/>
    <mergeCell ref="A24:N24"/>
    <mergeCell ref="P24:AC24"/>
    <mergeCell ref="AE24:BD24"/>
    <mergeCell ref="AO14:AP14"/>
    <mergeCell ref="AQ14:AR14"/>
    <mergeCell ref="AS14:AT14"/>
    <mergeCell ref="AU14:AV14"/>
    <mergeCell ref="AW14:AX14"/>
    <mergeCell ref="AY14:AZ14"/>
    <mergeCell ref="AE14:AE15"/>
    <mergeCell ref="AF14:AF15"/>
    <mergeCell ref="AG14:AH14"/>
    <mergeCell ref="AI14:AJ14"/>
    <mergeCell ref="AK14:AL14"/>
    <mergeCell ref="AM14:AN14"/>
    <mergeCell ref="A14:A15"/>
    <mergeCell ref="B14:B15"/>
    <mergeCell ref="BA25:BB25"/>
    <mergeCell ref="BC25:BD25"/>
    <mergeCell ref="A43:N43"/>
    <mergeCell ref="P43:AC43"/>
    <mergeCell ref="AE43:BD43"/>
    <mergeCell ref="A44:N44"/>
    <mergeCell ref="P44:AC44"/>
    <mergeCell ref="AE44:BD44"/>
    <mergeCell ref="AO25:AP25"/>
    <mergeCell ref="AQ25:AR25"/>
    <mergeCell ref="AS25:AT25"/>
    <mergeCell ref="AU25:AV25"/>
    <mergeCell ref="AW25:AX25"/>
    <mergeCell ref="AY25:AZ25"/>
    <mergeCell ref="AE25:AE26"/>
    <mergeCell ref="AF25:AF26"/>
    <mergeCell ref="AG25:AH25"/>
    <mergeCell ref="AI25:AJ25"/>
    <mergeCell ref="AK25:AL25"/>
    <mergeCell ref="AM25:AN25"/>
    <mergeCell ref="A25:A26"/>
    <mergeCell ref="B25:B26"/>
    <mergeCell ref="C25:N25"/>
    <mergeCell ref="P25:P26"/>
    <mergeCell ref="BA45:BB45"/>
    <mergeCell ref="BC45:BD45"/>
    <mergeCell ref="A63:I63"/>
    <mergeCell ref="AO45:AP45"/>
    <mergeCell ref="AQ45:AR45"/>
    <mergeCell ref="AS45:AT45"/>
    <mergeCell ref="AU45:AV45"/>
    <mergeCell ref="AW45:AX45"/>
    <mergeCell ref="AY45:AZ45"/>
    <mergeCell ref="AE45:AE46"/>
    <mergeCell ref="AF45:AF46"/>
    <mergeCell ref="AG45:AH45"/>
    <mergeCell ref="AI45:AJ45"/>
    <mergeCell ref="AK45:AL45"/>
    <mergeCell ref="AM45:AN45"/>
    <mergeCell ref="A45:A46"/>
    <mergeCell ref="B45:B46"/>
    <mergeCell ref="C45:N45"/>
    <mergeCell ref="P45:P46"/>
    <mergeCell ref="Q45:Q46"/>
    <mergeCell ref="R45:AC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0BFB-68EA-4F04-AE79-261F2D095D61}">
  <dimension ref="A1:BD115"/>
  <sheetViews>
    <sheetView tabSelected="1" topLeftCell="AF35" workbookViewId="0">
      <selection activeCell="AI57" sqref="AI57"/>
    </sheetView>
  </sheetViews>
  <sheetFormatPr defaultColWidth="18.75" defaultRowHeight="24.6"/>
  <cols>
    <col min="1" max="1" width="6.75" style="24" bestFit="1" customWidth="1"/>
    <col min="2" max="2" width="53" style="13" bestFit="1" customWidth="1"/>
    <col min="3" max="15" width="18.75" style="13"/>
    <col min="16" max="16" width="6.75" style="24" bestFit="1" customWidth="1"/>
    <col min="17" max="17" width="53" style="13" bestFit="1" customWidth="1"/>
    <col min="18" max="30" width="18.75" style="13"/>
    <col min="31" max="31" width="6.75" style="24" bestFit="1" customWidth="1"/>
    <col min="32" max="32" width="53" style="13" bestFit="1" customWidth="1"/>
    <col min="33" max="16384" width="18.75" style="13"/>
  </cols>
  <sheetData>
    <row r="1" spans="1:56">
      <c r="A1" s="37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2"/>
      <c r="P1" s="37" t="s">
        <v>49</v>
      </c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E1" s="37" t="s">
        <v>0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</row>
    <row r="2" spans="1:56">
      <c r="A2" s="37" t="s">
        <v>1947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2"/>
      <c r="P2" s="37" t="s">
        <v>1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E2" s="37" t="s">
        <v>1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</row>
    <row r="3" spans="1:56" s="15" customFormat="1">
      <c r="A3" s="35" t="s">
        <v>2</v>
      </c>
      <c r="B3" s="35" t="s">
        <v>3</v>
      </c>
      <c r="C3" s="38" t="s">
        <v>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  <c r="O3" s="14"/>
      <c r="P3" s="35" t="s">
        <v>2</v>
      </c>
      <c r="Q3" s="35" t="s">
        <v>3</v>
      </c>
      <c r="R3" s="38" t="s">
        <v>5</v>
      </c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E3" s="35" t="s">
        <v>2</v>
      </c>
      <c r="AF3" s="35" t="s">
        <v>3</v>
      </c>
      <c r="AG3" s="33">
        <v>25112</v>
      </c>
      <c r="AH3" s="34"/>
      <c r="AI3" s="33">
        <v>25143</v>
      </c>
      <c r="AJ3" s="34"/>
      <c r="AK3" s="33">
        <v>25173</v>
      </c>
      <c r="AL3" s="34"/>
      <c r="AM3" s="33">
        <v>25204</v>
      </c>
      <c r="AN3" s="34"/>
      <c r="AO3" s="33">
        <v>25235</v>
      </c>
      <c r="AP3" s="34"/>
      <c r="AQ3" s="33">
        <v>25263</v>
      </c>
      <c r="AR3" s="34"/>
      <c r="AS3" s="33">
        <v>25294</v>
      </c>
      <c r="AT3" s="34"/>
      <c r="AU3" s="33">
        <v>25324</v>
      </c>
      <c r="AV3" s="34"/>
      <c r="AW3" s="33">
        <v>25355</v>
      </c>
      <c r="AX3" s="34"/>
      <c r="AY3" s="33">
        <v>25385</v>
      </c>
      <c r="AZ3" s="34"/>
      <c r="BA3" s="33">
        <v>25416</v>
      </c>
      <c r="BB3" s="34"/>
      <c r="BC3" s="33">
        <v>25447</v>
      </c>
      <c r="BD3" s="34"/>
    </row>
    <row r="4" spans="1:56" s="15" customFormat="1">
      <c r="A4" s="36"/>
      <c r="B4" s="36"/>
      <c r="C4" s="16">
        <v>25112</v>
      </c>
      <c r="D4" s="16">
        <v>25143</v>
      </c>
      <c r="E4" s="16">
        <v>25173</v>
      </c>
      <c r="F4" s="16">
        <v>25204</v>
      </c>
      <c r="G4" s="16">
        <v>25235</v>
      </c>
      <c r="H4" s="16">
        <v>25263</v>
      </c>
      <c r="I4" s="16">
        <v>25294</v>
      </c>
      <c r="J4" s="16">
        <v>25324</v>
      </c>
      <c r="K4" s="16">
        <v>25355</v>
      </c>
      <c r="L4" s="16">
        <v>25385</v>
      </c>
      <c r="M4" s="16">
        <v>25416</v>
      </c>
      <c r="N4" s="16">
        <v>25447</v>
      </c>
      <c r="P4" s="36"/>
      <c r="Q4" s="36"/>
      <c r="R4" s="16">
        <v>25112</v>
      </c>
      <c r="S4" s="16">
        <v>25143</v>
      </c>
      <c r="T4" s="16">
        <v>25173</v>
      </c>
      <c r="U4" s="16">
        <v>25204</v>
      </c>
      <c r="V4" s="16">
        <v>25235</v>
      </c>
      <c r="W4" s="16">
        <v>25263</v>
      </c>
      <c r="X4" s="16">
        <v>25294</v>
      </c>
      <c r="Y4" s="16">
        <v>25324</v>
      </c>
      <c r="Z4" s="16">
        <v>25355</v>
      </c>
      <c r="AA4" s="16">
        <v>25385</v>
      </c>
      <c r="AB4" s="16">
        <v>25416</v>
      </c>
      <c r="AC4" s="16">
        <v>25447</v>
      </c>
      <c r="AE4" s="36"/>
      <c r="AF4" s="36"/>
      <c r="AG4" s="16" t="s">
        <v>85</v>
      </c>
      <c r="AH4" s="16" t="s">
        <v>86</v>
      </c>
      <c r="AI4" s="16" t="s">
        <v>85</v>
      </c>
      <c r="AJ4" s="16" t="s">
        <v>86</v>
      </c>
      <c r="AK4" s="16" t="s">
        <v>85</v>
      </c>
      <c r="AL4" s="16" t="s">
        <v>86</v>
      </c>
      <c r="AM4" s="16" t="s">
        <v>85</v>
      </c>
      <c r="AN4" s="16" t="s">
        <v>86</v>
      </c>
      <c r="AO4" s="16" t="s">
        <v>85</v>
      </c>
      <c r="AP4" s="16" t="s">
        <v>86</v>
      </c>
      <c r="AQ4" s="16" t="s">
        <v>85</v>
      </c>
      <c r="AR4" s="16" t="s">
        <v>86</v>
      </c>
      <c r="AS4" s="16" t="s">
        <v>85</v>
      </c>
      <c r="AT4" s="16" t="s">
        <v>86</v>
      </c>
      <c r="AU4" s="16" t="s">
        <v>85</v>
      </c>
      <c r="AV4" s="16" t="s">
        <v>86</v>
      </c>
      <c r="AW4" s="16" t="s">
        <v>85</v>
      </c>
      <c r="AX4" s="16" t="s">
        <v>86</v>
      </c>
      <c r="AY4" s="16" t="s">
        <v>85</v>
      </c>
      <c r="AZ4" s="16" t="s">
        <v>86</v>
      </c>
      <c r="BA4" s="16" t="s">
        <v>85</v>
      </c>
      <c r="BB4" s="16" t="s">
        <v>86</v>
      </c>
      <c r="BC4" s="16" t="s">
        <v>85</v>
      </c>
      <c r="BD4" s="16" t="s">
        <v>86</v>
      </c>
    </row>
    <row r="5" spans="1:56">
      <c r="A5" s="17">
        <v>1</v>
      </c>
      <c r="B5" s="18" t="s">
        <v>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P5" s="17">
        <v>1</v>
      </c>
      <c r="Q5" s="18" t="s">
        <v>8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E5" s="17">
        <v>1</v>
      </c>
      <c r="AF5" s="18" t="s">
        <v>8</v>
      </c>
      <c r="AG5" s="19">
        <f>+C5-R5</f>
        <v>0</v>
      </c>
      <c r="AH5" s="19" t="e">
        <f>+AG5/C5*100</f>
        <v>#DIV/0!</v>
      </c>
      <c r="AI5" s="19">
        <f>+D5-S5</f>
        <v>0</v>
      </c>
      <c r="AJ5" s="19" t="e">
        <f>+AI5/D5*100</f>
        <v>#DIV/0!</v>
      </c>
      <c r="AK5" s="19">
        <f>+E5-T5</f>
        <v>0</v>
      </c>
      <c r="AL5" s="19" t="e">
        <f>+AK5/E5*100</f>
        <v>#DIV/0!</v>
      </c>
      <c r="AM5" s="19">
        <f>+F5-U5</f>
        <v>0</v>
      </c>
      <c r="AN5" s="19" t="e">
        <f>+AM5/F5*100</f>
        <v>#DIV/0!</v>
      </c>
      <c r="AO5" s="19">
        <f>+G5-V5</f>
        <v>0</v>
      </c>
      <c r="AP5" s="19" t="e">
        <f>+AO5/G5*100</f>
        <v>#DIV/0!</v>
      </c>
      <c r="AQ5" s="19">
        <f>+H5-W5</f>
        <v>0</v>
      </c>
      <c r="AR5" s="19" t="e">
        <f>+AQ5/H5*100</f>
        <v>#DIV/0!</v>
      </c>
      <c r="AS5" s="19">
        <f>+I5-X5</f>
        <v>0</v>
      </c>
      <c r="AT5" s="19" t="e">
        <f>+AS5/I5*100</f>
        <v>#DIV/0!</v>
      </c>
      <c r="AU5" s="19">
        <f>+J5-Y5</f>
        <v>0</v>
      </c>
      <c r="AV5" s="19" t="e">
        <f>+AU5/J5*100</f>
        <v>#DIV/0!</v>
      </c>
      <c r="AW5" s="19">
        <f>+K5-Z5</f>
        <v>0</v>
      </c>
      <c r="AX5" s="19" t="e">
        <f>+AW5/K5*100</f>
        <v>#DIV/0!</v>
      </c>
      <c r="AY5" s="19">
        <f>+L5-AA5</f>
        <v>0</v>
      </c>
      <c r="AZ5" s="19" t="e">
        <f>+AY5/L5*100</f>
        <v>#DIV/0!</v>
      </c>
      <c r="BA5" s="19">
        <f>+M5-AB5</f>
        <v>0</v>
      </c>
      <c r="BB5" s="19" t="e">
        <f>+BA5/M5*100</f>
        <v>#DIV/0!</v>
      </c>
      <c r="BC5" s="19">
        <f>+N5-AC5</f>
        <v>0</v>
      </c>
      <c r="BD5" s="19" t="e">
        <f>+BC5/N5*100</f>
        <v>#DIV/0!</v>
      </c>
    </row>
    <row r="6" spans="1:56">
      <c r="A6" s="17">
        <v>2</v>
      </c>
      <c r="B6" s="18" t="s">
        <v>9</v>
      </c>
      <c r="C6" s="19">
        <v>54364963.600000001</v>
      </c>
      <c r="D6" s="19">
        <v>54364963.600000001</v>
      </c>
      <c r="E6" s="19">
        <v>54364963.600000001</v>
      </c>
      <c r="F6" s="19"/>
      <c r="G6" s="19"/>
      <c r="H6" s="19"/>
      <c r="I6" s="19"/>
      <c r="J6" s="19"/>
      <c r="K6" s="19"/>
      <c r="L6" s="19"/>
      <c r="M6" s="19"/>
      <c r="N6" s="19"/>
      <c r="P6" s="17">
        <v>2</v>
      </c>
      <c r="Q6" s="18" t="s">
        <v>9</v>
      </c>
      <c r="R6" s="19">
        <v>70208460</v>
      </c>
      <c r="S6" s="19">
        <v>70208460</v>
      </c>
      <c r="T6" s="19">
        <v>70208460</v>
      </c>
      <c r="U6" s="19"/>
      <c r="V6" s="19"/>
      <c r="W6" s="19"/>
      <c r="X6" s="19"/>
      <c r="Y6" s="19"/>
      <c r="Z6" s="19"/>
      <c r="AA6" s="19"/>
      <c r="AB6" s="19"/>
      <c r="AC6" s="19"/>
      <c r="AE6" s="17">
        <v>2</v>
      </c>
      <c r="AF6" s="18" t="s">
        <v>9</v>
      </c>
      <c r="AG6" s="19">
        <f t="shared" ref="AG6:AG10" si="0">+C6-R6</f>
        <v>-15843496.399999999</v>
      </c>
      <c r="AH6" s="19">
        <f t="shared" ref="AH6:AH10" si="1">+AG6/C6*100</f>
        <v>-29.142843756084108</v>
      </c>
      <c r="AI6" s="19">
        <f t="shared" ref="AI6:AI10" si="2">+D6-S6</f>
        <v>-15843496.399999999</v>
      </c>
      <c r="AJ6" s="19">
        <f t="shared" ref="AJ6:AJ10" si="3">+AI6/D6*100</f>
        <v>-29.142843756084108</v>
      </c>
      <c r="AK6" s="19">
        <f t="shared" ref="AK6:AK10" si="4">+E6-T6</f>
        <v>-15843496.399999999</v>
      </c>
      <c r="AL6" s="19">
        <f t="shared" ref="AL6:AL10" si="5">+AK6/E6*100</f>
        <v>-29.142843756084108</v>
      </c>
      <c r="AM6" s="19">
        <f t="shared" ref="AM6:AM10" si="6">+F6-U6</f>
        <v>0</v>
      </c>
      <c r="AN6" s="19" t="e">
        <f t="shared" ref="AN6:AN10" si="7">+AM6/F6*100</f>
        <v>#DIV/0!</v>
      </c>
      <c r="AO6" s="19">
        <f t="shared" ref="AO6:AO10" si="8">+G6-V6</f>
        <v>0</v>
      </c>
      <c r="AP6" s="19" t="e">
        <f t="shared" ref="AP6:AP10" si="9">+AO6/G6*100</f>
        <v>#DIV/0!</v>
      </c>
      <c r="AQ6" s="19">
        <f t="shared" ref="AQ6:AQ10" si="10">+H6-W6</f>
        <v>0</v>
      </c>
      <c r="AR6" s="19" t="e">
        <f t="shared" ref="AR6:AR10" si="11">+AQ6/H6*100</f>
        <v>#DIV/0!</v>
      </c>
      <c r="AS6" s="19">
        <f t="shared" ref="AS6:AS10" si="12">+I6-X6</f>
        <v>0</v>
      </c>
      <c r="AT6" s="19" t="e">
        <f t="shared" ref="AT6:AT10" si="13">+AS6/I6*100</f>
        <v>#DIV/0!</v>
      </c>
      <c r="AU6" s="19">
        <f t="shared" ref="AU6:AU10" si="14">+J6-Y6</f>
        <v>0</v>
      </c>
      <c r="AV6" s="19" t="e">
        <f t="shared" ref="AV6:AV10" si="15">+AU6/J6*100</f>
        <v>#DIV/0!</v>
      </c>
      <c r="AW6" s="19">
        <f t="shared" ref="AW6:AW10" si="16">+K6-Z6</f>
        <v>0</v>
      </c>
      <c r="AX6" s="19" t="e">
        <f t="shared" ref="AX6:AX10" si="17">+AW6/K6*100</f>
        <v>#DIV/0!</v>
      </c>
      <c r="AY6" s="19">
        <f t="shared" ref="AY6:AY10" si="18">+L6-AA6</f>
        <v>0</v>
      </c>
      <c r="AZ6" s="19" t="e">
        <f t="shared" ref="AZ6:AZ10" si="19">+AY6/L6*100</f>
        <v>#DIV/0!</v>
      </c>
      <c r="BA6" s="19">
        <f t="shared" ref="BA6:BA10" si="20">+M6-AB6</f>
        <v>0</v>
      </c>
      <c r="BB6" s="19" t="e">
        <f t="shared" ref="BB6:BB10" si="21">+BA6/M6*100</f>
        <v>#DIV/0!</v>
      </c>
      <c r="BC6" s="19">
        <f t="shared" ref="BC6:BC10" si="22">+N6-AC6</f>
        <v>0</v>
      </c>
      <c r="BD6" s="19" t="e">
        <f t="shared" ref="BD6:BD10" si="23">+BC6/N6*100</f>
        <v>#DIV/0!</v>
      </c>
    </row>
    <row r="7" spans="1:56">
      <c r="A7" s="17">
        <v>3</v>
      </c>
      <c r="B7" s="18" t="s">
        <v>11</v>
      </c>
      <c r="C7" s="19">
        <v>19424500</v>
      </c>
      <c r="D7" s="19">
        <v>19424500</v>
      </c>
      <c r="E7" s="19">
        <v>19424500</v>
      </c>
      <c r="F7" s="19"/>
      <c r="G7" s="19"/>
      <c r="H7" s="19"/>
      <c r="I7" s="19"/>
      <c r="J7" s="19"/>
      <c r="K7" s="19"/>
      <c r="L7" s="19"/>
      <c r="M7" s="19"/>
      <c r="N7" s="19"/>
      <c r="P7" s="17">
        <v>3</v>
      </c>
      <c r="Q7" s="18" t="s">
        <v>11</v>
      </c>
      <c r="R7" s="19">
        <v>18152377</v>
      </c>
      <c r="S7" s="19">
        <v>18152377</v>
      </c>
      <c r="T7" s="19">
        <v>18152377</v>
      </c>
      <c r="U7" s="19"/>
      <c r="V7" s="19"/>
      <c r="W7" s="19"/>
      <c r="X7" s="19"/>
      <c r="Y7" s="19"/>
      <c r="Z7" s="19"/>
      <c r="AA7" s="19"/>
      <c r="AB7" s="19"/>
      <c r="AC7" s="19"/>
      <c r="AE7" s="17">
        <v>3</v>
      </c>
      <c r="AF7" s="18" t="s">
        <v>11</v>
      </c>
      <c r="AG7" s="19">
        <f t="shared" si="0"/>
        <v>1272123</v>
      </c>
      <c r="AH7" s="19">
        <f t="shared" si="1"/>
        <v>6.5490643259800763</v>
      </c>
      <c r="AI7" s="19">
        <f t="shared" si="2"/>
        <v>1272123</v>
      </c>
      <c r="AJ7" s="19">
        <f t="shared" si="3"/>
        <v>6.5490643259800763</v>
      </c>
      <c r="AK7" s="19">
        <f t="shared" si="4"/>
        <v>1272123</v>
      </c>
      <c r="AL7" s="19">
        <f t="shared" si="5"/>
        <v>6.5490643259800763</v>
      </c>
      <c r="AM7" s="19">
        <f t="shared" si="6"/>
        <v>0</v>
      </c>
      <c r="AN7" s="19" t="e">
        <f t="shared" si="7"/>
        <v>#DIV/0!</v>
      </c>
      <c r="AO7" s="19">
        <f t="shared" si="8"/>
        <v>0</v>
      </c>
      <c r="AP7" s="19" t="e">
        <f t="shared" si="9"/>
        <v>#DIV/0!</v>
      </c>
      <c r="AQ7" s="19">
        <f t="shared" si="10"/>
        <v>0</v>
      </c>
      <c r="AR7" s="19" t="e">
        <f t="shared" si="11"/>
        <v>#DIV/0!</v>
      </c>
      <c r="AS7" s="19">
        <f t="shared" si="12"/>
        <v>0</v>
      </c>
      <c r="AT7" s="19" t="e">
        <f t="shared" si="13"/>
        <v>#DIV/0!</v>
      </c>
      <c r="AU7" s="19">
        <f t="shared" si="14"/>
        <v>0</v>
      </c>
      <c r="AV7" s="19" t="e">
        <f t="shared" si="15"/>
        <v>#DIV/0!</v>
      </c>
      <c r="AW7" s="19">
        <f t="shared" si="16"/>
        <v>0</v>
      </c>
      <c r="AX7" s="19" t="e">
        <f t="shared" si="17"/>
        <v>#DIV/0!</v>
      </c>
      <c r="AY7" s="19">
        <f t="shared" si="18"/>
        <v>0</v>
      </c>
      <c r="AZ7" s="19" t="e">
        <f t="shared" si="19"/>
        <v>#DIV/0!</v>
      </c>
      <c r="BA7" s="19">
        <f t="shared" si="20"/>
        <v>0</v>
      </c>
      <c r="BB7" s="19" t="e">
        <f t="shared" si="21"/>
        <v>#DIV/0!</v>
      </c>
      <c r="BC7" s="19">
        <f t="shared" si="22"/>
        <v>0</v>
      </c>
      <c r="BD7" s="19" t="e">
        <f t="shared" si="23"/>
        <v>#DIV/0!</v>
      </c>
    </row>
    <row r="8" spans="1:56">
      <c r="A8" s="17">
        <v>4</v>
      </c>
      <c r="B8" s="18" t="s">
        <v>13</v>
      </c>
      <c r="C8" s="19">
        <v>3008000</v>
      </c>
      <c r="D8" s="19">
        <v>3008000</v>
      </c>
      <c r="E8" s="19">
        <v>3008000</v>
      </c>
      <c r="F8" s="19"/>
      <c r="G8" s="19"/>
      <c r="H8" s="19"/>
      <c r="I8" s="19"/>
      <c r="J8" s="19"/>
      <c r="K8" s="19"/>
      <c r="L8" s="19"/>
      <c r="M8" s="19"/>
      <c r="N8" s="19"/>
      <c r="P8" s="17">
        <v>4</v>
      </c>
      <c r="Q8" s="18" t="s">
        <v>13</v>
      </c>
      <c r="R8" s="19">
        <v>2757365</v>
      </c>
      <c r="S8" s="19">
        <v>2757365</v>
      </c>
      <c r="T8" s="19">
        <v>2757365</v>
      </c>
      <c r="U8" s="19"/>
      <c r="V8" s="19"/>
      <c r="W8" s="19"/>
      <c r="X8" s="19"/>
      <c r="Y8" s="19"/>
      <c r="Z8" s="19"/>
      <c r="AA8" s="19"/>
      <c r="AB8" s="19"/>
      <c r="AC8" s="19"/>
      <c r="AE8" s="17">
        <v>4</v>
      </c>
      <c r="AF8" s="18" t="s">
        <v>13</v>
      </c>
      <c r="AG8" s="19">
        <f t="shared" si="0"/>
        <v>250635</v>
      </c>
      <c r="AH8" s="19">
        <f t="shared" si="1"/>
        <v>8.3322805851063837</v>
      </c>
      <c r="AI8" s="19">
        <f t="shared" si="2"/>
        <v>250635</v>
      </c>
      <c r="AJ8" s="19">
        <f t="shared" si="3"/>
        <v>8.3322805851063837</v>
      </c>
      <c r="AK8" s="19">
        <f t="shared" si="4"/>
        <v>250635</v>
      </c>
      <c r="AL8" s="19">
        <f t="shared" si="5"/>
        <v>8.3322805851063837</v>
      </c>
      <c r="AM8" s="19">
        <f t="shared" si="6"/>
        <v>0</v>
      </c>
      <c r="AN8" s="19" t="e">
        <f t="shared" si="7"/>
        <v>#DIV/0!</v>
      </c>
      <c r="AO8" s="19">
        <f t="shared" si="8"/>
        <v>0</v>
      </c>
      <c r="AP8" s="19" t="e">
        <f t="shared" si="9"/>
        <v>#DIV/0!</v>
      </c>
      <c r="AQ8" s="19">
        <f t="shared" si="10"/>
        <v>0</v>
      </c>
      <c r="AR8" s="19" t="e">
        <f t="shared" si="11"/>
        <v>#DIV/0!</v>
      </c>
      <c r="AS8" s="19">
        <f t="shared" si="12"/>
        <v>0</v>
      </c>
      <c r="AT8" s="19" t="e">
        <f t="shared" si="13"/>
        <v>#DIV/0!</v>
      </c>
      <c r="AU8" s="19">
        <f t="shared" si="14"/>
        <v>0</v>
      </c>
      <c r="AV8" s="19" t="e">
        <f t="shared" si="15"/>
        <v>#DIV/0!</v>
      </c>
      <c r="AW8" s="19">
        <f t="shared" si="16"/>
        <v>0</v>
      </c>
      <c r="AX8" s="19" t="e">
        <f t="shared" si="17"/>
        <v>#DIV/0!</v>
      </c>
      <c r="AY8" s="19">
        <f t="shared" si="18"/>
        <v>0</v>
      </c>
      <c r="AZ8" s="19" t="e">
        <f t="shared" si="19"/>
        <v>#DIV/0!</v>
      </c>
      <c r="BA8" s="19">
        <f t="shared" si="20"/>
        <v>0</v>
      </c>
      <c r="BB8" s="19" t="e">
        <f t="shared" si="21"/>
        <v>#DIV/0!</v>
      </c>
      <c r="BC8" s="19">
        <f t="shared" si="22"/>
        <v>0</v>
      </c>
      <c r="BD8" s="19" t="e">
        <f t="shared" si="23"/>
        <v>#DIV/0!</v>
      </c>
    </row>
    <row r="9" spans="1:56">
      <c r="A9" s="17">
        <v>5</v>
      </c>
      <c r="B9" s="18" t="s">
        <v>15</v>
      </c>
      <c r="C9" s="19">
        <v>7392348</v>
      </c>
      <c r="D9" s="19">
        <v>7392348</v>
      </c>
      <c r="E9" s="19">
        <v>7392348</v>
      </c>
      <c r="F9" s="19"/>
      <c r="G9" s="19"/>
      <c r="H9" s="19"/>
      <c r="I9" s="19"/>
      <c r="J9" s="19"/>
      <c r="K9" s="19"/>
      <c r="L9" s="19"/>
      <c r="M9" s="19"/>
      <c r="N9" s="19"/>
      <c r="P9" s="17">
        <v>5</v>
      </c>
      <c r="Q9" s="18" t="s">
        <v>15</v>
      </c>
      <c r="R9" s="19">
        <v>8613194</v>
      </c>
      <c r="S9" s="19">
        <v>8613194</v>
      </c>
      <c r="T9" s="19">
        <v>8613194</v>
      </c>
      <c r="U9" s="19"/>
      <c r="V9" s="19"/>
      <c r="W9" s="19"/>
      <c r="X9" s="19"/>
      <c r="Y9" s="19"/>
      <c r="Z9" s="19"/>
      <c r="AA9" s="19"/>
      <c r="AB9" s="19"/>
      <c r="AC9" s="19"/>
      <c r="AE9" s="17">
        <v>5</v>
      </c>
      <c r="AF9" s="18" t="s">
        <v>15</v>
      </c>
      <c r="AG9" s="19">
        <f t="shared" si="0"/>
        <v>-1220846</v>
      </c>
      <c r="AH9" s="19">
        <f t="shared" si="1"/>
        <v>-16.514996317814042</v>
      </c>
      <c r="AI9" s="19">
        <f t="shared" si="2"/>
        <v>-1220846</v>
      </c>
      <c r="AJ9" s="19">
        <f t="shared" si="3"/>
        <v>-16.514996317814042</v>
      </c>
      <c r="AK9" s="19">
        <f t="shared" si="4"/>
        <v>-1220846</v>
      </c>
      <c r="AL9" s="19">
        <f t="shared" si="5"/>
        <v>-16.514996317814042</v>
      </c>
      <c r="AM9" s="19">
        <f t="shared" si="6"/>
        <v>0</v>
      </c>
      <c r="AN9" s="19" t="e">
        <f t="shared" si="7"/>
        <v>#DIV/0!</v>
      </c>
      <c r="AO9" s="19">
        <f t="shared" si="8"/>
        <v>0</v>
      </c>
      <c r="AP9" s="19" t="e">
        <f t="shared" si="9"/>
        <v>#DIV/0!</v>
      </c>
      <c r="AQ9" s="19">
        <f t="shared" si="10"/>
        <v>0</v>
      </c>
      <c r="AR9" s="19" t="e">
        <f t="shared" si="11"/>
        <v>#DIV/0!</v>
      </c>
      <c r="AS9" s="19">
        <f t="shared" si="12"/>
        <v>0</v>
      </c>
      <c r="AT9" s="19" t="e">
        <f t="shared" si="13"/>
        <v>#DIV/0!</v>
      </c>
      <c r="AU9" s="19">
        <f t="shared" si="14"/>
        <v>0</v>
      </c>
      <c r="AV9" s="19" t="e">
        <f t="shared" si="15"/>
        <v>#DIV/0!</v>
      </c>
      <c r="AW9" s="19">
        <f t="shared" si="16"/>
        <v>0</v>
      </c>
      <c r="AX9" s="19" t="e">
        <f t="shared" si="17"/>
        <v>#DIV/0!</v>
      </c>
      <c r="AY9" s="19">
        <f t="shared" si="18"/>
        <v>0</v>
      </c>
      <c r="AZ9" s="19" t="e">
        <f t="shared" si="19"/>
        <v>#DIV/0!</v>
      </c>
      <c r="BA9" s="19">
        <f t="shared" si="20"/>
        <v>0</v>
      </c>
      <c r="BB9" s="19" t="e">
        <f t="shared" si="21"/>
        <v>#DIV/0!</v>
      </c>
      <c r="BC9" s="19">
        <f t="shared" si="22"/>
        <v>0</v>
      </c>
      <c r="BD9" s="19" t="e">
        <f t="shared" si="23"/>
        <v>#DIV/0!</v>
      </c>
    </row>
    <row r="10" spans="1:56" s="22" customFormat="1" ht="25.2" thickBot="1">
      <c r="A10" s="20"/>
      <c r="B10" s="20" t="s">
        <v>17</v>
      </c>
      <c r="C10" s="21">
        <f>SUM(C5:C9)</f>
        <v>84189811.599999994</v>
      </c>
      <c r="D10" s="21">
        <f t="shared" ref="D10:N10" si="24">SUM(D5:D9)</f>
        <v>84189811.599999994</v>
      </c>
      <c r="E10" s="21">
        <f t="shared" si="24"/>
        <v>84189811.599999994</v>
      </c>
      <c r="F10" s="21">
        <f t="shared" si="24"/>
        <v>0</v>
      </c>
      <c r="G10" s="21">
        <f t="shared" si="24"/>
        <v>0</v>
      </c>
      <c r="H10" s="21">
        <f t="shared" si="24"/>
        <v>0</v>
      </c>
      <c r="I10" s="21">
        <f t="shared" si="24"/>
        <v>0</v>
      </c>
      <c r="J10" s="21">
        <f t="shared" si="24"/>
        <v>0</v>
      </c>
      <c r="K10" s="21">
        <f t="shared" si="24"/>
        <v>0</v>
      </c>
      <c r="L10" s="21">
        <f t="shared" si="24"/>
        <v>0</v>
      </c>
      <c r="M10" s="21">
        <f t="shared" si="24"/>
        <v>0</v>
      </c>
      <c r="N10" s="21">
        <f t="shared" si="24"/>
        <v>0</v>
      </c>
      <c r="P10" s="20"/>
      <c r="Q10" s="20" t="s">
        <v>17</v>
      </c>
      <c r="R10" s="21">
        <f>SUM(R5:R9)</f>
        <v>99731396</v>
      </c>
      <c r="S10" s="21">
        <f t="shared" ref="S10:AC10" si="25">SUM(S5:S9)</f>
        <v>99731396</v>
      </c>
      <c r="T10" s="21">
        <f t="shared" si="25"/>
        <v>99731396</v>
      </c>
      <c r="U10" s="21">
        <f t="shared" si="25"/>
        <v>0</v>
      </c>
      <c r="V10" s="21">
        <f t="shared" si="25"/>
        <v>0</v>
      </c>
      <c r="W10" s="21">
        <f t="shared" si="25"/>
        <v>0</v>
      </c>
      <c r="X10" s="21">
        <f t="shared" si="25"/>
        <v>0</v>
      </c>
      <c r="Y10" s="21">
        <f t="shared" si="25"/>
        <v>0</v>
      </c>
      <c r="Z10" s="21">
        <f t="shared" si="25"/>
        <v>0</v>
      </c>
      <c r="AA10" s="21">
        <f t="shared" si="25"/>
        <v>0</v>
      </c>
      <c r="AB10" s="21">
        <f t="shared" si="25"/>
        <v>0</v>
      </c>
      <c r="AC10" s="21">
        <f t="shared" si="25"/>
        <v>0</v>
      </c>
      <c r="AE10" s="20"/>
      <c r="AF10" s="20" t="s">
        <v>17</v>
      </c>
      <c r="AG10" s="23">
        <f t="shared" si="0"/>
        <v>-15541584.400000006</v>
      </c>
      <c r="AH10" s="23">
        <f t="shared" si="1"/>
        <v>-18.460172442053555</v>
      </c>
      <c r="AI10" s="23">
        <f t="shared" si="2"/>
        <v>-15541584.400000006</v>
      </c>
      <c r="AJ10" s="23">
        <f t="shared" si="3"/>
        <v>-18.460172442053555</v>
      </c>
      <c r="AK10" s="23">
        <f t="shared" si="4"/>
        <v>-15541584.400000006</v>
      </c>
      <c r="AL10" s="23">
        <f t="shared" si="5"/>
        <v>-18.460172442053555</v>
      </c>
      <c r="AM10" s="23">
        <f t="shared" si="6"/>
        <v>0</v>
      </c>
      <c r="AN10" s="23" t="e">
        <f t="shared" si="7"/>
        <v>#DIV/0!</v>
      </c>
      <c r="AO10" s="23">
        <f t="shared" si="8"/>
        <v>0</v>
      </c>
      <c r="AP10" s="23" t="e">
        <f t="shared" si="9"/>
        <v>#DIV/0!</v>
      </c>
      <c r="AQ10" s="23">
        <f t="shared" si="10"/>
        <v>0</v>
      </c>
      <c r="AR10" s="23" t="e">
        <f t="shared" si="11"/>
        <v>#DIV/0!</v>
      </c>
      <c r="AS10" s="23">
        <f t="shared" si="12"/>
        <v>0</v>
      </c>
      <c r="AT10" s="23" t="e">
        <f t="shared" si="13"/>
        <v>#DIV/0!</v>
      </c>
      <c r="AU10" s="23">
        <f t="shared" si="14"/>
        <v>0</v>
      </c>
      <c r="AV10" s="23" t="e">
        <f t="shared" si="15"/>
        <v>#DIV/0!</v>
      </c>
      <c r="AW10" s="23">
        <f t="shared" si="16"/>
        <v>0</v>
      </c>
      <c r="AX10" s="23" t="e">
        <f t="shared" si="17"/>
        <v>#DIV/0!</v>
      </c>
      <c r="AY10" s="23">
        <f t="shared" si="18"/>
        <v>0</v>
      </c>
      <c r="AZ10" s="23" t="e">
        <f t="shared" si="19"/>
        <v>#DIV/0!</v>
      </c>
      <c r="BA10" s="23">
        <f t="shared" si="20"/>
        <v>0</v>
      </c>
      <c r="BB10" s="23" t="e">
        <f t="shared" si="21"/>
        <v>#DIV/0!</v>
      </c>
      <c r="BC10" s="23">
        <f t="shared" si="22"/>
        <v>0</v>
      </c>
      <c r="BD10" s="23" t="e">
        <f t="shared" si="23"/>
        <v>#DIV/0!</v>
      </c>
    </row>
    <row r="11" spans="1:56" ht="25.2" thickTop="1"/>
    <row r="12" spans="1:56">
      <c r="A12" s="37" t="s">
        <v>46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P12" s="37" t="s">
        <v>50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E12" s="37" t="s">
        <v>87</v>
      </c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</row>
    <row r="13" spans="1:56">
      <c r="A13" s="37" t="s">
        <v>1947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P13" s="37" t="s">
        <v>1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E13" s="37" t="s">
        <v>1</v>
      </c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</row>
    <row r="14" spans="1:56" s="15" customFormat="1">
      <c r="A14" s="35" t="s">
        <v>2</v>
      </c>
      <c r="B14" s="35" t="s">
        <v>3</v>
      </c>
      <c r="C14" s="38" t="s">
        <v>4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0"/>
      <c r="P14" s="35" t="s">
        <v>2</v>
      </c>
      <c r="Q14" s="35" t="s">
        <v>3</v>
      </c>
      <c r="R14" s="38" t="s">
        <v>5</v>
      </c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40"/>
      <c r="AE14" s="35" t="s">
        <v>2</v>
      </c>
      <c r="AF14" s="35" t="s">
        <v>3</v>
      </c>
      <c r="AG14" s="33">
        <v>25112</v>
      </c>
      <c r="AH14" s="34"/>
      <c r="AI14" s="33">
        <v>25143</v>
      </c>
      <c r="AJ14" s="34"/>
      <c r="AK14" s="33">
        <v>25173</v>
      </c>
      <c r="AL14" s="34"/>
      <c r="AM14" s="33">
        <v>25204</v>
      </c>
      <c r="AN14" s="34"/>
      <c r="AO14" s="33">
        <v>25235</v>
      </c>
      <c r="AP14" s="34"/>
      <c r="AQ14" s="33">
        <v>25263</v>
      </c>
      <c r="AR14" s="34"/>
      <c r="AS14" s="33">
        <v>25294</v>
      </c>
      <c r="AT14" s="34"/>
      <c r="AU14" s="33">
        <v>25324</v>
      </c>
      <c r="AV14" s="34"/>
      <c r="AW14" s="33">
        <v>25355</v>
      </c>
      <c r="AX14" s="34"/>
      <c r="AY14" s="33">
        <v>25385</v>
      </c>
      <c r="AZ14" s="34"/>
      <c r="BA14" s="33">
        <v>25416</v>
      </c>
      <c r="BB14" s="34"/>
      <c r="BC14" s="33">
        <v>25447</v>
      </c>
      <c r="BD14" s="34"/>
    </row>
    <row r="15" spans="1:56" s="15" customFormat="1">
      <c r="A15" s="36"/>
      <c r="B15" s="36"/>
      <c r="C15" s="16">
        <v>25112</v>
      </c>
      <c r="D15" s="16">
        <v>25143</v>
      </c>
      <c r="E15" s="16">
        <v>25173</v>
      </c>
      <c r="F15" s="16">
        <v>25204</v>
      </c>
      <c r="G15" s="16">
        <v>25235</v>
      </c>
      <c r="H15" s="16">
        <v>25263</v>
      </c>
      <c r="I15" s="16">
        <v>25294</v>
      </c>
      <c r="J15" s="16">
        <v>25324</v>
      </c>
      <c r="K15" s="16">
        <v>25355</v>
      </c>
      <c r="L15" s="16">
        <v>25385</v>
      </c>
      <c r="M15" s="16">
        <v>25416</v>
      </c>
      <c r="N15" s="16">
        <v>25447</v>
      </c>
      <c r="P15" s="36"/>
      <c r="Q15" s="36"/>
      <c r="R15" s="16">
        <v>25112</v>
      </c>
      <c r="S15" s="16">
        <v>25143</v>
      </c>
      <c r="T15" s="16">
        <v>25173</v>
      </c>
      <c r="U15" s="16">
        <v>25204</v>
      </c>
      <c r="V15" s="16">
        <v>25235</v>
      </c>
      <c r="W15" s="16">
        <v>25263</v>
      </c>
      <c r="X15" s="16">
        <v>25294</v>
      </c>
      <c r="Y15" s="16">
        <v>25324</v>
      </c>
      <c r="Z15" s="16">
        <v>25355</v>
      </c>
      <c r="AA15" s="16">
        <v>25385</v>
      </c>
      <c r="AB15" s="16">
        <v>25416</v>
      </c>
      <c r="AC15" s="16">
        <v>25447</v>
      </c>
      <c r="AE15" s="36"/>
      <c r="AF15" s="36"/>
      <c r="AG15" s="16" t="s">
        <v>85</v>
      </c>
      <c r="AH15" s="16" t="s">
        <v>86</v>
      </c>
      <c r="AI15" s="16" t="s">
        <v>85</v>
      </c>
      <c r="AJ15" s="16" t="s">
        <v>86</v>
      </c>
      <c r="AK15" s="16" t="s">
        <v>85</v>
      </c>
      <c r="AL15" s="16" t="s">
        <v>86</v>
      </c>
      <c r="AM15" s="16" t="s">
        <v>85</v>
      </c>
      <c r="AN15" s="16" t="s">
        <v>86</v>
      </c>
      <c r="AO15" s="16" t="s">
        <v>85</v>
      </c>
      <c r="AP15" s="16" t="s">
        <v>86</v>
      </c>
      <c r="AQ15" s="16" t="s">
        <v>85</v>
      </c>
      <c r="AR15" s="16" t="s">
        <v>86</v>
      </c>
      <c r="AS15" s="16" t="s">
        <v>85</v>
      </c>
      <c r="AT15" s="16" t="s">
        <v>86</v>
      </c>
      <c r="AU15" s="16" t="s">
        <v>85</v>
      </c>
      <c r="AV15" s="16" t="s">
        <v>86</v>
      </c>
      <c r="AW15" s="16" t="s">
        <v>85</v>
      </c>
      <c r="AX15" s="16" t="s">
        <v>86</v>
      </c>
      <c r="AY15" s="16" t="s">
        <v>85</v>
      </c>
      <c r="AZ15" s="16" t="s">
        <v>86</v>
      </c>
      <c r="BA15" s="16" t="s">
        <v>85</v>
      </c>
      <c r="BB15" s="16" t="s">
        <v>86</v>
      </c>
      <c r="BC15" s="16" t="s">
        <v>85</v>
      </c>
      <c r="BD15" s="16" t="s">
        <v>86</v>
      </c>
    </row>
    <row r="16" spans="1:56">
      <c r="A16" s="17"/>
      <c r="B16" s="18"/>
      <c r="C16" s="19"/>
      <c r="D16" s="19"/>
      <c r="E16" s="19"/>
      <c r="F16" s="19"/>
      <c r="G16" s="18"/>
      <c r="H16" s="18"/>
      <c r="I16" s="18"/>
      <c r="J16" s="18"/>
      <c r="K16" s="18"/>
      <c r="L16" s="18"/>
      <c r="M16" s="18"/>
      <c r="N16" s="18"/>
      <c r="P16" s="17"/>
      <c r="Q16" s="18"/>
      <c r="R16" s="19"/>
      <c r="S16" s="19"/>
      <c r="T16" s="19"/>
      <c r="U16" s="19"/>
      <c r="V16" s="18"/>
      <c r="W16" s="18"/>
      <c r="X16" s="18"/>
      <c r="Y16" s="18"/>
      <c r="Z16" s="18"/>
      <c r="AA16" s="18"/>
      <c r="AB16" s="18"/>
      <c r="AC16" s="18"/>
      <c r="AE16" s="17"/>
      <c r="AF16" s="18"/>
      <c r="AG16" s="19"/>
      <c r="AH16" s="19"/>
      <c r="AI16" s="19"/>
      <c r="AJ16" s="19"/>
      <c r="AK16" s="19"/>
      <c r="AL16" s="19"/>
      <c r="AM16" s="19"/>
      <c r="AN16" s="19"/>
      <c r="AO16" s="18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</row>
    <row r="17" spans="1:56">
      <c r="A17" s="17">
        <v>1</v>
      </c>
      <c r="B17" s="18" t="s">
        <v>10</v>
      </c>
      <c r="C17" s="19">
        <v>31792989.030000001</v>
      </c>
      <c r="D17" s="19">
        <v>31899510.829999998</v>
      </c>
      <c r="E17" s="19">
        <v>32009583.350000001</v>
      </c>
      <c r="F17" s="19"/>
      <c r="G17" s="18"/>
      <c r="H17" s="18"/>
      <c r="I17" s="18"/>
      <c r="J17" s="18"/>
      <c r="K17" s="18"/>
      <c r="L17" s="18"/>
      <c r="M17" s="18"/>
      <c r="N17" s="18"/>
      <c r="P17" s="17">
        <v>1</v>
      </c>
      <c r="Q17" s="18" t="s">
        <v>10</v>
      </c>
      <c r="R17" s="19">
        <v>42002793.659999996</v>
      </c>
      <c r="S17" s="19">
        <v>42151519.530000001</v>
      </c>
      <c r="T17" s="19">
        <v>42300245.399999999</v>
      </c>
      <c r="U17" s="19"/>
      <c r="V17" s="18"/>
      <c r="W17" s="18"/>
      <c r="X17" s="18"/>
      <c r="Y17" s="18"/>
      <c r="Z17" s="18"/>
      <c r="AA17" s="18"/>
      <c r="AB17" s="18"/>
      <c r="AC17" s="18"/>
      <c r="AE17" s="17">
        <v>1</v>
      </c>
      <c r="AF17" s="18" t="s">
        <v>10</v>
      </c>
      <c r="AG17" s="19">
        <f t="shared" ref="AG17:AG21" si="26">+C17-R17</f>
        <v>-10209804.629999995</v>
      </c>
      <c r="AH17" s="19">
        <f t="shared" ref="AH17:AH21" si="27">+AG17/C17*100</f>
        <v>-32.113383929916054</v>
      </c>
      <c r="AI17" s="19">
        <f t="shared" ref="AI17:AI21" si="28">+D17-S17</f>
        <v>-10252008.700000003</v>
      </c>
      <c r="AJ17" s="19">
        <f t="shared" ref="AJ17:AJ21" si="29">+AI17/D17*100</f>
        <v>-32.13845113373484</v>
      </c>
      <c r="AK17" s="19">
        <f t="shared" ref="AK17:AK21" si="30">+E17-T17</f>
        <v>-10290662.049999997</v>
      </c>
      <c r="AL17" s="19">
        <f t="shared" ref="AL17:AL21" si="31">+AK17/E17*100</f>
        <v>-32.148691026307894</v>
      </c>
      <c r="AM17" s="19">
        <f t="shared" ref="AM17:AM21" si="32">+F17-U17</f>
        <v>0</v>
      </c>
      <c r="AN17" s="19" t="e">
        <f t="shared" ref="AN17:AN21" si="33">+AM17/F17*100</f>
        <v>#DIV/0!</v>
      </c>
      <c r="AO17" s="19">
        <f t="shared" ref="AO17:AO21" si="34">+G17-V17</f>
        <v>0</v>
      </c>
      <c r="AP17" s="19" t="e">
        <f t="shared" ref="AP17:AP21" si="35">+AO17/G17*100</f>
        <v>#DIV/0!</v>
      </c>
      <c r="AQ17" s="19">
        <f t="shared" ref="AQ17:AQ21" si="36">+H17-W17</f>
        <v>0</v>
      </c>
      <c r="AR17" s="19" t="e">
        <f t="shared" ref="AR17:AR21" si="37">+AQ17/H17*100</f>
        <v>#DIV/0!</v>
      </c>
      <c r="AS17" s="19">
        <f t="shared" ref="AS17:AS21" si="38">+I17-X17</f>
        <v>0</v>
      </c>
      <c r="AT17" s="19" t="e">
        <f t="shared" ref="AT17:AT21" si="39">+AS17/I17*100</f>
        <v>#DIV/0!</v>
      </c>
      <c r="AU17" s="19">
        <f t="shared" ref="AU17:AU21" si="40">+J17-Y17</f>
        <v>0</v>
      </c>
      <c r="AV17" s="19" t="e">
        <f t="shared" ref="AV17:AV21" si="41">+AU17/J17*100</f>
        <v>#DIV/0!</v>
      </c>
      <c r="AW17" s="19">
        <f t="shared" ref="AW17:AW21" si="42">+K17-Z17</f>
        <v>0</v>
      </c>
      <c r="AX17" s="19" t="e">
        <f t="shared" ref="AX17:AX21" si="43">+AW17/K17*100</f>
        <v>#DIV/0!</v>
      </c>
      <c r="AY17" s="19">
        <f t="shared" ref="AY17:AY21" si="44">+L17-AA17</f>
        <v>0</v>
      </c>
      <c r="AZ17" s="19" t="e">
        <f t="shared" ref="AZ17:AZ21" si="45">+AY17/L17*100</f>
        <v>#DIV/0!</v>
      </c>
      <c r="BA17" s="19">
        <f t="shared" ref="BA17:BA21" si="46">+M17-AB17</f>
        <v>0</v>
      </c>
      <c r="BB17" s="19" t="e">
        <f t="shared" ref="BB17:BB21" si="47">+BA17/M17*100</f>
        <v>#DIV/0!</v>
      </c>
      <c r="BC17" s="19">
        <f t="shared" ref="BC17:BC21" si="48">+N17-AC17</f>
        <v>0</v>
      </c>
      <c r="BD17" s="19" t="e">
        <f t="shared" ref="BD17:BD21" si="49">+BC17/N17*100</f>
        <v>#DIV/0!</v>
      </c>
    </row>
    <row r="18" spans="1:56">
      <c r="A18" s="17">
        <v>2</v>
      </c>
      <c r="B18" s="18" t="s">
        <v>12</v>
      </c>
      <c r="C18" s="19">
        <v>5616004.6799999997</v>
      </c>
      <c r="D18" s="19">
        <v>5712667.4199999999</v>
      </c>
      <c r="E18" s="19">
        <v>5812552.25</v>
      </c>
      <c r="F18" s="19"/>
      <c r="G18" s="18"/>
      <c r="H18" s="18"/>
      <c r="I18" s="18"/>
      <c r="J18" s="18"/>
      <c r="K18" s="18"/>
      <c r="L18" s="18"/>
      <c r="M18" s="18"/>
      <c r="N18" s="18"/>
      <c r="P18" s="17">
        <v>2</v>
      </c>
      <c r="Q18" s="18" t="s">
        <v>12</v>
      </c>
      <c r="R18" s="19">
        <v>13433053.34</v>
      </c>
      <c r="S18" s="19">
        <v>13477919.6</v>
      </c>
      <c r="T18" s="19">
        <v>13522785.859999999</v>
      </c>
      <c r="U18" s="19"/>
      <c r="V18" s="18"/>
      <c r="W18" s="18"/>
      <c r="X18" s="18"/>
      <c r="Y18" s="18"/>
      <c r="Z18" s="18"/>
      <c r="AA18" s="18"/>
      <c r="AB18" s="18"/>
      <c r="AC18" s="18"/>
      <c r="AE18" s="17">
        <v>2</v>
      </c>
      <c r="AF18" s="18" t="s">
        <v>12</v>
      </c>
      <c r="AG18" s="19">
        <f t="shared" si="26"/>
        <v>-7817048.6600000001</v>
      </c>
      <c r="AH18" s="19">
        <f t="shared" si="27"/>
        <v>-139.19234590096531</v>
      </c>
      <c r="AI18" s="19">
        <f t="shared" si="28"/>
        <v>-7765252.1799999997</v>
      </c>
      <c r="AJ18" s="19">
        <f t="shared" si="29"/>
        <v>-135.93040884568072</v>
      </c>
      <c r="AK18" s="19">
        <f t="shared" si="30"/>
        <v>-7710233.6099999994</v>
      </c>
      <c r="AL18" s="19">
        <f t="shared" si="31"/>
        <v>-132.64798798152736</v>
      </c>
      <c r="AM18" s="19">
        <f t="shared" si="32"/>
        <v>0</v>
      </c>
      <c r="AN18" s="19" t="e">
        <f t="shared" si="33"/>
        <v>#DIV/0!</v>
      </c>
      <c r="AO18" s="19">
        <f t="shared" si="34"/>
        <v>0</v>
      </c>
      <c r="AP18" s="19" t="e">
        <f t="shared" si="35"/>
        <v>#DIV/0!</v>
      </c>
      <c r="AQ18" s="19">
        <f t="shared" si="36"/>
        <v>0</v>
      </c>
      <c r="AR18" s="19" t="e">
        <f t="shared" si="37"/>
        <v>#DIV/0!</v>
      </c>
      <c r="AS18" s="19">
        <f t="shared" si="38"/>
        <v>0</v>
      </c>
      <c r="AT18" s="19" t="e">
        <f t="shared" si="39"/>
        <v>#DIV/0!</v>
      </c>
      <c r="AU18" s="19">
        <f t="shared" si="40"/>
        <v>0</v>
      </c>
      <c r="AV18" s="19" t="e">
        <f t="shared" si="41"/>
        <v>#DIV/0!</v>
      </c>
      <c r="AW18" s="19">
        <f t="shared" si="42"/>
        <v>0</v>
      </c>
      <c r="AX18" s="19" t="e">
        <f t="shared" si="43"/>
        <v>#DIV/0!</v>
      </c>
      <c r="AY18" s="19">
        <f t="shared" si="44"/>
        <v>0</v>
      </c>
      <c r="AZ18" s="19" t="e">
        <f t="shared" si="45"/>
        <v>#DIV/0!</v>
      </c>
      <c r="BA18" s="19">
        <f t="shared" si="46"/>
        <v>0</v>
      </c>
      <c r="BB18" s="19" t="e">
        <f t="shared" si="47"/>
        <v>#DIV/0!</v>
      </c>
      <c r="BC18" s="19">
        <f t="shared" si="48"/>
        <v>0</v>
      </c>
      <c r="BD18" s="19" t="e">
        <f t="shared" si="49"/>
        <v>#DIV/0!</v>
      </c>
    </row>
    <row r="19" spans="1:56">
      <c r="A19" s="17">
        <v>3</v>
      </c>
      <c r="B19" s="18" t="s">
        <v>14</v>
      </c>
      <c r="C19" s="19">
        <v>3007994</v>
      </c>
      <c r="D19" s="19">
        <v>3007994</v>
      </c>
      <c r="E19" s="19">
        <v>3007994</v>
      </c>
      <c r="F19" s="19"/>
      <c r="G19" s="18"/>
      <c r="H19" s="18"/>
      <c r="I19" s="18"/>
      <c r="J19" s="18"/>
      <c r="K19" s="18"/>
      <c r="L19" s="18"/>
      <c r="M19" s="18"/>
      <c r="N19" s="18"/>
      <c r="P19" s="17">
        <v>3</v>
      </c>
      <c r="Q19" s="18" t="s">
        <v>14</v>
      </c>
      <c r="R19" s="19">
        <v>2729076.82</v>
      </c>
      <c r="S19" s="19">
        <v>2729600.49</v>
      </c>
      <c r="T19" s="19">
        <v>2730124.16</v>
      </c>
      <c r="U19" s="19"/>
      <c r="V19" s="18"/>
      <c r="W19" s="18"/>
      <c r="X19" s="18"/>
      <c r="Y19" s="18"/>
      <c r="Z19" s="18"/>
      <c r="AA19" s="18"/>
      <c r="AB19" s="18"/>
      <c r="AC19" s="18"/>
      <c r="AE19" s="17">
        <v>3</v>
      </c>
      <c r="AF19" s="18" t="s">
        <v>14</v>
      </c>
      <c r="AG19" s="19">
        <f t="shared" si="26"/>
        <v>278917.18000000017</v>
      </c>
      <c r="AH19" s="19">
        <f t="shared" si="27"/>
        <v>9.2725311287190131</v>
      </c>
      <c r="AI19" s="19">
        <f t="shared" si="28"/>
        <v>278393.50999999978</v>
      </c>
      <c r="AJ19" s="19">
        <f t="shared" si="29"/>
        <v>9.2551218519717722</v>
      </c>
      <c r="AK19" s="19">
        <f t="shared" si="30"/>
        <v>277869.83999999985</v>
      </c>
      <c r="AL19" s="19">
        <f t="shared" si="31"/>
        <v>9.2377125752245473</v>
      </c>
      <c r="AM19" s="19">
        <f t="shared" si="32"/>
        <v>0</v>
      </c>
      <c r="AN19" s="19" t="e">
        <f t="shared" si="33"/>
        <v>#DIV/0!</v>
      </c>
      <c r="AO19" s="19">
        <f t="shared" si="34"/>
        <v>0</v>
      </c>
      <c r="AP19" s="19" t="e">
        <f t="shared" si="35"/>
        <v>#DIV/0!</v>
      </c>
      <c r="AQ19" s="19">
        <f t="shared" si="36"/>
        <v>0</v>
      </c>
      <c r="AR19" s="19" t="e">
        <f t="shared" si="37"/>
        <v>#DIV/0!</v>
      </c>
      <c r="AS19" s="19">
        <f t="shared" si="38"/>
        <v>0</v>
      </c>
      <c r="AT19" s="19" t="e">
        <f t="shared" si="39"/>
        <v>#DIV/0!</v>
      </c>
      <c r="AU19" s="19">
        <f t="shared" si="40"/>
        <v>0</v>
      </c>
      <c r="AV19" s="19" t="e">
        <f t="shared" si="41"/>
        <v>#DIV/0!</v>
      </c>
      <c r="AW19" s="19">
        <f t="shared" si="42"/>
        <v>0</v>
      </c>
      <c r="AX19" s="19" t="e">
        <f t="shared" si="43"/>
        <v>#DIV/0!</v>
      </c>
      <c r="AY19" s="19">
        <f t="shared" si="44"/>
        <v>0</v>
      </c>
      <c r="AZ19" s="19" t="e">
        <f t="shared" si="45"/>
        <v>#DIV/0!</v>
      </c>
      <c r="BA19" s="19">
        <f t="shared" si="46"/>
        <v>0</v>
      </c>
      <c r="BB19" s="19" t="e">
        <f t="shared" si="47"/>
        <v>#DIV/0!</v>
      </c>
      <c r="BC19" s="19">
        <f t="shared" si="48"/>
        <v>0</v>
      </c>
      <c r="BD19" s="19" t="e">
        <f t="shared" si="49"/>
        <v>#DIV/0!</v>
      </c>
    </row>
    <row r="20" spans="1:56">
      <c r="A20" s="17">
        <v>4</v>
      </c>
      <c r="B20" s="18" t="s">
        <v>16</v>
      </c>
      <c r="C20" s="19">
        <v>7392344</v>
      </c>
      <c r="D20" s="19">
        <v>7392344</v>
      </c>
      <c r="E20" s="19">
        <v>7392344</v>
      </c>
      <c r="F20" s="19"/>
      <c r="G20" s="18"/>
      <c r="H20" s="18"/>
      <c r="I20" s="18"/>
      <c r="J20" s="18"/>
      <c r="K20" s="18"/>
      <c r="L20" s="18"/>
      <c r="M20" s="18"/>
      <c r="N20" s="18"/>
      <c r="P20" s="17">
        <v>4</v>
      </c>
      <c r="Q20" s="18" t="s">
        <v>16</v>
      </c>
      <c r="R20" s="19">
        <v>8483184</v>
      </c>
      <c r="S20" s="19">
        <v>8484017.3300000001</v>
      </c>
      <c r="T20" s="19">
        <v>8484850.6699999999</v>
      </c>
      <c r="U20" s="19"/>
      <c r="V20" s="18"/>
      <c r="W20" s="18"/>
      <c r="X20" s="18"/>
      <c r="Y20" s="18"/>
      <c r="Z20" s="18"/>
      <c r="AA20" s="18"/>
      <c r="AB20" s="18"/>
      <c r="AC20" s="18"/>
      <c r="AE20" s="17">
        <v>4</v>
      </c>
      <c r="AF20" s="18" t="s">
        <v>16</v>
      </c>
      <c r="AG20" s="19">
        <f t="shared" si="26"/>
        <v>-1090840</v>
      </c>
      <c r="AH20" s="19">
        <f t="shared" si="27"/>
        <v>-14.756347918873905</v>
      </c>
      <c r="AI20" s="19">
        <f t="shared" si="28"/>
        <v>-1091673.33</v>
      </c>
      <c r="AJ20" s="19">
        <f t="shared" si="29"/>
        <v>-14.767620797949879</v>
      </c>
      <c r="AK20" s="19">
        <f t="shared" si="30"/>
        <v>-1092506.67</v>
      </c>
      <c r="AL20" s="19">
        <f t="shared" si="31"/>
        <v>-14.778893812300941</v>
      </c>
      <c r="AM20" s="19">
        <f t="shared" si="32"/>
        <v>0</v>
      </c>
      <c r="AN20" s="19" t="e">
        <f t="shared" si="33"/>
        <v>#DIV/0!</v>
      </c>
      <c r="AO20" s="19">
        <f t="shared" si="34"/>
        <v>0</v>
      </c>
      <c r="AP20" s="19" t="e">
        <f t="shared" si="35"/>
        <v>#DIV/0!</v>
      </c>
      <c r="AQ20" s="19">
        <f t="shared" si="36"/>
        <v>0</v>
      </c>
      <c r="AR20" s="19" t="e">
        <f t="shared" si="37"/>
        <v>#DIV/0!</v>
      </c>
      <c r="AS20" s="19">
        <f t="shared" si="38"/>
        <v>0</v>
      </c>
      <c r="AT20" s="19" t="e">
        <f t="shared" si="39"/>
        <v>#DIV/0!</v>
      </c>
      <c r="AU20" s="19">
        <f t="shared" si="40"/>
        <v>0</v>
      </c>
      <c r="AV20" s="19" t="e">
        <f t="shared" si="41"/>
        <v>#DIV/0!</v>
      </c>
      <c r="AW20" s="19">
        <f t="shared" si="42"/>
        <v>0</v>
      </c>
      <c r="AX20" s="19" t="e">
        <f t="shared" si="43"/>
        <v>#DIV/0!</v>
      </c>
      <c r="AY20" s="19">
        <f t="shared" si="44"/>
        <v>0</v>
      </c>
      <c r="AZ20" s="19" t="e">
        <f t="shared" si="45"/>
        <v>#DIV/0!</v>
      </c>
      <c r="BA20" s="19">
        <f t="shared" si="46"/>
        <v>0</v>
      </c>
      <c r="BB20" s="19" t="e">
        <f t="shared" si="47"/>
        <v>#DIV/0!</v>
      </c>
      <c r="BC20" s="19">
        <f t="shared" si="48"/>
        <v>0</v>
      </c>
      <c r="BD20" s="19" t="e">
        <f t="shared" si="49"/>
        <v>#DIV/0!</v>
      </c>
    </row>
    <row r="21" spans="1:56" ht="25.2" thickBot="1">
      <c r="A21" s="20"/>
      <c r="B21" s="20" t="s">
        <v>17</v>
      </c>
      <c r="C21" s="21">
        <f>SUM(C16:C20)</f>
        <v>47809331.710000001</v>
      </c>
      <c r="D21" s="21">
        <f t="shared" ref="D21:N21" si="50">SUM(D16:D20)</f>
        <v>48012516.25</v>
      </c>
      <c r="E21" s="21">
        <f t="shared" si="50"/>
        <v>48222473.600000001</v>
      </c>
      <c r="F21" s="21">
        <f t="shared" si="50"/>
        <v>0</v>
      </c>
      <c r="G21" s="21">
        <f t="shared" si="50"/>
        <v>0</v>
      </c>
      <c r="H21" s="21">
        <f t="shared" si="50"/>
        <v>0</v>
      </c>
      <c r="I21" s="21">
        <f t="shared" si="50"/>
        <v>0</v>
      </c>
      <c r="J21" s="21">
        <f t="shared" si="50"/>
        <v>0</v>
      </c>
      <c r="K21" s="21">
        <f t="shared" si="50"/>
        <v>0</v>
      </c>
      <c r="L21" s="21">
        <f t="shared" si="50"/>
        <v>0</v>
      </c>
      <c r="M21" s="21">
        <f t="shared" si="50"/>
        <v>0</v>
      </c>
      <c r="N21" s="21">
        <f t="shared" si="50"/>
        <v>0</v>
      </c>
      <c r="P21" s="20"/>
      <c r="Q21" s="20" t="s">
        <v>17</v>
      </c>
      <c r="R21" s="21">
        <f>SUM(R16:R20)</f>
        <v>66648107.82</v>
      </c>
      <c r="S21" s="21">
        <f t="shared" ref="S21:AC21" si="51">SUM(S16:S20)</f>
        <v>66843056.950000003</v>
      </c>
      <c r="T21" s="21">
        <f t="shared" si="51"/>
        <v>67038006.090000004</v>
      </c>
      <c r="U21" s="21">
        <f t="shared" si="51"/>
        <v>0</v>
      </c>
      <c r="V21" s="21">
        <f t="shared" si="51"/>
        <v>0</v>
      </c>
      <c r="W21" s="21">
        <f t="shared" si="51"/>
        <v>0</v>
      </c>
      <c r="X21" s="21">
        <f t="shared" si="51"/>
        <v>0</v>
      </c>
      <c r="Y21" s="21">
        <f t="shared" si="51"/>
        <v>0</v>
      </c>
      <c r="Z21" s="21">
        <f t="shared" si="51"/>
        <v>0</v>
      </c>
      <c r="AA21" s="21">
        <f t="shared" si="51"/>
        <v>0</v>
      </c>
      <c r="AB21" s="21">
        <f t="shared" si="51"/>
        <v>0</v>
      </c>
      <c r="AC21" s="21">
        <f t="shared" si="51"/>
        <v>0</v>
      </c>
      <c r="AE21" s="20"/>
      <c r="AF21" s="20" t="s">
        <v>17</v>
      </c>
      <c r="AG21" s="23">
        <f t="shared" si="26"/>
        <v>-18838776.109999999</v>
      </c>
      <c r="AH21" s="23">
        <f t="shared" si="27"/>
        <v>-39.403972898578715</v>
      </c>
      <c r="AI21" s="23">
        <f t="shared" si="28"/>
        <v>-18830540.700000003</v>
      </c>
      <c r="AJ21" s="23">
        <f t="shared" si="29"/>
        <v>-39.220066288444116</v>
      </c>
      <c r="AK21" s="23">
        <f t="shared" si="30"/>
        <v>-18815532.490000002</v>
      </c>
      <c r="AL21" s="23">
        <f t="shared" si="31"/>
        <v>-39.018181949919715</v>
      </c>
      <c r="AM21" s="23">
        <f t="shared" si="32"/>
        <v>0</v>
      </c>
      <c r="AN21" s="23" t="e">
        <f t="shared" si="33"/>
        <v>#DIV/0!</v>
      </c>
      <c r="AO21" s="23">
        <f t="shared" si="34"/>
        <v>0</v>
      </c>
      <c r="AP21" s="23" t="e">
        <f t="shared" si="35"/>
        <v>#DIV/0!</v>
      </c>
      <c r="AQ21" s="23">
        <f t="shared" si="36"/>
        <v>0</v>
      </c>
      <c r="AR21" s="23" t="e">
        <f t="shared" si="37"/>
        <v>#DIV/0!</v>
      </c>
      <c r="AS21" s="23">
        <f t="shared" si="38"/>
        <v>0</v>
      </c>
      <c r="AT21" s="23" t="e">
        <f t="shared" si="39"/>
        <v>#DIV/0!</v>
      </c>
      <c r="AU21" s="23">
        <f t="shared" si="40"/>
        <v>0</v>
      </c>
      <c r="AV21" s="23" t="e">
        <f t="shared" si="41"/>
        <v>#DIV/0!</v>
      </c>
      <c r="AW21" s="23">
        <f t="shared" si="42"/>
        <v>0</v>
      </c>
      <c r="AX21" s="23" t="e">
        <f t="shared" si="43"/>
        <v>#DIV/0!</v>
      </c>
      <c r="AY21" s="23">
        <f t="shared" si="44"/>
        <v>0</v>
      </c>
      <c r="AZ21" s="23" t="e">
        <f t="shared" si="45"/>
        <v>#DIV/0!</v>
      </c>
      <c r="BA21" s="23">
        <f t="shared" si="46"/>
        <v>0</v>
      </c>
      <c r="BB21" s="23" t="e">
        <f t="shared" si="47"/>
        <v>#DIV/0!</v>
      </c>
      <c r="BC21" s="23">
        <f t="shared" si="48"/>
        <v>0</v>
      </c>
      <c r="BD21" s="23" t="e">
        <f t="shared" si="49"/>
        <v>#DIV/0!</v>
      </c>
    </row>
    <row r="22" spans="1:56" ht="25.2" thickTop="1"/>
    <row r="23" spans="1:56">
      <c r="A23" s="37" t="s">
        <v>47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P23" s="37" t="s">
        <v>51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E23" s="37" t="s">
        <v>88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</row>
    <row r="24" spans="1:56">
      <c r="A24" s="37" t="s">
        <v>1947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P24" s="37" t="s">
        <v>1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E24" s="37" t="s">
        <v>1</v>
      </c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</row>
    <row r="25" spans="1:56" s="25" customFormat="1">
      <c r="A25" s="35" t="s">
        <v>2</v>
      </c>
      <c r="B25" s="35" t="s">
        <v>3</v>
      </c>
      <c r="C25" s="38" t="s">
        <v>4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P25" s="35" t="s">
        <v>2</v>
      </c>
      <c r="Q25" s="35" t="s">
        <v>3</v>
      </c>
      <c r="R25" s="38" t="s">
        <v>5</v>
      </c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/>
      <c r="AE25" s="35" t="s">
        <v>2</v>
      </c>
      <c r="AF25" s="35" t="s">
        <v>3</v>
      </c>
      <c r="AG25" s="33">
        <v>25112</v>
      </c>
      <c r="AH25" s="34"/>
      <c r="AI25" s="33">
        <v>25143</v>
      </c>
      <c r="AJ25" s="34"/>
      <c r="AK25" s="33">
        <v>25173</v>
      </c>
      <c r="AL25" s="34"/>
      <c r="AM25" s="33">
        <v>25204</v>
      </c>
      <c r="AN25" s="34"/>
      <c r="AO25" s="33">
        <v>25235</v>
      </c>
      <c r="AP25" s="34"/>
      <c r="AQ25" s="33">
        <v>25263</v>
      </c>
      <c r="AR25" s="34"/>
      <c r="AS25" s="33">
        <v>25294</v>
      </c>
      <c r="AT25" s="34"/>
      <c r="AU25" s="33">
        <v>25324</v>
      </c>
      <c r="AV25" s="34"/>
      <c r="AW25" s="33">
        <v>25355</v>
      </c>
      <c r="AX25" s="34"/>
      <c r="AY25" s="33">
        <v>25385</v>
      </c>
      <c r="AZ25" s="34"/>
      <c r="BA25" s="33">
        <v>25416</v>
      </c>
      <c r="BB25" s="34"/>
      <c r="BC25" s="33">
        <v>25447</v>
      </c>
      <c r="BD25" s="34"/>
    </row>
    <row r="26" spans="1:56" s="25" customFormat="1">
      <c r="A26" s="36"/>
      <c r="B26" s="36"/>
      <c r="C26" s="16">
        <v>25112</v>
      </c>
      <c r="D26" s="16">
        <v>25143</v>
      </c>
      <c r="E26" s="16">
        <v>25173</v>
      </c>
      <c r="F26" s="16">
        <v>25204</v>
      </c>
      <c r="G26" s="16">
        <v>25235</v>
      </c>
      <c r="H26" s="16">
        <v>25263</v>
      </c>
      <c r="I26" s="16">
        <v>25294</v>
      </c>
      <c r="J26" s="16">
        <v>25324</v>
      </c>
      <c r="K26" s="16">
        <v>25355</v>
      </c>
      <c r="L26" s="16">
        <v>25385</v>
      </c>
      <c r="M26" s="16">
        <v>25416</v>
      </c>
      <c r="N26" s="16">
        <v>25447</v>
      </c>
      <c r="P26" s="36"/>
      <c r="Q26" s="36"/>
      <c r="R26" s="16">
        <v>25112</v>
      </c>
      <c r="S26" s="16">
        <v>25143</v>
      </c>
      <c r="T26" s="16">
        <v>25173</v>
      </c>
      <c r="U26" s="16">
        <v>25204</v>
      </c>
      <c r="V26" s="16">
        <v>25235</v>
      </c>
      <c r="W26" s="16">
        <v>25263</v>
      </c>
      <c r="X26" s="16">
        <v>25294</v>
      </c>
      <c r="Y26" s="16">
        <v>25324</v>
      </c>
      <c r="Z26" s="16">
        <v>25355</v>
      </c>
      <c r="AA26" s="16">
        <v>25385</v>
      </c>
      <c r="AB26" s="16">
        <v>25416</v>
      </c>
      <c r="AC26" s="16">
        <v>25447</v>
      </c>
      <c r="AE26" s="36"/>
      <c r="AF26" s="36"/>
      <c r="AG26" s="16" t="s">
        <v>85</v>
      </c>
      <c r="AH26" s="16" t="s">
        <v>86</v>
      </c>
      <c r="AI26" s="16" t="s">
        <v>85</v>
      </c>
      <c r="AJ26" s="16" t="s">
        <v>86</v>
      </c>
      <c r="AK26" s="16" t="s">
        <v>85</v>
      </c>
      <c r="AL26" s="16" t="s">
        <v>86</v>
      </c>
      <c r="AM26" s="16" t="s">
        <v>85</v>
      </c>
      <c r="AN26" s="16" t="s">
        <v>86</v>
      </c>
      <c r="AO26" s="16" t="s">
        <v>85</v>
      </c>
      <c r="AP26" s="16" t="s">
        <v>86</v>
      </c>
      <c r="AQ26" s="16" t="s">
        <v>85</v>
      </c>
      <c r="AR26" s="16" t="s">
        <v>86</v>
      </c>
      <c r="AS26" s="16" t="s">
        <v>85</v>
      </c>
      <c r="AT26" s="16" t="s">
        <v>86</v>
      </c>
      <c r="AU26" s="16" t="s">
        <v>85</v>
      </c>
      <c r="AV26" s="16" t="s">
        <v>86</v>
      </c>
      <c r="AW26" s="16" t="s">
        <v>85</v>
      </c>
      <c r="AX26" s="16" t="s">
        <v>86</v>
      </c>
      <c r="AY26" s="16" t="s">
        <v>85</v>
      </c>
      <c r="AZ26" s="16" t="s">
        <v>86</v>
      </c>
      <c r="BA26" s="16" t="s">
        <v>85</v>
      </c>
      <c r="BB26" s="16" t="s">
        <v>86</v>
      </c>
      <c r="BC26" s="16" t="s">
        <v>85</v>
      </c>
      <c r="BD26" s="16" t="s">
        <v>86</v>
      </c>
    </row>
    <row r="27" spans="1:56">
      <c r="A27" s="17">
        <v>1</v>
      </c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>
        <v>104270</v>
      </c>
      <c r="M27" s="19"/>
      <c r="N27" s="19"/>
      <c r="O27" s="26"/>
      <c r="P27" s="17">
        <v>1</v>
      </c>
      <c r="Q27" s="18" t="s">
        <v>18</v>
      </c>
      <c r="R27" s="19">
        <v>104270</v>
      </c>
      <c r="S27" s="19">
        <v>104270</v>
      </c>
      <c r="T27" s="19">
        <v>104270</v>
      </c>
      <c r="U27" s="19"/>
      <c r="V27" s="19"/>
      <c r="W27" s="19"/>
      <c r="X27" s="19"/>
      <c r="Y27" s="19"/>
      <c r="Z27" s="19"/>
      <c r="AA27" s="19">
        <v>104270</v>
      </c>
      <c r="AB27" s="19"/>
      <c r="AC27" s="19"/>
      <c r="AE27" s="17">
        <v>1</v>
      </c>
      <c r="AF27" s="18" t="s">
        <v>18</v>
      </c>
      <c r="AG27" s="19">
        <f t="shared" ref="AG27:AG41" si="52">+C27-R27</f>
        <v>-104270</v>
      </c>
      <c r="AH27" s="19" t="e">
        <f t="shared" ref="AH27:AH41" si="53">+AG27/C27*100</f>
        <v>#DIV/0!</v>
      </c>
      <c r="AI27" s="19">
        <f t="shared" ref="AI27:AI41" si="54">+D27-S27</f>
        <v>-104270</v>
      </c>
      <c r="AJ27" s="19" t="e">
        <f t="shared" ref="AJ27:AJ41" si="55">+AI27/D27*100</f>
        <v>#DIV/0!</v>
      </c>
      <c r="AK27" s="19">
        <f t="shared" ref="AK27:AK41" si="56">+E27-T27</f>
        <v>-104270</v>
      </c>
      <c r="AL27" s="19" t="e">
        <f t="shared" ref="AL27:AL41" si="57">+AK27/E27*100</f>
        <v>#DIV/0!</v>
      </c>
      <c r="AM27" s="19">
        <f t="shared" ref="AM27:AM41" si="58">+F27-U27</f>
        <v>0</v>
      </c>
      <c r="AN27" s="19" t="e">
        <f t="shared" ref="AN27:AN41" si="59">+AM27/F27*100</f>
        <v>#DIV/0!</v>
      </c>
      <c r="AO27" s="19">
        <f t="shared" ref="AO27:AO41" si="60">+G27-V27</f>
        <v>0</v>
      </c>
      <c r="AP27" s="19" t="e">
        <f t="shared" ref="AP27:AP41" si="61">+AO27/G27*100</f>
        <v>#DIV/0!</v>
      </c>
      <c r="AQ27" s="19">
        <f t="shared" ref="AQ27:AQ41" si="62">+H27-W27</f>
        <v>0</v>
      </c>
      <c r="AR27" s="19" t="e">
        <f t="shared" ref="AR27:AR41" si="63">+AQ27/H27*100</f>
        <v>#DIV/0!</v>
      </c>
      <c r="AS27" s="19">
        <f t="shared" ref="AS27:AS41" si="64">+I27-X27</f>
        <v>0</v>
      </c>
      <c r="AT27" s="19" t="e">
        <f t="shared" ref="AT27:AT41" si="65">+AS27/I27*100</f>
        <v>#DIV/0!</v>
      </c>
      <c r="AU27" s="19">
        <f t="shared" ref="AU27:AU41" si="66">+J27-Y27</f>
        <v>0</v>
      </c>
      <c r="AV27" s="19" t="e">
        <f t="shared" ref="AV27:AV41" si="67">+AU27/J27*100</f>
        <v>#DIV/0!</v>
      </c>
      <c r="AW27" s="19">
        <f t="shared" ref="AW27:AW41" si="68">+K27-Z27</f>
        <v>0</v>
      </c>
      <c r="AX27" s="19" t="e">
        <f t="shared" ref="AX27:AX41" si="69">+AW27/K27*100</f>
        <v>#DIV/0!</v>
      </c>
      <c r="AY27" s="19">
        <f t="shared" ref="AY27:AY41" si="70">+L27-AA27</f>
        <v>0</v>
      </c>
      <c r="AZ27" s="19">
        <f t="shared" ref="AZ27:AZ41" si="71">+AY27/L27*100</f>
        <v>0</v>
      </c>
      <c r="BA27" s="19">
        <f t="shared" ref="BA27:BA41" si="72">+M27-AB27</f>
        <v>0</v>
      </c>
      <c r="BB27" s="19" t="e">
        <f t="shared" ref="BB27:BB41" si="73">+BA27/M27*100</f>
        <v>#DIV/0!</v>
      </c>
      <c r="BC27" s="19">
        <f t="shared" ref="BC27:BC41" si="74">+N27-AC27</f>
        <v>0</v>
      </c>
      <c r="BD27" s="19" t="e">
        <f t="shared" ref="BD27:BD41" si="75">+BC27/N27*100</f>
        <v>#DIV/0!</v>
      </c>
    </row>
    <row r="28" spans="1:56">
      <c r="A28" s="17">
        <v>2</v>
      </c>
      <c r="B28" s="18" t="s">
        <v>20</v>
      </c>
      <c r="C28" s="19"/>
      <c r="D28" s="19"/>
      <c r="E28" s="19"/>
      <c r="F28" s="19"/>
      <c r="G28" s="19"/>
      <c r="H28" s="19"/>
      <c r="I28" s="19"/>
      <c r="J28" s="19"/>
      <c r="K28" s="19"/>
      <c r="L28" s="19">
        <v>1645000</v>
      </c>
      <c r="M28" s="19"/>
      <c r="N28" s="19"/>
      <c r="O28" s="26"/>
      <c r="P28" s="17">
        <v>2</v>
      </c>
      <c r="Q28" s="18" t="s">
        <v>20</v>
      </c>
      <c r="R28" s="19">
        <v>1645000</v>
      </c>
      <c r="S28" s="19">
        <v>1645000</v>
      </c>
      <c r="T28" s="19">
        <v>1645000</v>
      </c>
      <c r="U28" s="19"/>
      <c r="V28" s="19"/>
      <c r="W28" s="19"/>
      <c r="X28" s="19"/>
      <c r="Y28" s="19"/>
      <c r="Z28" s="19"/>
      <c r="AA28" s="19">
        <v>1645000</v>
      </c>
      <c r="AB28" s="19"/>
      <c r="AC28" s="19"/>
      <c r="AE28" s="17">
        <v>2</v>
      </c>
      <c r="AF28" s="18" t="s">
        <v>20</v>
      </c>
      <c r="AG28" s="19">
        <f t="shared" si="52"/>
        <v>-1645000</v>
      </c>
      <c r="AH28" s="19" t="e">
        <f t="shared" si="53"/>
        <v>#DIV/0!</v>
      </c>
      <c r="AI28" s="19">
        <f t="shared" si="54"/>
        <v>-1645000</v>
      </c>
      <c r="AJ28" s="19" t="e">
        <f t="shared" si="55"/>
        <v>#DIV/0!</v>
      </c>
      <c r="AK28" s="19">
        <f t="shared" si="56"/>
        <v>-1645000</v>
      </c>
      <c r="AL28" s="19" t="e">
        <f t="shared" si="57"/>
        <v>#DIV/0!</v>
      </c>
      <c r="AM28" s="19">
        <f t="shared" si="58"/>
        <v>0</v>
      </c>
      <c r="AN28" s="19" t="e">
        <f t="shared" si="59"/>
        <v>#DIV/0!</v>
      </c>
      <c r="AO28" s="19">
        <f t="shared" si="60"/>
        <v>0</v>
      </c>
      <c r="AP28" s="19" t="e">
        <f t="shared" si="61"/>
        <v>#DIV/0!</v>
      </c>
      <c r="AQ28" s="19">
        <f t="shared" si="62"/>
        <v>0</v>
      </c>
      <c r="AR28" s="19" t="e">
        <f t="shared" si="63"/>
        <v>#DIV/0!</v>
      </c>
      <c r="AS28" s="19">
        <f t="shared" si="64"/>
        <v>0</v>
      </c>
      <c r="AT28" s="19" t="e">
        <f t="shared" si="65"/>
        <v>#DIV/0!</v>
      </c>
      <c r="AU28" s="19">
        <f t="shared" si="66"/>
        <v>0</v>
      </c>
      <c r="AV28" s="19" t="e">
        <f t="shared" si="67"/>
        <v>#DIV/0!</v>
      </c>
      <c r="AW28" s="19">
        <f t="shared" si="68"/>
        <v>0</v>
      </c>
      <c r="AX28" s="19" t="e">
        <f t="shared" si="69"/>
        <v>#DIV/0!</v>
      </c>
      <c r="AY28" s="19">
        <f t="shared" si="70"/>
        <v>0</v>
      </c>
      <c r="AZ28" s="19">
        <f t="shared" si="71"/>
        <v>0</v>
      </c>
      <c r="BA28" s="19">
        <f t="shared" si="72"/>
        <v>0</v>
      </c>
      <c r="BB28" s="19" t="e">
        <f t="shared" si="73"/>
        <v>#DIV/0!</v>
      </c>
      <c r="BC28" s="19">
        <f t="shared" si="74"/>
        <v>0</v>
      </c>
      <c r="BD28" s="19" t="e">
        <f t="shared" si="75"/>
        <v>#DIV/0!</v>
      </c>
    </row>
    <row r="29" spans="1:56">
      <c r="A29" s="17">
        <v>3</v>
      </c>
      <c r="B29" s="18" t="s">
        <v>22</v>
      </c>
      <c r="C29" s="19">
        <v>1420000</v>
      </c>
      <c r="D29" s="19">
        <v>1420000</v>
      </c>
      <c r="E29" s="19">
        <v>1420000</v>
      </c>
      <c r="F29" s="19"/>
      <c r="G29" s="19"/>
      <c r="H29" s="19"/>
      <c r="I29" s="19"/>
      <c r="J29" s="19"/>
      <c r="K29" s="19"/>
      <c r="L29" s="19">
        <v>745000</v>
      </c>
      <c r="M29" s="19"/>
      <c r="N29" s="19"/>
      <c r="O29" s="26"/>
      <c r="P29" s="17">
        <v>3</v>
      </c>
      <c r="Q29" s="18" t="s">
        <v>22</v>
      </c>
      <c r="R29" s="19">
        <v>745000</v>
      </c>
      <c r="S29" s="19">
        <v>745000</v>
      </c>
      <c r="T29" s="19">
        <v>745000</v>
      </c>
      <c r="U29" s="19"/>
      <c r="V29" s="19"/>
      <c r="W29" s="19"/>
      <c r="X29" s="19"/>
      <c r="Y29" s="19"/>
      <c r="Z29" s="19"/>
      <c r="AA29" s="19">
        <v>745000</v>
      </c>
      <c r="AB29" s="19"/>
      <c r="AC29" s="19"/>
      <c r="AE29" s="17">
        <v>3</v>
      </c>
      <c r="AF29" s="18" t="s">
        <v>22</v>
      </c>
      <c r="AG29" s="19">
        <f t="shared" si="52"/>
        <v>675000</v>
      </c>
      <c r="AH29" s="19">
        <f t="shared" si="53"/>
        <v>47.535211267605632</v>
      </c>
      <c r="AI29" s="19">
        <f t="shared" si="54"/>
        <v>675000</v>
      </c>
      <c r="AJ29" s="19">
        <f t="shared" si="55"/>
        <v>47.535211267605632</v>
      </c>
      <c r="AK29" s="19">
        <f t="shared" si="56"/>
        <v>675000</v>
      </c>
      <c r="AL29" s="19">
        <f t="shared" si="57"/>
        <v>47.535211267605632</v>
      </c>
      <c r="AM29" s="19">
        <f t="shared" si="58"/>
        <v>0</v>
      </c>
      <c r="AN29" s="19" t="e">
        <f t="shared" si="59"/>
        <v>#DIV/0!</v>
      </c>
      <c r="AO29" s="19">
        <f t="shared" si="60"/>
        <v>0</v>
      </c>
      <c r="AP29" s="19" t="e">
        <f t="shared" si="61"/>
        <v>#DIV/0!</v>
      </c>
      <c r="AQ29" s="19">
        <f t="shared" si="62"/>
        <v>0</v>
      </c>
      <c r="AR29" s="19" t="e">
        <f t="shared" si="63"/>
        <v>#DIV/0!</v>
      </c>
      <c r="AS29" s="19">
        <f t="shared" si="64"/>
        <v>0</v>
      </c>
      <c r="AT29" s="19" t="e">
        <f t="shared" si="65"/>
        <v>#DIV/0!</v>
      </c>
      <c r="AU29" s="19">
        <f t="shared" si="66"/>
        <v>0</v>
      </c>
      <c r="AV29" s="19" t="e">
        <f t="shared" si="67"/>
        <v>#DIV/0!</v>
      </c>
      <c r="AW29" s="19">
        <f t="shared" si="68"/>
        <v>0</v>
      </c>
      <c r="AX29" s="19" t="e">
        <f t="shared" si="69"/>
        <v>#DIV/0!</v>
      </c>
      <c r="AY29" s="19">
        <f t="shared" si="70"/>
        <v>0</v>
      </c>
      <c r="AZ29" s="19">
        <f t="shared" si="71"/>
        <v>0</v>
      </c>
      <c r="BA29" s="19">
        <f t="shared" si="72"/>
        <v>0</v>
      </c>
      <c r="BB29" s="19" t="e">
        <f t="shared" si="73"/>
        <v>#DIV/0!</v>
      </c>
      <c r="BC29" s="19">
        <f t="shared" si="74"/>
        <v>0</v>
      </c>
      <c r="BD29" s="19" t="e">
        <f t="shared" si="75"/>
        <v>#DIV/0!</v>
      </c>
    </row>
    <row r="30" spans="1:56">
      <c r="A30" s="17">
        <v>4</v>
      </c>
      <c r="B30" s="18" t="s">
        <v>24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6"/>
      <c r="P30" s="17">
        <v>4</v>
      </c>
      <c r="Q30" s="18" t="s">
        <v>24</v>
      </c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E30" s="17">
        <v>4</v>
      </c>
      <c r="AF30" s="18" t="s">
        <v>24</v>
      </c>
      <c r="AG30" s="19">
        <f t="shared" si="52"/>
        <v>0</v>
      </c>
      <c r="AH30" s="19" t="e">
        <f t="shared" si="53"/>
        <v>#DIV/0!</v>
      </c>
      <c r="AI30" s="19">
        <f t="shared" si="54"/>
        <v>0</v>
      </c>
      <c r="AJ30" s="19" t="e">
        <f t="shared" si="55"/>
        <v>#DIV/0!</v>
      </c>
      <c r="AK30" s="19">
        <f t="shared" si="56"/>
        <v>0</v>
      </c>
      <c r="AL30" s="19" t="e">
        <f t="shared" si="57"/>
        <v>#DIV/0!</v>
      </c>
      <c r="AM30" s="19">
        <f t="shared" si="58"/>
        <v>0</v>
      </c>
      <c r="AN30" s="19" t="e">
        <f t="shared" si="59"/>
        <v>#DIV/0!</v>
      </c>
      <c r="AO30" s="19">
        <f t="shared" si="60"/>
        <v>0</v>
      </c>
      <c r="AP30" s="19" t="e">
        <f t="shared" si="61"/>
        <v>#DIV/0!</v>
      </c>
      <c r="AQ30" s="19">
        <f t="shared" si="62"/>
        <v>0</v>
      </c>
      <c r="AR30" s="19" t="e">
        <f t="shared" si="63"/>
        <v>#DIV/0!</v>
      </c>
      <c r="AS30" s="19">
        <f t="shared" si="64"/>
        <v>0</v>
      </c>
      <c r="AT30" s="19" t="e">
        <f t="shared" si="65"/>
        <v>#DIV/0!</v>
      </c>
      <c r="AU30" s="19">
        <f t="shared" si="66"/>
        <v>0</v>
      </c>
      <c r="AV30" s="19" t="e">
        <f t="shared" si="67"/>
        <v>#DIV/0!</v>
      </c>
      <c r="AW30" s="19">
        <f t="shared" si="68"/>
        <v>0</v>
      </c>
      <c r="AX30" s="19" t="e">
        <f t="shared" si="69"/>
        <v>#DIV/0!</v>
      </c>
      <c r="AY30" s="19">
        <f t="shared" si="70"/>
        <v>0</v>
      </c>
      <c r="AZ30" s="19" t="e">
        <f t="shared" si="71"/>
        <v>#DIV/0!</v>
      </c>
      <c r="BA30" s="19">
        <f t="shared" si="72"/>
        <v>0</v>
      </c>
      <c r="BB30" s="19" t="e">
        <f t="shared" si="73"/>
        <v>#DIV/0!</v>
      </c>
      <c r="BC30" s="19">
        <f t="shared" si="74"/>
        <v>0</v>
      </c>
      <c r="BD30" s="19" t="e">
        <f t="shared" si="75"/>
        <v>#DIV/0!</v>
      </c>
    </row>
    <row r="31" spans="1:56">
      <c r="A31" s="17">
        <v>5</v>
      </c>
      <c r="B31" s="18" t="s">
        <v>26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6"/>
      <c r="P31" s="17">
        <v>5</v>
      </c>
      <c r="Q31" s="18" t="s">
        <v>26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E31" s="17">
        <v>5</v>
      </c>
      <c r="AF31" s="18" t="s">
        <v>26</v>
      </c>
      <c r="AG31" s="19">
        <f t="shared" si="52"/>
        <v>0</v>
      </c>
      <c r="AH31" s="19" t="e">
        <f t="shared" si="53"/>
        <v>#DIV/0!</v>
      </c>
      <c r="AI31" s="19">
        <f t="shared" si="54"/>
        <v>0</v>
      </c>
      <c r="AJ31" s="19" t="e">
        <f t="shared" si="55"/>
        <v>#DIV/0!</v>
      </c>
      <c r="AK31" s="19">
        <f t="shared" si="56"/>
        <v>0</v>
      </c>
      <c r="AL31" s="19" t="e">
        <f t="shared" si="57"/>
        <v>#DIV/0!</v>
      </c>
      <c r="AM31" s="19">
        <f t="shared" si="58"/>
        <v>0</v>
      </c>
      <c r="AN31" s="19" t="e">
        <f t="shared" si="59"/>
        <v>#DIV/0!</v>
      </c>
      <c r="AO31" s="19">
        <f t="shared" si="60"/>
        <v>0</v>
      </c>
      <c r="AP31" s="19" t="e">
        <f t="shared" si="61"/>
        <v>#DIV/0!</v>
      </c>
      <c r="AQ31" s="19">
        <f t="shared" si="62"/>
        <v>0</v>
      </c>
      <c r="AR31" s="19" t="e">
        <f t="shared" si="63"/>
        <v>#DIV/0!</v>
      </c>
      <c r="AS31" s="19">
        <f t="shared" si="64"/>
        <v>0</v>
      </c>
      <c r="AT31" s="19" t="e">
        <f t="shared" si="65"/>
        <v>#DIV/0!</v>
      </c>
      <c r="AU31" s="19">
        <f t="shared" si="66"/>
        <v>0</v>
      </c>
      <c r="AV31" s="19" t="e">
        <f t="shared" si="67"/>
        <v>#DIV/0!</v>
      </c>
      <c r="AW31" s="19">
        <f t="shared" si="68"/>
        <v>0</v>
      </c>
      <c r="AX31" s="19" t="e">
        <f t="shared" si="69"/>
        <v>#DIV/0!</v>
      </c>
      <c r="AY31" s="19">
        <f t="shared" si="70"/>
        <v>0</v>
      </c>
      <c r="AZ31" s="19" t="e">
        <f t="shared" si="71"/>
        <v>#DIV/0!</v>
      </c>
      <c r="BA31" s="19">
        <f t="shared" si="72"/>
        <v>0</v>
      </c>
      <c r="BB31" s="19" t="e">
        <f t="shared" si="73"/>
        <v>#DIV/0!</v>
      </c>
      <c r="BC31" s="19">
        <f t="shared" si="74"/>
        <v>0</v>
      </c>
      <c r="BD31" s="19" t="e">
        <f t="shared" si="75"/>
        <v>#DIV/0!</v>
      </c>
    </row>
    <row r="32" spans="1:56">
      <c r="A32" s="17">
        <v>6</v>
      </c>
      <c r="B32" s="18" t="s">
        <v>28</v>
      </c>
      <c r="C32" s="19">
        <v>7114323</v>
      </c>
      <c r="D32" s="19">
        <v>7114323</v>
      </c>
      <c r="E32" s="19">
        <v>7114323</v>
      </c>
      <c r="F32" s="19"/>
      <c r="G32" s="19"/>
      <c r="H32" s="19"/>
      <c r="I32" s="19"/>
      <c r="J32" s="19"/>
      <c r="K32" s="19"/>
      <c r="L32" s="19">
        <v>7908423</v>
      </c>
      <c r="M32" s="19"/>
      <c r="N32" s="19"/>
      <c r="O32" s="26"/>
      <c r="P32" s="17">
        <v>6</v>
      </c>
      <c r="Q32" s="18" t="s">
        <v>28</v>
      </c>
      <c r="R32" s="19">
        <v>7908423</v>
      </c>
      <c r="S32" s="19">
        <v>7908423</v>
      </c>
      <c r="T32" s="19">
        <v>7908423</v>
      </c>
      <c r="U32" s="19"/>
      <c r="V32" s="19"/>
      <c r="W32" s="19"/>
      <c r="X32" s="19"/>
      <c r="Y32" s="19"/>
      <c r="Z32" s="19"/>
      <c r="AA32" s="19">
        <v>7908423</v>
      </c>
      <c r="AB32" s="19"/>
      <c r="AC32" s="19"/>
      <c r="AE32" s="17">
        <v>6</v>
      </c>
      <c r="AF32" s="18" t="s">
        <v>28</v>
      </c>
      <c r="AG32" s="19">
        <f t="shared" si="52"/>
        <v>-794100</v>
      </c>
      <c r="AH32" s="19">
        <f t="shared" si="53"/>
        <v>-11.161989693186548</v>
      </c>
      <c r="AI32" s="19">
        <f t="shared" si="54"/>
        <v>-794100</v>
      </c>
      <c r="AJ32" s="19">
        <f t="shared" si="55"/>
        <v>-11.161989693186548</v>
      </c>
      <c r="AK32" s="19">
        <f t="shared" si="56"/>
        <v>-794100</v>
      </c>
      <c r="AL32" s="19">
        <f t="shared" si="57"/>
        <v>-11.161989693186548</v>
      </c>
      <c r="AM32" s="19">
        <f t="shared" si="58"/>
        <v>0</v>
      </c>
      <c r="AN32" s="19" t="e">
        <f t="shared" si="59"/>
        <v>#DIV/0!</v>
      </c>
      <c r="AO32" s="19">
        <f t="shared" si="60"/>
        <v>0</v>
      </c>
      <c r="AP32" s="19" t="e">
        <f t="shared" si="61"/>
        <v>#DIV/0!</v>
      </c>
      <c r="AQ32" s="19">
        <f t="shared" si="62"/>
        <v>0</v>
      </c>
      <c r="AR32" s="19" t="e">
        <f t="shared" si="63"/>
        <v>#DIV/0!</v>
      </c>
      <c r="AS32" s="19">
        <f t="shared" si="64"/>
        <v>0</v>
      </c>
      <c r="AT32" s="19" t="e">
        <f t="shared" si="65"/>
        <v>#DIV/0!</v>
      </c>
      <c r="AU32" s="19">
        <f t="shared" si="66"/>
        <v>0</v>
      </c>
      <c r="AV32" s="19" t="e">
        <f t="shared" si="67"/>
        <v>#DIV/0!</v>
      </c>
      <c r="AW32" s="19">
        <f t="shared" si="68"/>
        <v>0</v>
      </c>
      <c r="AX32" s="19" t="e">
        <f t="shared" si="69"/>
        <v>#DIV/0!</v>
      </c>
      <c r="AY32" s="19">
        <f t="shared" si="70"/>
        <v>0</v>
      </c>
      <c r="AZ32" s="19">
        <f t="shared" si="71"/>
        <v>0</v>
      </c>
      <c r="BA32" s="19">
        <f t="shared" si="72"/>
        <v>0</v>
      </c>
      <c r="BB32" s="19" t="e">
        <f t="shared" si="73"/>
        <v>#DIV/0!</v>
      </c>
      <c r="BC32" s="19">
        <f t="shared" si="74"/>
        <v>0</v>
      </c>
      <c r="BD32" s="19" t="e">
        <f t="shared" si="75"/>
        <v>#DIV/0!</v>
      </c>
    </row>
    <row r="33" spans="1:56">
      <c r="A33" s="17">
        <v>7</v>
      </c>
      <c r="B33" s="18" t="s">
        <v>30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6"/>
      <c r="P33" s="17">
        <v>7</v>
      </c>
      <c r="Q33" s="18" t="s">
        <v>30</v>
      </c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E33" s="17">
        <v>7</v>
      </c>
      <c r="AF33" s="18" t="s">
        <v>30</v>
      </c>
      <c r="AG33" s="19">
        <f t="shared" si="52"/>
        <v>0</v>
      </c>
      <c r="AH33" s="19" t="e">
        <f t="shared" si="53"/>
        <v>#DIV/0!</v>
      </c>
      <c r="AI33" s="19">
        <f t="shared" si="54"/>
        <v>0</v>
      </c>
      <c r="AJ33" s="19" t="e">
        <f t="shared" si="55"/>
        <v>#DIV/0!</v>
      </c>
      <c r="AK33" s="19">
        <f t="shared" si="56"/>
        <v>0</v>
      </c>
      <c r="AL33" s="19" t="e">
        <f t="shared" si="57"/>
        <v>#DIV/0!</v>
      </c>
      <c r="AM33" s="19">
        <f t="shared" si="58"/>
        <v>0</v>
      </c>
      <c r="AN33" s="19" t="e">
        <f t="shared" si="59"/>
        <v>#DIV/0!</v>
      </c>
      <c r="AO33" s="19">
        <f t="shared" si="60"/>
        <v>0</v>
      </c>
      <c r="AP33" s="19" t="e">
        <f t="shared" si="61"/>
        <v>#DIV/0!</v>
      </c>
      <c r="AQ33" s="19">
        <f t="shared" si="62"/>
        <v>0</v>
      </c>
      <c r="AR33" s="19" t="e">
        <f t="shared" si="63"/>
        <v>#DIV/0!</v>
      </c>
      <c r="AS33" s="19">
        <f t="shared" si="64"/>
        <v>0</v>
      </c>
      <c r="AT33" s="19" t="e">
        <f t="shared" si="65"/>
        <v>#DIV/0!</v>
      </c>
      <c r="AU33" s="19">
        <f t="shared" si="66"/>
        <v>0</v>
      </c>
      <c r="AV33" s="19" t="e">
        <f t="shared" si="67"/>
        <v>#DIV/0!</v>
      </c>
      <c r="AW33" s="19">
        <f t="shared" si="68"/>
        <v>0</v>
      </c>
      <c r="AX33" s="19" t="e">
        <f t="shared" si="69"/>
        <v>#DIV/0!</v>
      </c>
      <c r="AY33" s="19">
        <f t="shared" si="70"/>
        <v>0</v>
      </c>
      <c r="AZ33" s="19" t="e">
        <f t="shared" si="71"/>
        <v>#DIV/0!</v>
      </c>
      <c r="BA33" s="19">
        <f t="shared" si="72"/>
        <v>0</v>
      </c>
      <c r="BB33" s="19" t="e">
        <f t="shared" si="73"/>
        <v>#DIV/0!</v>
      </c>
      <c r="BC33" s="19">
        <f t="shared" si="74"/>
        <v>0</v>
      </c>
      <c r="BD33" s="19" t="e">
        <f t="shared" si="75"/>
        <v>#DIV/0!</v>
      </c>
    </row>
    <row r="34" spans="1:56">
      <c r="A34" s="17">
        <v>8</v>
      </c>
      <c r="B34" s="18" t="s">
        <v>32</v>
      </c>
      <c r="C34" s="19"/>
      <c r="D34" s="19"/>
      <c r="E34" s="19"/>
      <c r="F34" s="19"/>
      <c r="G34" s="19"/>
      <c r="H34" s="19"/>
      <c r="I34" s="19"/>
      <c r="J34" s="19"/>
      <c r="K34" s="19"/>
      <c r="L34" s="19">
        <v>18280</v>
      </c>
      <c r="M34" s="19"/>
      <c r="N34" s="19"/>
      <c r="O34" s="26"/>
      <c r="P34" s="17">
        <v>8</v>
      </c>
      <c r="Q34" s="18" t="s">
        <v>32</v>
      </c>
      <c r="R34" s="19">
        <v>18280</v>
      </c>
      <c r="S34" s="19">
        <v>18280</v>
      </c>
      <c r="T34" s="19">
        <v>18280</v>
      </c>
      <c r="U34" s="19"/>
      <c r="V34" s="19"/>
      <c r="W34" s="19"/>
      <c r="X34" s="19"/>
      <c r="Y34" s="19"/>
      <c r="Z34" s="19"/>
      <c r="AA34" s="19">
        <v>18280</v>
      </c>
      <c r="AB34" s="19"/>
      <c r="AC34" s="19"/>
      <c r="AE34" s="17">
        <v>8</v>
      </c>
      <c r="AF34" s="18" t="s">
        <v>32</v>
      </c>
      <c r="AG34" s="19">
        <f t="shared" si="52"/>
        <v>-18280</v>
      </c>
      <c r="AH34" s="19" t="e">
        <f t="shared" si="53"/>
        <v>#DIV/0!</v>
      </c>
      <c r="AI34" s="19">
        <f t="shared" si="54"/>
        <v>-18280</v>
      </c>
      <c r="AJ34" s="19" t="e">
        <f t="shared" si="55"/>
        <v>#DIV/0!</v>
      </c>
      <c r="AK34" s="19">
        <f t="shared" si="56"/>
        <v>-18280</v>
      </c>
      <c r="AL34" s="19" t="e">
        <f t="shared" si="57"/>
        <v>#DIV/0!</v>
      </c>
      <c r="AM34" s="19">
        <f t="shared" si="58"/>
        <v>0</v>
      </c>
      <c r="AN34" s="19" t="e">
        <f t="shared" si="59"/>
        <v>#DIV/0!</v>
      </c>
      <c r="AO34" s="19">
        <f t="shared" si="60"/>
        <v>0</v>
      </c>
      <c r="AP34" s="19" t="e">
        <f t="shared" si="61"/>
        <v>#DIV/0!</v>
      </c>
      <c r="AQ34" s="19">
        <f t="shared" si="62"/>
        <v>0</v>
      </c>
      <c r="AR34" s="19" t="e">
        <f t="shared" si="63"/>
        <v>#DIV/0!</v>
      </c>
      <c r="AS34" s="19">
        <f t="shared" si="64"/>
        <v>0</v>
      </c>
      <c r="AT34" s="19" t="e">
        <f t="shared" si="65"/>
        <v>#DIV/0!</v>
      </c>
      <c r="AU34" s="19">
        <f t="shared" si="66"/>
        <v>0</v>
      </c>
      <c r="AV34" s="19" t="e">
        <f t="shared" si="67"/>
        <v>#DIV/0!</v>
      </c>
      <c r="AW34" s="19">
        <f t="shared" si="68"/>
        <v>0</v>
      </c>
      <c r="AX34" s="19" t="e">
        <f t="shared" si="69"/>
        <v>#DIV/0!</v>
      </c>
      <c r="AY34" s="19">
        <f t="shared" si="70"/>
        <v>0</v>
      </c>
      <c r="AZ34" s="19">
        <f t="shared" si="71"/>
        <v>0</v>
      </c>
      <c r="BA34" s="19">
        <f t="shared" si="72"/>
        <v>0</v>
      </c>
      <c r="BB34" s="19" t="e">
        <f t="shared" si="73"/>
        <v>#DIV/0!</v>
      </c>
      <c r="BC34" s="19">
        <f t="shared" si="74"/>
        <v>0</v>
      </c>
      <c r="BD34" s="19" t="e">
        <f t="shared" si="75"/>
        <v>#DIV/0!</v>
      </c>
    </row>
    <row r="35" spans="1:56">
      <c r="A35" s="17">
        <v>9</v>
      </c>
      <c r="B35" s="18" t="s">
        <v>34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6"/>
      <c r="P35" s="17">
        <v>9</v>
      </c>
      <c r="Q35" s="18" t="s">
        <v>34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E35" s="17">
        <v>9</v>
      </c>
      <c r="AF35" s="18" t="s">
        <v>34</v>
      </c>
      <c r="AG35" s="19">
        <f t="shared" si="52"/>
        <v>0</v>
      </c>
      <c r="AH35" s="19" t="e">
        <f t="shared" si="53"/>
        <v>#DIV/0!</v>
      </c>
      <c r="AI35" s="19">
        <f t="shared" si="54"/>
        <v>0</v>
      </c>
      <c r="AJ35" s="19" t="e">
        <f t="shared" si="55"/>
        <v>#DIV/0!</v>
      </c>
      <c r="AK35" s="19">
        <f t="shared" si="56"/>
        <v>0</v>
      </c>
      <c r="AL35" s="19" t="e">
        <f t="shared" si="57"/>
        <v>#DIV/0!</v>
      </c>
      <c r="AM35" s="19">
        <f t="shared" si="58"/>
        <v>0</v>
      </c>
      <c r="AN35" s="19" t="e">
        <f t="shared" si="59"/>
        <v>#DIV/0!</v>
      </c>
      <c r="AO35" s="19">
        <f t="shared" si="60"/>
        <v>0</v>
      </c>
      <c r="AP35" s="19" t="e">
        <f t="shared" si="61"/>
        <v>#DIV/0!</v>
      </c>
      <c r="AQ35" s="19">
        <f t="shared" si="62"/>
        <v>0</v>
      </c>
      <c r="AR35" s="19" t="e">
        <f t="shared" si="63"/>
        <v>#DIV/0!</v>
      </c>
      <c r="AS35" s="19">
        <f t="shared" si="64"/>
        <v>0</v>
      </c>
      <c r="AT35" s="19" t="e">
        <f t="shared" si="65"/>
        <v>#DIV/0!</v>
      </c>
      <c r="AU35" s="19">
        <f t="shared" si="66"/>
        <v>0</v>
      </c>
      <c r="AV35" s="19" t="e">
        <f t="shared" si="67"/>
        <v>#DIV/0!</v>
      </c>
      <c r="AW35" s="19">
        <f t="shared" si="68"/>
        <v>0</v>
      </c>
      <c r="AX35" s="19" t="e">
        <f t="shared" si="69"/>
        <v>#DIV/0!</v>
      </c>
      <c r="AY35" s="19">
        <f t="shared" si="70"/>
        <v>0</v>
      </c>
      <c r="AZ35" s="19" t="e">
        <f t="shared" si="71"/>
        <v>#DIV/0!</v>
      </c>
      <c r="BA35" s="19">
        <f t="shared" si="72"/>
        <v>0</v>
      </c>
      <c r="BB35" s="19" t="e">
        <f t="shared" si="73"/>
        <v>#DIV/0!</v>
      </c>
      <c r="BC35" s="19">
        <f t="shared" si="74"/>
        <v>0</v>
      </c>
      <c r="BD35" s="19" t="e">
        <f t="shared" si="75"/>
        <v>#DIV/0!</v>
      </c>
    </row>
    <row r="36" spans="1:56">
      <c r="A36" s="17">
        <v>10</v>
      </c>
      <c r="B36" s="18" t="s">
        <v>36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6"/>
      <c r="P36" s="17">
        <v>10</v>
      </c>
      <c r="Q36" s="18" t="s">
        <v>36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E36" s="17">
        <v>10</v>
      </c>
      <c r="AF36" s="18" t="s">
        <v>36</v>
      </c>
      <c r="AG36" s="19">
        <f t="shared" si="52"/>
        <v>0</v>
      </c>
      <c r="AH36" s="19" t="e">
        <f t="shared" si="53"/>
        <v>#DIV/0!</v>
      </c>
      <c r="AI36" s="19">
        <f t="shared" si="54"/>
        <v>0</v>
      </c>
      <c r="AJ36" s="19" t="e">
        <f t="shared" si="55"/>
        <v>#DIV/0!</v>
      </c>
      <c r="AK36" s="19">
        <f t="shared" si="56"/>
        <v>0</v>
      </c>
      <c r="AL36" s="19" t="e">
        <f t="shared" si="57"/>
        <v>#DIV/0!</v>
      </c>
      <c r="AM36" s="19">
        <f t="shared" si="58"/>
        <v>0</v>
      </c>
      <c r="AN36" s="19" t="e">
        <f t="shared" si="59"/>
        <v>#DIV/0!</v>
      </c>
      <c r="AO36" s="19">
        <f t="shared" si="60"/>
        <v>0</v>
      </c>
      <c r="AP36" s="19" t="e">
        <f t="shared" si="61"/>
        <v>#DIV/0!</v>
      </c>
      <c r="AQ36" s="19">
        <f t="shared" si="62"/>
        <v>0</v>
      </c>
      <c r="AR36" s="19" t="e">
        <f t="shared" si="63"/>
        <v>#DIV/0!</v>
      </c>
      <c r="AS36" s="19">
        <f t="shared" si="64"/>
        <v>0</v>
      </c>
      <c r="AT36" s="19" t="e">
        <f t="shared" si="65"/>
        <v>#DIV/0!</v>
      </c>
      <c r="AU36" s="19">
        <f t="shared" si="66"/>
        <v>0</v>
      </c>
      <c r="AV36" s="19" t="e">
        <f t="shared" si="67"/>
        <v>#DIV/0!</v>
      </c>
      <c r="AW36" s="19">
        <f t="shared" si="68"/>
        <v>0</v>
      </c>
      <c r="AX36" s="19" t="e">
        <f t="shared" si="69"/>
        <v>#DIV/0!</v>
      </c>
      <c r="AY36" s="19">
        <f t="shared" si="70"/>
        <v>0</v>
      </c>
      <c r="AZ36" s="19" t="e">
        <f t="shared" si="71"/>
        <v>#DIV/0!</v>
      </c>
      <c r="BA36" s="19">
        <f t="shared" si="72"/>
        <v>0</v>
      </c>
      <c r="BB36" s="19" t="e">
        <f t="shared" si="73"/>
        <v>#DIV/0!</v>
      </c>
      <c r="BC36" s="19">
        <f t="shared" si="74"/>
        <v>0</v>
      </c>
      <c r="BD36" s="19" t="e">
        <f t="shared" si="75"/>
        <v>#DIV/0!</v>
      </c>
    </row>
    <row r="37" spans="1:56">
      <c r="A37" s="17">
        <v>11</v>
      </c>
      <c r="B37" s="18" t="s">
        <v>38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6"/>
      <c r="P37" s="17">
        <v>11</v>
      </c>
      <c r="Q37" s="18" t="s">
        <v>38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E37" s="17">
        <v>11</v>
      </c>
      <c r="AF37" s="18" t="s">
        <v>38</v>
      </c>
      <c r="AG37" s="19">
        <f t="shared" si="52"/>
        <v>0</v>
      </c>
      <c r="AH37" s="19" t="e">
        <f t="shared" si="53"/>
        <v>#DIV/0!</v>
      </c>
      <c r="AI37" s="19">
        <f t="shared" si="54"/>
        <v>0</v>
      </c>
      <c r="AJ37" s="19" t="e">
        <f t="shared" si="55"/>
        <v>#DIV/0!</v>
      </c>
      <c r="AK37" s="19">
        <f t="shared" si="56"/>
        <v>0</v>
      </c>
      <c r="AL37" s="19" t="e">
        <f t="shared" si="57"/>
        <v>#DIV/0!</v>
      </c>
      <c r="AM37" s="19">
        <f t="shared" si="58"/>
        <v>0</v>
      </c>
      <c r="AN37" s="19" t="e">
        <f t="shared" si="59"/>
        <v>#DIV/0!</v>
      </c>
      <c r="AO37" s="19">
        <f t="shared" si="60"/>
        <v>0</v>
      </c>
      <c r="AP37" s="19" t="e">
        <f t="shared" si="61"/>
        <v>#DIV/0!</v>
      </c>
      <c r="AQ37" s="19">
        <f t="shared" si="62"/>
        <v>0</v>
      </c>
      <c r="AR37" s="19" t="e">
        <f t="shared" si="63"/>
        <v>#DIV/0!</v>
      </c>
      <c r="AS37" s="19">
        <f t="shared" si="64"/>
        <v>0</v>
      </c>
      <c r="AT37" s="19" t="e">
        <f t="shared" si="65"/>
        <v>#DIV/0!</v>
      </c>
      <c r="AU37" s="19">
        <f t="shared" si="66"/>
        <v>0</v>
      </c>
      <c r="AV37" s="19" t="e">
        <f t="shared" si="67"/>
        <v>#DIV/0!</v>
      </c>
      <c r="AW37" s="19">
        <f t="shared" si="68"/>
        <v>0</v>
      </c>
      <c r="AX37" s="19" t="e">
        <f t="shared" si="69"/>
        <v>#DIV/0!</v>
      </c>
      <c r="AY37" s="19">
        <f t="shared" si="70"/>
        <v>0</v>
      </c>
      <c r="AZ37" s="19" t="e">
        <f t="shared" si="71"/>
        <v>#DIV/0!</v>
      </c>
      <c r="BA37" s="19">
        <f t="shared" si="72"/>
        <v>0</v>
      </c>
      <c r="BB37" s="19" t="e">
        <f t="shared" si="73"/>
        <v>#DIV/0!</v>
      </c>
      <c r="BC37" s="19">
        <f t="shared" si="74"/>
        <v>0</v>
      </c>
      <c r="BD37" s="19" t="e">
        <f t="shared" si="75"/>
        <v>#DIV/0!</v>
      </c>
    </row>
    <row r="38" spans="1:56">
      <c r="A38" s="17">
        <v>12</v>
      </c>
      <c r="B38" s="18" t="s">
        <v>40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6"/>
      <c r="P38" s="17">
        <v>12</v>
      </c>
      <c r="Q38" s="18" t="s">
        <v>40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E38" s="17">
        <v>12</v>
      </c>
      <c r="AF38" s="18" t="s">
        <v>40</v>
      </c>
      <c r="AG38" s="19">
        <f t="shared" si="52"/>
        <v>0</v>
      </c>
      <c r="AH38" s="19" t="e">
        <f t="shared" si="53"/>
        <v>#DIV/0!</v>
      </c>
      <c r="AI38" s="19">
        <f t="shared" si="54"/>
        <v>0</v>
      </c>
      <c r="AJ38" s="19" t="e">
        <f t="shared" si="55"/>
        <v>#DIV/0!</v>
      </c>
      <c r="AK38" s="19">
        <f t="shared" si="56"/>
        <v>0</v>
      </c>
      <c r="AL38" s="19" t="e">
        <f t="shared" si="57"/>
        <v>#DIV/0!</v>
      </c>
      <c r="AM38" s="19">
        <f t="shared" si="58"/>
        <v>0</v>
      </c>
      <c r="AN38" s="19" t="e">
        <f t="shared" si="59"/>
        <v>#DIV/0!</v>
      </c>
      <c r="AO38" s="19">
        <f t="shared" si="60"/>
        <v>0</v>
      </c>
      <c r="AP38" s="19" t="e">
        <f t="shared" si="61"/>
        <v>#DIV/0!</v>
      </c>
      <c r="AQ38" s="19">
        <f t="shared" si="62"/>
        <v>0</v>
      </c>
      <c r="AR38" s="19" t="e">
        <f t="shared" si="63"/>
        <v>#DIV/0!</v>
      </c>
      <c r="AS38" s="19">
        <f t="shared" si="64"/>
        <v>0</v>
      </c>
      <c r="AT38" s="19" t="e">
        <f t="shared" si="65"/>
        <v>#DIV/0!</v>
      </c>
      <c r="AU38" s="19">
        <f t="shared" si="66"/>
        <v>0</v>
      </c>
      <c r="AV38" s="19" t="e">
        <f t="shared" si="67"/>
        <v>#DIV/0!</v>
      </c>
      <c r="AW38" s="19">
        <f t="shared" si="68"/>
        <v>0</v>
      </c>
      <c r="AX38" s="19" t="e">
        <f t="shared" si="69"/>
        <v>#DIV/0!</v>
      </c>
      <c r="AY38" s="19">
        <f t="shared" si="70"/>
        <v>0</v>
      </c>
      <c r="AZ38" s="19" t="e">
        <f t="shared" si="71"/>
        <v>#DIV/0!</v>
      </c>
      <c r="BA38" s="19">
        <f t="shared" si="72"/>
        <v>0</v>
      </c>
      <c r="BB38" s="19" t="e">
        <f t="shared" si="73"/>
        <v>#DIV/0!</v>
      </c>
      <c r="BC38" s="19">
        <f t="shared" si="74"/>
        <v>0</v>
      </c>
      <c r="BD38" s="19" t="e">
        <f t="shared" si="75"/>
        <v>#DIV/0!</v>
      </c>
    </row>
    <row r="39" spans="1:56">
      <c r="A39" s="17">
        <v>13</v>
      </c>
      <c r="B39" s="18" t="s">
        <v>42</v>
      </c>
      <c r="C39" s="19"/>
      <c r="D39" s="19"/>
      <c r="E39" s="19"/>
      <c r="F39" s="19"/>
      <c r="G39" s="19"/>
      <c r="H39" s="19"/>
      <c r="I39" s="19"/>
      <c r="J39" s="19"/>
      <c r="K39" s="19"/>
      <c r="L39" s="19">
        <v>172860</v>
      </c>
      <c r="M39" s="19"/>
      <c r="N39" s="19"/>
      <c r="O39" s="26"/>
      <c r="P39" s="17">
        <v>13</v>
      </c>
      <c r="Q39" s="18" t="s">
        <v>42</v>
      </c>
      <c r="R39" s="19">
        <v>172860</v>
      </c>
      <c r="S39" s="19">
        <v>172860</v>
      </c>
      <c r="T39" s="19">
        <v>172860</v>
      </c>
      <c r="U39" s="19"/>
      <c r="V39" s="19"/>
      <c r="W39" s="19"/>
      <c r="X39" s="19"/>
      <c r="Y39" s="19"/>
      <c r="Z39" s="19"/>
      <c r="AA39" s="19">
        <v>172860</v>
      </c>
      <c r="AB39" s="19"/>
      <c r="AC39" s="19"/>
      <c r="AE39" s="17">
        <v>13</v>
      </c>
      <c r="AF39" s="18" t="s">
        <v>42</v>
      </c>
      <c r="AG39" s="19">
        <f t="shared" si="52"/>
        <v>-172860</v>
      </c>
      <c r="AH39" s="19" t="e">
        <f t="shared" si="53"/>
        <v>#DIV/0!</v>
      </c>
      <c r="AI39" s="19">
        <f t="shared" si="54"/>
        <v>-172860</v>
      </c>
      <c r="AJ39" s="19" t="e">
        <f t="shared" si="55"/>
        <v>#DIV/0!</v>
      </c>
      <c r="AK39" s="19">
        <f t="shared" si="56"/>
        <v>-172860</v>
      </c>
      <c r="AL39" s="19" t="e">
        <f t="shared" si="57"/>
        <v>#DIV/0!</v>
      </c>
      <c r="AM39" s="19">
        <f t="shared" si="58"/>
        <v>0</v>
      </c>
      <c r="AN39" s="19" t="e">
        <f t="shared" si="59"/>
        <v>#DIV/0!</v>
      </c>
      <c r="AO39" s="19">
        <f t="shared" si="60"/>
        <v>0</v>
      </c>
      <c r="AP39" s="19" t="e">
        <f t="shared" si="61"/>
        <v>#DIV/0!</v>
      </c>
      <c r="AQ39" s="19">
        <f t="shared" si="62"/>
        <v>0</v>
      </c>
      <c r="AR39" s="19" t="e">
        <f t="shared" si="63"/>
        <v>#DIV/0!</v>
      </c>
      <c r="AS39" s="19">
        <f t="shared" si="64"/>
        <v>0</v>
      </c>
      <c r="AT39" s="19" t="e">
        <f t="shared" si="65"/>
        <v>#DIV/0!</v>
      </c>
      <c r="AU39" s="19">
        <f t="shared" si="66"/>
        <v>0</v>
      </c>
      <c r="AV39" s="19" t="e">
        <f t="shared" si="67"/>
        <v>#DIV/0!</v>
      </c>
      <c r="AW39" s="19">
        <f t="shared" si="68"/>
        <v>0</v>
      </c>
      <c r="AX39" s="19" t="e">
        <f t="shared" si="69"/>
        <v>#DIV/0!</v>
      </c>
      <c r="AY39" s="19">
        <f t="shared" si="70"/>
        <v>0</v>
      </c>
      <c r="AZ39" s="19">
        <f t="shared" si="71"/>
        <v>0</v>
      </c>
      <c r="BA39" s="19">
        <f t="shared" si="72"/>
        <v>0</v>
      </c>
      <c r="BB39" s="19" t="e">
        <f t="shared" si="73"/>
        <v>#DIV/0!</v>
      </c>
      <c r="BC39" s="19">
        <f t="shared" si="74"/>
        <v>0</v>
      </c>
      <c r="BD39" s="19" t="e">
        <f t="shared" si="75"/>
        <v>#DIV/0!</v>
      </c>
    </row>
    <row r="40" spans="1:56">
      <c r="A40" s="17">
        <v>14</v>
      </c>
      <c r="B40" s="18" t="s">
        <v>44</v>
      </c>
      <c r="C40" s="19"/>
      <c r="D40" s="19"/>
      <c r="E40" s="19"/>
      <c r="F40" s="19"/>
      <c r="G40" s="19"/>
      <c r="H40" s="19"/>
      <c r="I40" s="19"/>
      <c r="J40" s="19"/>
      <c r="K40" s="19"/>
      <c r="L40" s="19">
        <v>21400</v>
      </c>
      <c r="M40" s="19"/>
      <c r="N40" s="19"/>
      <c r="O40" s="26"/>
      <c r="P40" s="17">
        <v>14</v>
      </c>
      <c r="Q40" s="18" t="s">
        <v>44</v>
      </c>
      <c r="R40" s="19">
        <v>21400</v>
      </c>
      <c r="S40" s="19">
        <v>21400</v>
      </c>
      <c r="T40" s="19">
        <v>21400</v>
      </c>
      <c r="U40" s="19"/>
      <c r="V40" s="19"/>
      <c r="W40" s="19"/>
      <c r="X40" s="19"/>
      <c r="Y40" s="19"/>
      <c r="Z40" s="19"/>
      <c r="AA40" s="19">
        <v>21400</v>
      </c>
      <c r="AB40" s="19"/>
      <c r="AC40" s="19"/>
      <c r="AE40" s="17">
        <v>14</v>
      </c>
      <c r="AF40" s="18" t="s">
        <v>44</v>
      </c>
      <c r="AG40" s="19">
        <f t="shared" si="52"/>
        <v>-21400</v>
      </c>
      <c r="AH40" s="19" t="e">
        <f t="shared" si="53"/>
        <v>#DIV/0!</v>
      </c>
      <c r="AI40" s="19">
        <f t="shared" si="54"/>
        <v>-21400</v>
      </c>
      <c r="AJ40" s="19" t="e">
        <f t="shared" si="55"/>
        <v>#DIV/0!</v>
      </c>
      <c r="AK40" s="19">
        <f t="shared" si="56"/>
        <v>-21400</v>
      </c>
      <c r="AL40" s="19" t="e">
        <f t="shared" si="57"/>
        <v>#DIV/0!</v>
      </c>
      <c r="AM40" s="19">
        <f t="shared" si="58"/>
        <v>0</v>
      </c>
      <c r="AN40" s="19" t="e">
        <f t="shared" si="59"/>
        <v>#DIV/0!</v>
      </c>
      <c r="AO40" s="19">
        <f t="shared" si="60"/>
        <v>0</v>
      </c>
      <c r="AP40" s="19" t="e">
        <f t="shared" si="61"/>
        <v>#DIV/0!</v>
      </c>
      <c r="AQ40" s="19">
        <f t="shared" si="62"/>
        <v>0</v>
      </c>
      <c r="AR40" s="19" t="e">
        <f t="shared" si="63"/>
        <v>#DIV/0!</v>
      </c>
      <c r="AS40" s="19">
        <f t="shared" si="64"/>
        <v>0</v>
      </c>
      <c r="AT40" s="19" t="e">
        <f t="shared" si="65"/>
        <v>#DIV/0!</v>
      </c>
      <c r="AU40" s="19">
        <f t="shared" si="66"/>
        <v>0</v>
      </c>
      <c r="AV40" s="19" t="e">
        <f t="shared" si="67"/>
        <v>#DIV/0!</v>
      </c>
      <c r="AW40" s="19">
        <f t="shared" si="68"/>
        <v>0</v>
      </c>
      <c r="AX40" s="19" t="e">
        <f t="shared" si="69"/>
        <v>#DIV/0!</v>
      </c>
      <c r="AY40" s="19">
        <f t="shared" si="70"/>
        <v>0</v>
      </c>
      <c r="AZ40" s="19">
        <f t="shared" si="71"/>
        <v>0</v>
      </c>
      <c r="BA40" s="19">
        <f t="shared" si="72"/>
        <v>0</v>
      </c>
      <c r="BB40" s="19" t="e">
        <f t="shared" si="73"/>
        <v>#DIV/0!</v>
      </c>
      <c r="BC40" s="19">
        <f t="shared" si="74"/>
        <v>0</v>
      </c>
      <c r="BD40" s="19" t="e">
        <f t="shared" si="75"/>
        <v>#DIV/0!</v>
      </c>
    </row>
    <row r="41" spans="1:56" ht="25.2" thickBot="1">
      <c r="A41" s="17"/>
      <c r="B41" s="20" t="s">
        <v>17</v>
      </c>
      <c r="C41" s="27">
        <f>SUM(C27:C40)</f>
        <v>8534323</v>
      </c>
      <c r="D41" s="27">
        <f t="shared" ref="D41:N41" si="76">SUM(D27:D40)</f>
        <v>8534323</v>
      </c>
      <c r="E41" s="27">
        <f t="shared" si="76"/>
        <v>8534323</v>
      </c>
      <c r="F41" s="27">
        <f t="shared" si="76"/>
        <v>0</v>
      </c>
      <c r="G41" s="27">
        <f t="shared" si="76"/>
        <v>0</v>
      </c>
      <c r="H41" s="27">
        <f t="shared" si="76"/>
        <v>0</v>
      </c>
      <c r="I41" s="27">
        <f t="shared" si="76"/>
        <v>0</v>
      </c>
      <c r="J41" s="27">
        <f t="shared" si="76"/>
        <v>0</v>
      </c>
      <c r="K41" s="27">
        <f t="shared" si="76"/>
        <v>0</v>
      </c>
      <c r="L41" s="27">
        <f t="shared" si="76"/>
        <v>10615233</v>
      </c>
      <c r="M41" s="27">
        <f t="shared" si="76"/>
        <v>0</v>
      </c>
      <c r="N41" s="27">
        <f t="shared" si="76"/>
        <v>0</v>
      </c>
      <c r="P41" s="17"/>
      <c r="Q41" s="20" t="s">
        <v>17</v>
      </c>
      <c r="R41" s="27">
        <f>SUM(R27:R40)</f>
        <v>10615233</v>
      </c>
      <c r="S41" s="27">
        <f t="shared" ref="S41:AC41" si="77">SUM(S27:S40)</f>
        <v>10615233</v>
      </c>
      <c r="T41" s="27">
        <f t="shared" si="77"/>
        <v>10615233</v>
      </c>
      <c r="U41" s="27">
        <f t="shared" si="77"/>
        <v>0</v>
      </c>
      <c r="V41" s="27">
        <f t="shared" si="77"/>
        <v>0</v>
      </c>
      <c r="W41" s="27">
        <f t="shared" si="77"/>
        <v>0</v>
      </c>
      <c r="X41" s="27">
        <f t="shared" si="77"/>
        <v>0</v>
      </c>
      <c r="Y41" s="27">
        <f t="shared" si="77"/>
        <v>0</v>
      </c>
      <c r="Z41" s="27">
        <f t="shared" si="77"/>
        <v>0</v>
      </c>
      <c r="AA41" s="27">
        <f t="shared" si="77"/>
        <v>10615233</v>
      </c>
      <c r="AB41" s="27">
        <f t="shared" si="77"/>
        <v>0</v>
      </c>
      <c r="AC41" s="27">
        <f t="shared" si="77"/>
        <v>0</v>
      </c>
      <c r="AE41" s="17"/>
      <c r="AF41" s="20" t="s">
        <v>17</v>
      </c>
      <c r="AG41" s="23">
        <f t="shared" si="52"/>
        <v>-2080910</v>
      </c>
      <c r="AH41" s="23">
        <f t="shared" si="53"/>
        <v>-24.382836224970628</v>
      </c>
      <c r="AI41" s="23">
        <f t="shared" si="54"/>
        <v>-2080910</v>
      </c>
      <c r="AJ41" s="23">
        <f t="shared" si="55"/>
        <v>-24.382836224970628</v>
      </c>
      <c r="AK41" s="23">
        <f t="shared" si="56"/>
        <v>-2080910</v>
      </c>
      <c r="AL41" s="23">
        <f t="shared" si="57"/>
        <v>-24.382836224970628</v>
      </c>
      <c r="AM41" s="23">
        <f t="shared" si="58"/>
        <v>0</v>
      </c>
      <c r="AN41" s="23" t="e">
        <f t="shared" si="59"/>
        <v>#DIV/0!</v>
      </c>
      <c r="AO41" s="23">
        <f t="shared" si="60"/>
        <v>0</v>
      </c>
      <c r="AP41" s="23" t="e">
        <f t="shared" si="61"/>
        <v>#DIV/0!</v>
      </c>
      <c r="AQ41" s="23">
        <f t="shared" si="62"/>
        <v>0</v>
      </c>
      <c r="AR41" s="23" t="e">
        <f t="shared" si="63"/>
        <v>#DIV/0!</v>
      </c>
      <c r="AS41" s="23">
        <f t="shared" si="64"/>
        <v>0</v>
      </c>
      <c r="AT41" s="23" t="e">
        <f t="shared" si="65"/>
        <v>#DIV/0!</v>
      </c>
      <c r="AU41" s="23">
        <f t="shared" si="66"/>
        <v>0</v>
      </c>
      <c r="AV41" s="23" t="e">
        <f t="shared" si="67"/>
        <v>#DIV/0!</v>
      </c>
      <c r="AW41" s="23">
        <f t="shared" si="68"/>
        <v>0</v>
      </c>
      <c r="AX41" s="23" t="e">
        <f t="shared" si="69"/>
        <v>#DIV/0!</v>
      </c>
      <c r="AY41" s="23">
        <f t="shared" si="70"/>
        <v>0</v>
      </c>
      <c r="AZ41" s="23">
        <f t="shared" si="71"/>
        <v>0</v>
      </c>
      <c r="BA41" s="23">
        <f t="shared" si="72"/>
        <v>0</v>
      </c>
      <c r="BB41" s="23" t="e">
        <f t="shared" si="73"/>
        <v>#DIV/0!</v>
      </c>
      <c r="BC41" s="23">
        <f t="shared" si="74"/>
        <v>0</v>
      </c>
      <c r="BD41" s="23" t="e">
        <f t="shared" si="75"/>
        <v>#DIV/0!</v>
      </c>
    </row>
    <row r="42" spans="1:56" ht="25.2" thickTop="1"/>
    <row r="43" spans="1:56">
      <c r="A43" s="37" t="s">
        <v>48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P43" s="37" t="s">
        <v>52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E43" s="37" t="s">
        <v>89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1:56">
      <c r="A44" s="37" t="s">
        <v>1947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P44" s="37" t="s">
        <v>1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E44" s="37" t="s">
        <v>1</v>
      </c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</row>
    <row r="45" spans="1:56" s="15" customFormat="1">
      <c r="A45" s="35" t="s">
        <v>2</v>
      </c>
      <c r="B45" s="35" t="s">
        <v>3</v>
      </c>
      <c r="C45" s="38" t="s">
        <v>4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P45" s="35" t="s">
        <v>2</v>
      </c>
      <c r="Q45" s="35" t="s">
        <v>3</v>
      </c>
      <c r="R45" s="38" t="s">
        <v>5</v>
      </c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40"/>
      <c r="AE45" s="35" t="s">
        <v>2</v>
      </c>
      <c r="AF45" s="35" t="s">
        <v>3</v>
      </c>
      <c r="AG45" s="33">
        <v>25112</v>
      </c>
      <c r="AH45" s="34"/>
      <c r="AI45" s="33">
        <v>25143</v>
      </c>
      <c r="AJ45" s="34"/>
      <c r="AK45" s="33">
        <v>25173</v>
      </c>
      <c r="AL45" s="34"/>
      <c r="AM45" s="33">
        <v>25204</v>
      </c>
      <c r="AN45" s="34"/>
      <c r="AO45" s="33">
        <v>25235</v>
      </c>
      <c r="AP45" s="34"/>
      <c r="AQ45" s="33">
        <v>25263</v>
      </c>
      <c r="AR45" s="34"/>
      <c r="AS45" s="33">
        <v>25294</v>
      </c>
      <c r="AT45" s="34"/>
      <c r="AU45" s="33">
        <v>25324</v>
      </c>
      <c r="AV45" s="34"/>
      <c r="AW45" s="33">
        <v>25355</v>
      </c>
      <c r="AX45" s="34"/>
      <c r="AY45" s="33">
        <v>25385</v>
      </c>
      <c r="AZ45" s="34"/>
      <c r="BA45" s="33">
        <v>25416</v>
      </c>
      <c r="BB45" s="34"/>
      <c r="BC45" s="33">
        <v>25447</v>
      </c>
      <c r="BD45" s="34"/>
    </row>
    <row r="46" spans="1:56" s="15" customFormat="1">
      <c r="A46" s="36"/>
      <c r="B46" s="36"/>
      <c r="C46" s="16">
        <v>25112</v>
      </c>
      <c r="D46" s="16">
        <v>25143</v>
      </c>
      <c r="E46" s="16">
        <v>25173</v>
      </c>
      <c r="F46" s="16">
        <v>25204</v>
      </c>
      <c r="G46" s="16">
        <v>25235</v>
      </c>
      <c r="H46" s="16">
        <v>25263</v>
      </c>
      <c r="I46" s="16">
        <v>25294</v>
      </c>
      <c r="J46" s="16">
        <v>25324</v>
      </c>
      <c r="K46" s="16">
        <v>25355</v>
      </c>
      <c r="L46" s="16">
        <v>25385</v>
      </c>
      <c r="M46" s="16">
        <v>25416</v>
      </c>
      <c r="N46" s="16">
        <v>25447</v>
      </c>
      <c r="P46" s="36"/>
      <c r="Q46" s="36"/>
      <c r="R46" s="16">
        <v>25112</v>
      </c>
      <c r="S46" s="16">
        <v>25143</v>
      </c>
      <c r="T46" s="16">
        <v>25173</v>
      </c>
      <c r="U46" s="16">
        <v>25204</v>
      </c>
      <c r="V46" s="16">
        <v>25235</v>
      </c>
      <c r="W46" s="16">
        <v>25263</v>
      </c>
      <c r="X46" s="16">
        <v>25294</v>
      </c>
      <c r="Y46" s="16">
        <v>25324</v>
      </c>
      <c r="Z46" s="16">
        <v>25355</v>
      </c>
      <c r="AA46" s="16">
        <v>25385</v>
      </c>
      <c r="AB46" s="16">
        <v>25416</v>
      </c>
      <c r="AC46" s="16">
        <v>25447</v>
      </c>
      <c r="AE46" s="36"/>
      <c r="AF46" s="36"/>
      <c r="AG46" s="16" t="s">
        <v>85</v>
      </c>
      <c r="AH46" s="16" t="s">
        <v>86</v>
      </c>
      <c r="AI46" s="16" t="s">
        <v>85</v>
      </c>
      <c r="AJ46" s="16" t="s">
        <v>86</v>
      </c>
      <c r="AK46" s="16" t="s">
        <v>85</v>
      </c>
      <c r="AL46" s="16" t="s">
        <v>86</v>
      </c>
      <c r="AM46" s="16" t="s">
        <v>85</v>
      </c>
      <c r="AN46" s="16" t="s">
        <v>86</v>
      </c>
      <c r="AO46" s="16" t="s">
        <v>85</v>
      </c>
      <c r="AP46" s="16" t="s">
        <v>86</v>
      </c>
      <c r="AQ46" s="16" t="s">
        <v>85</v>
      </c>
      <c r="AR46" s="16" t="s">
        <v>86</v>
      </c>
      <c r="AS46" s="16" t="s">
        <v>85</v>
      </c>
      <c r="AT46" s="16" t="s">
        <v>86</v>
      </c>
      <c r="AU46" s="16" t="s">
        <v>85</v>
      </c>
      <c r="AV46" s="16" t="s">
        <v>86</v>
      </c>
      <c r="AW46" s="16" t="s">
        <v>85</v>
      </c>
      <c r="AX46" s="16" t="s">
        <v>86</v>
      </c>
      <c r="AY46" s="16" t="s">
        <v>85</v>
      </c>
      <c r="AZ46" s="16" t="s">
        <v>86</v>
      </c>
      <c r="BA46" s="16" t="s">
        <v>85</v>
      </c>
      <c r="BB46" s="16" t="s">
        <v>86</v>
      </c>
      <c r="BC46" s="16" t="s">
        <v>85</v>
      </c>
      <c r="BD46" s="16" t="s">
        <v>86</v>
      </c>
    </row>
    <row r="47" spans="1:56">
      <c r="A47" s="17">
        <v>1</v>
      </c>
      <c r="B47" s="18" t="s">
        <v>19</v>
      </c>
      <c r="C47" s="19"/>
      <c r="D47" s="19"/>
      <c r="E47" s="19"/>
      <c r="F47" s="19"/>
      <c r="G47" s="18"/>
      <c r="H47" s="18"/>
      <c r="I47" s="18"/>
      <c r="J47" s="18"/>
      <c r="K47" s="18"/>
      <c r="L47" s="18"/>
      <c r="M47" s="18"/>
      <c r="N47" s="18"/>
      <c r="P47" s="17">
        <v>1</v>
      </c>
      <c r="Q47" s="18" t="s">
        <v>19</v>
      </c>
      <c r="R47" s="19">
        <v>104266</v>
      </c>
      <c r="S47" s="19">
        <v>104266</v>
      </c>
      <c r="T47" s="19">
        <v>104266</v>
      </c>
      <c r="U47" s="19"/>
      <c r="V47" s="18"/>
      <c r="W47" s="18"/>
      <c r="X47" s="18"/>
      <c r="Y47" s="18"/>
      <c r="Z47" s="18"/>
      <c r="AA47" s="18"/>
      <c r="AB47" s="18"/>
      <c r="AC47" s="18"/>
      <c r="AE47" s="17">
        <v>1</v>
      </c>
      <c r="AF47" s="18" t="s">
        <v>19</v>
      </c>
      <c r="AG47" s="19">
        <f t="shared" ref="AG47:AG61" si="78">+C47-R47</f>
        <v>-104266</v>
      </c>
      <c r="AH47" s="19" t="e">
        <f t="shared" ref="AH47:AH61" si="79">+AG47/C47*100</f>
        <v>#DIV/0!</v>
      </c>
      <c r="AI47" s="19">
        <f t="shared" ref="AI47:AI61" si="80">+D47-S47</f>
        <v>-104266</v>
      </c>
      <c r="AJ47" s="19" t="e">
        <f t="shared" ref="AJ47:AJ61" si="81">+AI47/D47*100</f>
        <v>#DIV/0!</v>
      </c>
      <c r="AK47" s="19">
        <f t="shared" ref="AK47:AK61" si="82">+E47-T47</f>
        <v>-104266</v>
      </c>
      <c r="AL47" s="19" t="e">
        <f t="shared" ref="AL47:AL61" si="83">+AK47/E47*100</f>
        <v>#DIV/0!</v>
      </c>
      <c r="AM47" s="19">
        <f t="shared" ref="AM47:AM61" si="84">+F47-U47</f>
        <v>0</v>
      </c>
      <c r="AN47" s="19" t="e">
        <f t="shared" ref="AN47:AN61" si="85">+AM47/F47*100</f>
        <v>#DIV/0!</v>
      </c>
      <c r="AO47" s="19">
        <f t="shared" ref="AO47:AO61" si="86">+G47-V47</f>
        <v>0</v>
      </c>
      <c r="AP47" s="19" t="e">
        <f t="shared" ref="AP47:AP61" si="87">+AO47/G47*100</f>
        <v>#DIV/0!</v>
      </c>
      <c r="AQ47" s="19">
        <f t="shared" ref="AQ47:AQ61" si="88">+H47-W47</f>
        <v>0</v>
      </c>
      <c r="AR47" s="19" t="e">
        <f t="shared" ref="AR47:AR61" si="89">+AQ47/H47*100</f>
        <v>#DIV/0!</v>
      </c>
      <c r="AS47" s="19">
        <f t="shared" ref="AS47:AS61" si="90">+I47-X47</f>
        <v>0</v>
      </c>
      <c r="AT47" s="19" t="e">
        <f t="shared" ref="AT47:AT61" si="91">+AS47/I47*100</f>
        <v>#DIV/0!</v>
      </c>
      <c r="AU47" s="19">
        <f t="shared" ref="AU47:AU61" si="92">+J47-Y47</f>
        <v>0</v>
      </c>
      <c r="AV47" s="19" t="e">
        <f t="shared" ref="AV47:AV61" si="93">+AU47/J47*100</f>
        <v>#DIV/0!</v>
      </c>
      <c r="AW47" s="19">
        <f t="shared" ref="AW47:AW61" si="94">+K47-Z47</f>
        <v>0</v>
      </c>
      <c r="AX47" s="19" t="e">
        <f t="shared" ref="AX47:AX61" si="95">+AW47/K47*100</f>
        <v>#DIV/0!</v>
      </c>
      <c r="AY47" s="19">
        <f t="shared" ref="AY47:AY61" si="96">+L47-AA47</f>
        <v>0</v>
      </c>
      <c r="AZ47" s="19" t="e">
        <f t="shared" ref="AZ47:AZ61" si="97">+AY47/L47*100</f>
        <v>#DIV/0!</v>
      </c>
      <c r="BA47" s="19">
        <f t="shared" ref="BA47:BA61" si="98">+M47-AB47</f>
        <v>0</v>
      </c>
      <c r="BB47" s="19" t="e">
        <f t="shared" ref="BB47:BB61" si="99">+BA47/M47*100</f>
        <v>#DIV/0!</v>
      </c>
      <c r="BC47" s="19">
        <f t="shared" ref="BC47:BC61" si="100">+N47-AC47</f>
        <v>0</v>
      </c>
      <c r="BD47" s="19" t="e">
        <f t="shared" ref="BD47:BD61" si="101">+BC47/N47*100</f>
        <v>#DIV/0!</v>
      </c>
    </row>
    <row r="48" spans="1:56">
      <c r="A48" s="17">
        <v>2</v>
      </c>
      <c r="B48" s="18" t="s">
        <v>21</v>
      </c>
      <c r="C48" s="19"/>
      <c r="D48" s="19"/>
      <c r="E48" s="19"/>
      <c r="F48" s="19"/>
      <c r="G48" s="18"/>
      <c r="H48" s="18"/>
      <c r="I48" s="18"/>
      <c r="J48" s="18"/>
      <c r="K48" s="18"/>
      <c r="L48" s="18"/>
      <c r="M48" s="18"/>
      <c r="N48" s="18"/>
      <c r="P48" s="17">
        <v>2</v>
      </c>
      <c r="Q48" s="18" t="s">
        <v>21</v>
      </c>
      <c r="R48" s="19">
        <v>1644998</v>
      </c>
      <c r="S48" s="19">
        <v>1644998</v>
      </c>
      <c r="T48" s="19">
        <v>1644998</v>
      </c>
      <c r="U48" s="19"/>
      <c r="V48" s="18"/>
      <c r="W48" s="18"/>
      <c r="X48" s="18"/>
      <c r="Y48" s="18"/>
      <c r="Z48" s="18"/>
      <c r="AA48" s="18"/>
      <c r="AB48" s="18"/>
      <c r="AC48" s="18"/>
      <c r="AE48" s="17">
        <v>2</v>
      </c>
      <c r="AF48" s="18" t="s">
        <v>21</v>
      </c>
      <c r="AG48" s="19">
        <f t="shared" si="78"/>
        <v>-1644998</v>
      </c>
      <c r="AH48" s="19" t="e">
        <f t="shared" si="79"/>
        <v>#DIV/0!</v>
      </c>
      <c r="AI48" s="19">
        <f t="shared" si="80"/>
        <v>-1644998</v>
      </c>
      <c r="AJ48" s="19" t="e">
        <f t="shared" si="81"/>
        <v>#DIV/0!</v>
      </c>
      <c r="AK48" s="19">
        <f t="shared" si="82"/>
        <v>-1644998</v>
      </c>
      <c r="AL48" s="19" t="e">
        <f t="shared" si="83"/>
        <v>#DIV/0!</v>
      </c>
      <c r="AM48" s="19">
        <f t="shared" si="84"/>
        <v>0</v>
      </c>
      <c r="AN48" s="19" t="e">
        <f t="shared" si="85"/>
        <v>#DIV/0!</v>
      </c>
      <c r="AO48" s="19">
        <f t="shared" si="86"/>
        <v>0</v>
      </c>
      <c r="AP48" s="19" t="e">
        <f t="shared" si="87"/>
        <v>#DIV/0!</v>
      </c>
      <c r="AQ48" s="19">
        <f t="shared" si="88"/>
        <v>0</v>
      </c>
      <c r="AR48" s="19" t="e">
        <f t="shared" si="89"/>
        <v>#DIV/0!</v>
      </c>
      <c r="AS48" s="19">
        <f t="shared" si="90"/>
        <v>0</v>
      </c>
      <c r="AT48" s="19" t="e">
        <f t="shared" si="91"/>
        <v>#DIV/0!</v>
      </c>
      <c r="AU48" s="19">
        <f t="shared" si="92"/>
        <v>0</v>
      </c>
      <c r="AV48" s="19" t="e">
        <f t="shared" si="93"/>
        <v>#DIV/0!</v>
      </c>
      <c r="AW48" s="19">
        <f t="shared" si="94"/>
        <v>0</v>
      </c>
      <c r="AX48" s="19" t="e">
        <f t="shared" si="95"/>
        <v>#DIV/0!</v>
      </c>
      <c r="AY48" s="19">
        <f t="shared" si="96"/>
        <v>0</v>
      </c>
      <c r="AZ48" s="19" t="e">
        <f t="shared" si="97"/>
        <v>#DIV/0!</v>
      </c>
      <c r="BA48" s="19">
        <f t="shared" si="98"/>
        <v>0</v>
      </c>
      <c r="BB48" s="19" t="e">
        <f t="shared" si="99"/>
        <v>#DIV/0!</v>
      </c>
      <c r="BC48" s="19">
        <f t="shared" si="100"/>
        <v>0</v>
      </c>
      <c r="BD48" s="19" t="e">
        <f t="shared" si="101"/>
        <v>#DIV/0!</v>
      </c>
    </row>
    <row r="49" spans="1:56">
      <c r="A49" s="17">
        <v>3</v>
      </c>
      <c r="B49" s="18" t="s">
        <v>23</v>
      </c>
      <c r="C49" s="19">
        <v>1419999</v>
      </c>
      <c r="D49" s="19">
        <v>1419999</v>
      </c>
      <c r="E49" s="19">
        <v>1419999</v>
      </c>
      <c r="F49" s="19"/>
      <c r="G49" s="18"/>
      <c r="H49" s="18"/>
      <c r="I49" s="18"/>
      <c r="J49" s="18"/>
      <c r="K49" s="18"/>
      <c r="L49" s="18"/>
      <c r="M49" s="18"/>
      <c r="N49" s="18"/>
      <c r="P49" s="17">
        <v>3</v>
      </c>
      <c r="Q49" s="18" t="s">
        <v>23</v>
      </c>
      <c r="R49" s="19">
        <v>744999</v>
      </c>
      <c r="S49" s="19">
        <v>744999</v>
      </c>
      <c r="T49" s="19">
        <v>744999</v>
      </c>
      <c r="U49" s="19"/>
      <c r="V49" s="18"/>
      <c r="W49" s="18"/>
      <c r="X49" s="18"/>
      <c r="Y49" s="18"/>
      <c r="Z49" s="18"/>
      <c r="AA49" s="18"/>
      <c r="AB49" s="18"/>
      <c r="AC49" s="18"/>
      <c r="AE49" s="17">
        <v>3</v>
      </c>
      <c r="AF49" s="18" t="s">
        <v>23</v>
      </c>
      <c r="AG49" s="19">
        <f t="shared" si="78"/>
        <v>675000</v>
      </c>
      <c r="AH49" s="19">
        <f t="shared" si="79"/>
        <v>47.5352447431301</v>
      </c>
      <c r="AI49" s="19">
        <f t="shared" si="80"/>
        <v>675000</v>
      </c>
      <c r="AJ49" s="19">
        <f t="shared" si="81"/>
        <v>47.5352447431301</v>
      </c>
      <c r="AK49" s="19">
        <f t="shared" si="82"/>
        <v>675000</v>
      </c>
      <c r="AL49" s="19">
        <f t="shared" si="83"/>
        <v>47.5352447431301</v>
      </c>
      <c r="AM49" s="19">
        <f t="shared" si="84"/>
        <v>0</v>
      </c>
      <c r="AN49" s="19" t="e">
        <f t="shared" si="85"/>
        <v>#DIV/0!</v>
      </c>
      <c r="AO49" s="19">
        <f t="shared" si="86"/>
        <v>0</v>
      </c>
      <c r="AP49" s="19" t="e">
        <f t="shared" si="87"/>
        <v>#DIV/0!</v>
      </c>
      <c r="AQ49" s="19">
        <f t="shared" si="88"/>
        <v>0</v>
      </c>
      <c r="AR49" s="19" t="e">
        <f t="shared" si="89"/>
        <v>#DIV/0!</v>
      </c>
      <c r="AS49" s="19">
        <f t="shared" si="90"/>
        <v>0</v>
      </c>
      <c r="AT49" s="19" t="e">
        <f t="shared" si="91"/>
        <v>#DIV/0!</v>
      </c>
      <c r="AU49" s="19">
        <f t="shared" si="92"/>
        <v>0</v>
      </c>
      <c r="AV49" s="19" t="e">
        <f t="shared" si="93"/>
        <v>#DIV/0!</v>
      </c>
      <c r="AW49" s="19">
        <f t="shared" si="94"/>
        <v>0</v>
      </c>
      <c r="AX49" s="19" t="e">
        <f t="shared" si="95"/>
        <v>#DIV/0!</v>
      </c>
      <c r="AY49" s="19">
        <f t="shared" si="96"/>
        <v>0</v>
      </c>
      <c r="AZ49" s="19" t="e">
        <f t="shared" si="97"/>
        <v>#DIV/0!</v>
      </c>
      <c r="BA49" s="19">
        <f t="shared" si="98"/>
        <v>0</v>
      </c>
      <c r="BB49" s="19" t="e">
        <f t="shared" si="99"/>
        <v>#DIV/0!</v>
      </c>
      <c r="BC49" s="19">
        <f t="shared" si="100"/>
        <v>0</v>
      </c>
      <c r="BD49" s="19" t="e">
        <f t="shared" si="101"/>
        <v>#DIV/0!</v>
      </c>
    </row>
    <row r="50" spans="1:56">
      <c r="A50" s="17">
        <v>4</v>
      </c>
      <c r="B50" s="18" t="s">
        <v>25</v>
      </c>
      <c r="C50" s="19"/>
      <c r="D50" s="19"/>
      <c r="E50" s="19"/>
      <c r="F50" s="19"/>
      <c r="G50" s="18"/>
      <c r="H50" s="18"/>
      <c r="I50" s="18"/>
      <c r="J50" s="18"/>
      <c r="K50" s="18"/>
      <c r="L50" s="18"/>
      <c r="M50" s="18"/>
      <c r="N50" s="18"/>
      <c r="P50" s="17">
        <v>4</v>
      </c>
      <c r="Q50" s="18" t="s">
        <v>25</v>
      </c>
      <c r="R50" s="19"/>
      <c r="S50" s="19"/>
      <c r="T50" s="19"/>
      <c r="U50" s="19"/>
      <c r="V50" s="18"/>
      <c r="W50" s="18"/>
      <c r="X50" s="18"/>
      <c r="Y50" s="18"/>
      <c r="Z50" s="18"/>
      <c r="AA50" s="18"/>
      <c r="AB50" s="18"/>
      <c r="AC50" s="18"/>
      <c r="AE50" s="17">
        <v>4</v>
      </c>
      <c r="AF50" s="18" t="s">
        <v>25</v>
      </c>
      <c r="AG50" s="19">
        <f t="shared" si="78"/>
        <v>0</v>
      </c>
      <c r="AH50" s="19" t="e">
        <f t="shared" si="79"/>
        <v>#DIV/0!</v>
      </c>
      <c r="AI50" s="19">
        <f t="shared" si="80"/>
        <v>0</v>
      </c>
      <c r="AJ50" s="19" t="e">
        <f t="shared" si="81"/>
        <v>#DIV/0!</v>
      </c>
      <c r="AK50" s="19">
        <f t="shared" si="82"/>
        <v>0</v>
      </c>
      <c r="AL50" s="19" t="e">
        <f t="shared" si="83"/>
        <v>#DIV/0!</v>
      </c>
      <c r="AM50" s="19">
        <f t="shared" si="84"/>
        <v>0</v>
      </c>
      <c r="AN50" s="19" t="e">
        <f t="shared" si="85"/>
        <v>#DIV/0!</v>
      </c>
      <c r="AO50" s="19">
        <f t="shared" si="86"/>
        <v>0</v>
      </c>
      <c r="AP50" s="19" t="e">
        <f t="shared" si="87"/>
        <v>#DIV/0!</v>
      </c>
      <c r="AQ50" s="19">
        <f t="shared" si="88"/>
        <v>0</v>
      </c>
      <c r="AR50" s="19" t="e">
        <f t="shared" si="89"/>
        <v>#DIV/0!</v>
      </c>
      <c r="AS50" s="19">
        <f t="shared" si="90"/>
        <v>0</v>
      </c>
      <c r="AT50" s="19" t="e">
        <f t="shared" si="91"/>
        <v>#DIV/0!</v>
      </c>
      <c r="AU50" s="19">
        <f t="shared" si="92"/>
        <v>0</v>
      </c>
      <c r="AV50" s="19" t="e">
        <f t="shared" si="93"/>
        <v>#DIV/0!</v>
      </c>
      <c r="AW50" s="19">
        <f t="shared" si="94"/>
        <v>0</v>
      </c>
      <c r="AX50" s="19" t="e">
        <f t="shared" si="95"/>
        <v>#DIV/0!</v>
      </c>
      <c r="AY50" s="19">
        <f t="shared" si="96"/>
        <v>0</v>
      </c>
      <c r="AZ50" s="19" t="e">
        <f t="shared" si="97"/>
        <v>#DIV/0!</v>
      </c>
      <c r="BA50" s="19">
        <f t="shared" si="98"/>
        <v>0</v>
      </c>
      <c r="BB50" s="19" t="e">
        <f t="shared" si="99"/>
        <v>#DIV/0!</v>
      </c>
      <c r="BC50" s="19">
        <f t="shared" si="100"/>
        <v>0</v>
      </c>
      <c r="BD50" s="19" t="e">
        <f t="shared" si="101"/>
        <v>#DIV/0!</v>
      </c>
    </row>
    <row r="51" spans="1:56">
      <c r="A51" s="17">
        <v>5</v>
      </c>
      <c r="B51" s="18" t="s">
        <v>27</v>
      </c>
      <c r="C51" s="19"/>
      <c r="D51" s="19"/>
      <c r="E51" s="19"/>
      <c r="F51" s="19"/>
      <c r="G51" s="18"/>
      <c r="H51" s="18"/>
      <c r="I51" s="18"/>
      <c r="J51" s="18"/>
      <c r="K51" s="18"/>
      <c r="L51" s="18"/>
      <c r="M51" s="18"/>
      <c r="N51" s="18"/>
      <c r="P51" s="17">
        <v>5</v>
      </c>
      <c r="Q51" s="18" t="s">
        <v>27</v>
      </c>
      <c r="R51" s="19"/>
      <c r="S51" s="19"/>
      <c r="T51" s="19"/>
      <c r="U51" s="19"/>
      <c r="V51" s="18"/>
      <c r="W51" s="18"/>
      <c r="X51" s="18"/>
      <c r="Y51" s="18"/>
      <c r="Z51" s="18"/>
      <c r="AA51" s="18"/>
      <c r="AB51" s="18"/>
      <c r="AC51" s="18"/>
      <c r="AE51" s="17">
        <v>5</v>
      </c>
      <c r="AF51" s="18" t="s">
        <v>27</v>
      </c>
      <c r="AG51" s="19">
        <f t="shared" si="78"/>
        <v>0</v>
      </c>
      <c r="AH51" s="19" t="e">
        <f t="shared" si="79"/>
        <v>#DIV/0!</v>
      </c>
      <c r="AI51" s="19">
        <f t="shared" si="80"/>
        <v>0</v>
      </c>
      <c r="AJ51" s="19" t="e">
        <f t="shared" si="81"/>
        <v>#DIV/0!</v>
      </c>
      <c r="AK51" s="19">
        <f t="shared" si="82"/>
        <v>0</v>
      </c>
      <c r="AL51" s="19" t="e">
        <f t="shared" si="83"/>
        <v>#DIV/0!</v>
      </c>
      <c r="AM51" s="19">
        <f t="shared" si="84"/>
        <v>0</v>
      </c>
      <c r="AN51" s="19" t="e">
        <f t="shared" si="85"/>
        <v>#DIV/0!</v>
      </c>
      <c r="AO51" s="19">
        <f t="shared" si="86"/>
        <v>0</v>
      </c>
      <c r="AP51" s="19" t="e">
        <f t="shared" si="87"/>
        <v>#DIV/0!</v>
      </c>
      <c r="AQ51" s="19">
        <f t="shared" si="88"/>
        <v>0</v>
      </c>
      <c r="AR51" s="19" t="e">
        <f t="shared" si="89"/>
        <v>#DIV/0!</v>
      </c>
      <c r="AS51" s="19">
        <f t="shared" si="90"/>
        <v>0</v>
      </c>
      <c r="AT51" s="19" t="e">
        <f t="shared" si="91"/>
        <v>#DIV/0!</v>
      </c>
      <c r="AU51" s="19">
        <f t="shared" si="92"/>
        <v>0</v>
      </c>
      <c r="AV51" s="19" t="e">
        <f t="shared" si="93"/>
        <v>#DIV/0!</v>
      </c>
      <c r="AW51" s="19">
        <f t="shared" si="94"/>
        <v>0</v>
      </c>
      <c r="AX51" s="19" t="e">
        <f t="shared" si="95"/>
        <v>#DIV/0!</v>
      </c>
      <c r="AY51" s="19">
        <f t="shared" si="96"/>
        <v>0</v>
      </c>
      <c r="AZ51" s="19" t="e">
        <f t="shared" si="97"/>
        <v>#DIV/0!</v>
      </c>
      <c r="BA51" s="19">
        <f t="shared" si="98"/>
        <v>0</v>
      </c>
      <c r="BB51" s="19" t="e">
        <f t="shared" si="99"/>
        <v>#DIV/0!</v>
      </c>
      <c r="BC51" s="19">
        <f t="shared" si="100"/>
        <v>0</v>
      </c>
      <c r="BD51" s="19" t="e">
        <f t="shared" si="101"/>
        <v>#DIV/0!</v>
      </c>
    </row>
    <row r="52" spans="1:56">
      <c r="A52" s="17">
        <v>6</v>
      </c>
      <c r="B52" s="18" t="s">
        <v>29</v>
      </c>
      <c r="C52" s="19">
        <v>4698920.17</v>
      </c>
      <c r="D52" s="19">
        <v>4783190.6900000004</v>
      </c>
      <c r="E52" s="19">
        <v>4870270.2300000004</v>
      </c>
      <c r="F52" s="19"/>
      <c r="G52" s="18"/>
      <c r="H52" s="18"/>
      <c r="I52" s="18"/>
      <c r="J52" s="18"/>
      <c r="K52" s="18"/>
      <c r="L52" s="18"/>
      <c r="M52" s="18"/>
      <c r="N52" s="18"/>
      <c r="P52" s="17">
        <v>6</v>
      </c>
      <c r="Q52" s="18" t="s">
        <v>29</v>
      </c>
      <c r="R52" s="19">
        <v>4761301.3499999996</v>
      </c>
      <c r="S52" s="19">
        <v>4839363.6399999997</v>
      </c>
      <c r="T52" s="19">
        <v>4917425.92</v>
      </c>
      <c r="U52" s="19"/>
      <c r="V52" s="18"/>
      <c r="W52" s="18"/>
      <c r="X52" s="18"/>
      <c r="Y52" s="18"/>
      <c r="Z52" s="18"/>
      <c r="AA52" s="18"/>
      <c r="AB52" s="18"/>
      <c r="AC52" s="18"/>
      <c r="AE52" s="17">
        <v>6</v>
      </c>
      <c r="AF52" s="18" t="s">
        <v>29</v>
      </c>
      <c r="AG52" s="19">
        <f t="shared" si="78"/>
        <v>-62381.179999999702</v>
      </c>
      <c r="AH52" s="19">
        <f t="shared" si="79"/>
        <v>-1.3275641582138158</v>
      </c>
      <c r="AI52" s="19">
        <f t="shared" si="80"/>
        <v>-56172.949999999255</v>
      </c>
      <c r="AJ52" s="19">
        <f t="shared" si="81"/>
        <v>-1.1743824079068705</v>
      </c>
      <c r="AK52" s="19">
        <f t="shared" si="82"/>
        <v>-47155.689999999478</v>
      </c>
      <c r="AL52" s="19">
        <f t="shared" si="83"/>
        <v>-0.96823559624122701</v>
      </c>
      <c r="AM52" s="19">
        <f t="shared" si="84"/>
        <v>0</v>
      </c>
      <c r="AN52" s="19" t="e">
        <f t="shared" si="85"/>
        <v>#DIV/0!</v>
      </c>
      <c r="AO52" s="19">
        <f t="shared" si="86"/>
        <v>0</v>
      </c>
      <c r="AP52" s="19" t="e">
        <f t="shared" si="87"/>
        <v>#DIV/0!</v>
      </c>
      <c r="AQ52" s="19">
        <f t="shared" si="88"/>
        <v>0</v>
      </c>
      <c r="AR52" s="19" t="e">
        <f t="shared" si="89"/>
        <v>#DIV/0!</v>
      </c>
      <c r="AS52" s="19">
        <f t="shared" si="90"/>
        <v>0</v>
      </c>
      <c r="AT52" s="19" t="e">
        <f t="shared" si="91"/>
        <v>#DIV/0!</v>
      </c>
      <c r="AU52" s="19">
        <f t="shared" si="92"/>
        <v>0</v>
      </c>
      <c r="AV52" s="19" t="e">
        <f t="shared" si="93"/>
        <v>#DIV/0!</v>
      </c>
      <c r="AW52" s="19">
        <f t="shared" si="94"/>
        <v>0</v>
      </c>
      <c r="AX52" s="19" t="e">
        <f t="shared" si="95"/>
        <v>#DIV/0!</v>
      </c>
      <c r="AY52" s="19">
        <f t="shared" si="96"/>
        <v>0</v>
      </c>
      <c r="AZ52" s="19" t="e">
        <f t="shared" si="97"/>
        <v>#DIV/0!</v>
      </c>
      <c r="BA52" s="19">
        <f t="shared" si="98"/>
        <v>0</v>
      </c>
      <c r="BB52" s="19" t="e">
        <f t="shared" si="99"/>
        <v>#DIV/0!</v>
      </c>
      <c r="BC52" s="19">
        <f t="shared" si="100"/>
        <v>0</v>
      </c>
      <c r="BD52" s="19" t="e">
        <f t="shared" si="101"/>
        <v>#DIV/0!</v>
      </c>
    </row>
    <row r="53" spans="1:56">
      <c r="A53" s="17">
        <v>7</v>
      </c>
      <c r="B53" s="18" t="s">
        <v>31</v>
      </c>
      <c r="C53" s="19"/>
      <c r="D53" s="19"/>
      <c r="E53" s="19"/>
      <c r="F53" s="19"/>
      <c r="G53" s="18"/>
      <c r="H53" s="18"/>
      <c r="I53" s="18"/>
      <c r="J53" s="18"/>
      <c r="K53" s="18"/>
      <c r="L53" s="18"/>
      <c r="M53" s="18"/>
      <c r="N53" s="18"/>
      <c r="P53" s="17">
        <v>7</v>
      </c>
      <c r="Q53" s="18" t="s">
        <v>31</v>
      </c>
      <c r="R53" s="19"/>
      <c r="S53" s="19"/>
      <c r="T53" s="19"/>
      <c r="U53" s="19"/>
      <c r="V53" s="18"/>
      <c r="W53" s="18"/>
      <c r="X53" s="18"/>
      <c r="Y53" s="18"/>
      <c r="Z53" s="18"/>
      <c r="AA53" s="18"/>
      <c r="AB53" s="18"/>
      <c r="AC53" s="18"/>
      <c r="AE53" s="17">
        <v>7</v>
      </c>
      <c r="AF53" s="18" t="s">
        <v>31</v>
      </c>
      <c r="AG53" s="19">
        <f t="shared" si="78"/>
        <v>0</v>
      </c>
      <c r="AH53" s="19" t="e">
        <f t="shared" si="79"/>
        <v>#DIV/0!</v>
      </c>
      <c r="AI53" s="19">
        <f t="shared" si="80"/>
        <v>0</v>
      </c>
      <c r="AJ53" s="19" t="e">
        <f t="shared" si="81"/>
        <v>#DIV/0!</v>
      </c>
      <c r="AK53" s="19">
        <f t="shared" si="82"/>
        <v>0</v>
      </c>
      <c r="AL53" s="19" t="e">
        <f t="shared" si="83"/>
        <v>#DIV/0!</v>
      </c>
      <c r="AM53" s="19">
        <f t="shared" si="84"/>
        <v>0</v>
      </c>
      <c r="AN53" s="19" t="e">
        <f t="shared" si="85"/>
        <v>#DIV/0!</v>
      </c>
      <c r="AO53" s="19">
        <f t="shared" si="86"/>
        <v>0</v>
      </c>
      <c r="AP53" s="19" t="e">
        <f t="shared" si="87"/>
        <v>#DIV/0!</v>
      </c>
      <c r="AQ53" s="19">
        <f t="shared" si="88"/>
        <v>0</v>
      </c>
      <c r="AR53" s="19" t="e">
        <f t="shared" si="89"/>
        <v>#DIV/0!</v>
      </c>
      <c r="AS53" s="19">
        <f t="shared" si="90"/>
        <v>0</v>
      </c>
      <c r="AT53" s="19" t="e">
        <f t="shared" si="91"/>
        <v>#DIV/0!</v>
      </c>
      <c r="AU53" s="19">
        <f t="shared" si="92"/>
        <v>0</v>
      </c>
      <c r="AV53" s="19" t="e">
        <f t="shared" si="93"/>
        <v>#DIV/0!</v>
      </c>
      <c r="AW53" s="19">
        <f t="shared" si="94"/>
        <v>0</v>
      </c>
      <c r="AX53" s="19" t="e">
        <f t="shared" si="95"/>
        <v>#DIV/0!</v>
      </c>
      <c r="AY53" s="19">
        <f t="shared" si="96"/>
        <v>0</v>
      </c>
      <c r="AZ53" s="19" t="e">
        <f t="shared" si="97"/>
        <v>#DIV/0!</v>
      </c>
      <c r="BA53" s="19">
        <f t="shared" si="98"/>
        <v>0</v>
      </c>
      <c r="BB53" s="19" t="e">
        <f t="shared" si="99"/>
        <v>#DIV/0!</v>
      </c>
      <c r="BC53" s="19">
        <f t="shared" si="100"/>
        <v>0</v>
      </c>
      <c r="BD53" s="19" t="e">
        <f t="shared" si="101"/>
        <v>#DIV/0!</v>
      </c>
    </row>
    <row r="54" spans="1:56">
      <c r="A54" s="17">
        <v>8</v>
      </c>
      <c r="B54" s="18" t="s">
        <v>33</v>
      </c>
      <c r="C54" s="19"/>
      <c r="D54" s="19"/>
      <c r="E54" s="19"/>
      <c r="F54" s="19"/>
      <c r="G54" s="18"/>
      <c r="H54" s="18"/>
      <c r="I54" s="18"/>
      <c r="J54" s="18"/>
      <c r="K54" s="18"/>
      <c r="L54" s="18"/>
      <c r="M54" s="18"/>
      <c r="N54" s="18"/>
      <c r="P54" s="17">
        <v>8</v>
      </c>
      <c r="Q54" s="18" t="s">
        <v>33</v>
      </c>
      <c r="R54" s="19">
        <v>18277</v>
      </c>
      <c r="S54" s="19">
        <v>18277</v>
      </c>
      <c r="T54" s="19">
        <v>18277</v>
      </c>
      <c r="U54" s="19"/>
      <c r="V54" s="18"/>
      <c r="W54" s="18"/>
      <c r="X54" s="18"/>
      <c r="Y54" s="18"/>
      <c r="Z54" s="18"/>
      <c r="AA54" s="18"/>
      <c r="AB54" s="18"/>
      <c r="AC54" s="18"/>
      <c r="AE54" s="17">
        <v>8</v>
      </c>
      <c r="AF54" s="18" t="s">
        <v>33</v>
      </c>
      <c r="AG54" s="19">
        <f t="shared" si="78"/>
        <v>-18277</v>
      </c>
      <c r="AH54" s="19" t="e">
        <f t="shared" si="79"/>
        <v>#DIV/0!</v>
      </c>
      <c r="AI54" s="19">
        <f t="shared" si="80"/>
        <v>-18277</v>
      </c>
      <c r="AJ54" s="19" t="e">
        <f t="shared" si="81"/>
        <v>#DIV/0!</v>
      </c>
      <c r="AK54" s="19">
        <f t="shared" si="82"/>
        <v>-18277</v>
      </c>
      <c r="AL54" s="19" t="e">
        <f t="shared" si="83"/>
        <v>#DIV/0!</v>
      </c>
      <c r="AM54" s="19">
        <f t="shared" si="84"/>
        <v>0</v>
      </c>
      <c r="AN54" s="19" t="e">
        <f t="shared" si="85"/>
        <v>#DIV/0!</v>
      </c>
      <c r="AO54" s="19">
        <f t="shared" si="86"/>
        <v>0</v>
      </c>
      <c r="AP54" s="19" t="e">
        <f t="shared" si="87"/>
        <v>#DIV/0!</v>
      </c>
      <c r="AQ54" s="19">
        <f t="shared" si="88"/>
        <v>0</v>
      </c>
      <c r="AR54" s="19" t="e">
        <f t="shared" si="89"/>
        <v>#DIV/0!</v>
      </c>
      <c r="AS54" s="19">
        <f t="shared" si="90"/>
        <v>0</v>
      </c>
      <c r="AT54" s="19" t="e">
        <f t="shared" si="91"/>
        <v>#DIV/0!</v>
      </c>
      <c r="AU54" s="19">
        <f t="shared" si="92"/>
        <v>0</v>
      </c>
      <c r="AV54" s="19" t="e">
        <f t="shared" si="93"/>
        <v>#DIV/0!</v>
      </c>
      <c r="AW54" s="19">
        <f t="shared" si="94"/>
        <v>0</v>
      </c>
      <c r="AX54" s="19" t="e">
        <f t="shared" si="95"/>
        <v>#DIV/0!</v>
      </c>
      <c r="AY54" s="19">
        <f t="shared" si="96"/>
        <v>0</v>
      </c>
      <c r="AZ54" s="19" t="e">
        <f t="shared" si="97"/>
        <v>#DIV/0!</v>
      </c>
      <c r="BA54" s="19">
        <f t="shared" si="98"/>
        <v>0</v>
      </c>
      <c r="BB54" s="19" t="e">
        <f t="shared" si="99"/>
        <v>#DIV/0!</v>
      </c>
      <c r="BC54" s="19">
        <f t="shared" si="100"/>
        <v>0</v>
      </c>
      <c r="BD54" s="19" t="e">
        <f t="shared" si="101"/>
        <v>#DIV/0!</v>
      </c>
    </row>
    <row r="55" spans="1:56">
      <c r="A55" s="17">
        <v>9</v>
      </c>
      <c r="B55" s="18" t="s">
        <v>35</v>
      </c>
      <c r="C55" s="19"/>
      <c r="D55" s="19"/>
      <c r="E55" s="19"/>
      <c r="F55" s="19"/>
      <c r="G55" s="18"/>
      <c r="H55" s="18"/>
      <c r="I55" s="18"/>
      <c r="J55" s="18"/>
      <c r="K55" s="18"/>
      <c r="L55" s="18"/>
      <c r="M55" s="18"/>
      <c r="N55" s="18"/>
      <c r="P55" s="17">
        <v>9</v>
      </c>
      <c r="Q55" s="18" t="s">
        <v>35</v>
      </c>
      <c r="R55" s="19"/>
      <c r="S55" s="19"/>
      <c r="T55" s="19"/>
      <c r="U55" s="19"/>
      <c r="V55" s="18"/>
      <c r="W55" s="18"/>
      <c r="X55" s="18"/>
      <c r="Y55" s="18"/>
      <c r="Z55" s="18"/>
      <c r="AA55" s="18"/>
      <c r="AB55" s="18"/>
      <c r="AC55" s="18"/>
      <c r="AE55" s="17">
        <v>9</v>
      </c>
      <c r="AF55" s="18" t="s">
        <v>35</v>
      </c>
      <c r="AG55" s="19">
        <f t="shared" si="78"/>
        <v>0</v>
      </c>
      <c r="AH55" s="19" t="e">
        <f t="shared" si="79"/>
        <v>#DIV/0!</v>
      </c>
      <c r="AI55" s="19">
        <f t="shared" si="80"/>
        <v>0</v>
      </c>
      <c r="AJ55" s="19" t="e">
        <f t="shared" si="81"/>
        <v>#DIV/0!</v>
      </c>
      <c r="AK55" s="19">
        <f t="shared" si="82"/>
        <v>0</v>
      </c>
      <c r="AL55" s="19" t="e">
        <f t="shared" si="83"/>
        <v>#DIV/0!</v>
      </c>
      <c r="AM55" s="19">
        <f t="shared" si="84"/>
        <v>0</v>
      </c>
      <c r="AN55" s="19" t="e">
        <f t="shared" si="85"/>
        <v>#DIV/0!</v>
      </c>
      <c r="AO55" s="19">
        <f t="shared" si="86"/>
        <v>0</v>
      </c>
      <c r="AP55" s="19" t="e">
        <f t="shared" si="87"/>
        <v>#DIV/0!</v>
      </c>
      <c r="AQ55" s="19">
        <f t="shared" si="88"/>
        <v>0</v>
      </c>
      <c r="AR55" s="19" t="e">
        <f t="shared" si="89"/>
        <v>#DIV/0!</v>
      </c>
      <c r="AS55" s="19">
        <f t="shared" si="90"/>
        <v>0</v>
      </c>
      <c r="AT55" s="19" t="e">
        <f t="shared" si="91"/>
        <v>#DIV/0!</v>
      </c>
      <c r="AU55" s="19">
        <f t="shared" si="92"/>
        <v>0</v>
      </c>
      <c r="AV55" s="19" t="e">
        <f t="shared" si="93"/>
        <v>#DIV/0!</v>
      </c>
      <c r="AW55" s="19">
        <f t="shared" si="94"/>
        <v>0</v>
      </c>
      <c r="AX55" s="19" t="e">
        <f t="shared" si="95"/>
        <v>#DIV/0!</v>
      </c>
      <c r="AY55" s="19">
        <f t="shared" si="96"/>
        <v>0</v>
      </c>
      <c r="AZ55" s="19" t="e">
        <f t="shared" si="97"/>
        <v>#DIV/0!</v>
      </c>
      <c r="BA55" s="19">
        <f t="shared" si="98"/>
        <v>0</v>
      </c>
      <c r="BB55" s="19" t="e">
        <f t="shared" si="99"/>
        <v>#DIV/0!</v>
      </c>
      <c r="BC55" s="19">
        <f t="shared" si="100"/>
        <v>0</v>
      </c>
      <c r="BD55" s="19" t="e">
        <f t="shared" si="101"/>
        <v>#DIV/0!</v>
      </c>
    </row>
    <row r="56" spans="1:56">
      <c r="A56" s="17">
        <v>10</v>
      </c>
      <c r="B56" s="18" t="s">
        <v>37</v>
      </c>
      <c r="C56" s="19"/>
      <c r="D56" s="19"/>
      <c r="E56" s="19"/>
      <c r="F56" s="19"/>
      <c r="G56" s="18"/>
      <c r="H56" s="18"/>
      <c r="I56" s="18"/>
      <c r="J56" s="18"/>
      <c r="K56" s="18"/>
      <c r="L56" s="18"/>
      <c r="M56" s="18"/>
      <c r="N56" s="18"/>
      <c r="P56" s="17">
        <v>10</v>
      </c>
      <c r="Q56" s="18" t="s">
        <v>37</v>
      </c>
      <c r="R56" s="19"/>
      <c r="S56" s="19"/>
      <c r="T56" s="19"/>
      <c r="U56" s="19"/>
      <c r="V56" s="18"/>
      <c r="W56" s="18"/>
      <c r="X56" s="18"/>
      <c r="Y56" s="18"/>
      <c r="Z56" s="18"/>
      <c r="AA56" s="18"/>
      <c r="AB56" s="18"/>
      <c r="AC56" s="18"/>
      <c r="AE56" s="17">
        <v>10</v>
      </c>
      <c r="AF56" s="18" t="s">
        <v>37</v>
      </c>
      <c r="AG56" s="19">
        <f t="shared" si="78"/>
        <v>0</v>
      </c>
      <c r="AH56" s="19" t="e">
        <f t="shared" si="79"/>
        <v>#DIV/0!</v>
      </c>
      <c r="AI56" s="19">
        <f t="shared" si="80"/>
        <v>0</v>
      </c>
      <c r="AJ56" s="19" t="e">
        <f t="shared" si="81"/>
        <v>#DIV/0!</v>
      </c>
      <c r="AK56" s="19">
        <f t="shared" si="82"/>
        <v>0</v>
      </c>
      <c r="AL56" s="19" t="e">
        <f t="shared" si="83"/>
        <v>#DIV/0!</v>
      </c>
      <c r="AM56" s="19">
        <f t="shared" si="84"/>
        <v>0</v>
      </c>
      <c r="AN56" s="19" t="e">
        <f t="shared" si="85"/>
        <v>#DIV/0!</v>
      </c>
      <c r="AO56" s="19">
        <f t="shared" si="86"/>
        <v>0</v>
      </c>
      <c r="AP56" s="19" t="e">
        <f t="shared" si="87"/>
        <v>#DIV/0!</v>
      </c>
      <c r="AQ56" s="19">
        <f t="shared" si="88"/>
        <v>0</v>
      </c>
      <c r="AR56" s="19" t="e">
        <f t="shared" si="89"/>
        <v>#DIV/0!</v>
      </c>
      <c r="AS56" s="19">
        <f t="shared" si="90"/>
        <v>0</v>
      </c>
      <c r="AT56" s="19" t="e">
        <f t="shared" si="91"/>
        <v>#DIV/0!</v>
      </c>
      <c r="AU56" s="19">
        <f t="shared" si="92"/>
        <v>0</v>
      </c>
      <c r="AV56" s="19" t="e">
        <f t="shared" si="93"/>
        <v>#DIV/0!</v>
      </c>
      <c r="AW56" s="19">
        <f t="shared" si="94"/>
        <v>0</v>
      </c>
      <c r="AX56" s="19" t="e">
        <f t="shared" si="95"/>
        <v>#DIV/0!</v>
      </c>
      <c r="AY56" s="19">
        <f t="shared" si="96"/>
        <v>0</v>
      </c>
      <c r="AZ56" s="19" t="e">
        <f t="shared" si="97"/>
        <v>#DIV/0!</v>
      </c>
      <c r="BA56" s="19">
        <f t="shared" si="98"/>
        <v>0</v>
      </c>
      <c r="BB56" s="19" t="e">
        <f t="shared" si="99"/>
        <v>#DIV/0!</v>
      </c>
      <c r="BC56" s="19">
        <f t="shared" si="100"/>
        <v>0</v>
      </c>
      <c r="BD56" s="19" t="e">
        <f t="shared" si="101"/>
        <v>#DIV/0!</v>
      </c>
    </row>
    <row r="57" spans="1:56">
      <c r="A57" s="17">
        <v>11</v>
      </c>
      <c r="B57" s="18" t="s">
        <v>39</v>
      </c>
      <c r="C57" s="19"/>
      <c r="D57" s="19"/>
      <c r="E57" s="19"/>
      <c r="F57" s="19"/>
      <c r="G57" s="18"/>
      <c r="H57" s="18"/>
      <c r="I57" s="18"/>
      <c r="J57" s="18"/>
      <c r="K57" s="18"/>
      <c r="L57" s="18"/>
      <c r="M57" s="18"/>
      <c r="N57" s="18"/>
      <c r="P57" s="17">
        <v>11</v>
      </c>
      <c r="Q57" s="18" t="s">
        <v>39</v>
      </c>
      <c r="R57" s="19"/>
      <c r="S57" s="19"/>
      <c r="T57" s="19"/>
      <c r="U57" s="19"/>
      <c r="V57" s="18"/>
      <c r="W57" s="18"/>
      <c r="X57" s="18"/>
      <c r="Y57" s="18"/>
      <c r="Z57" s="18"/>
      <c r="AA57" s="18"/>
      <c r="AB57" s="18"/>
      <c r="AC57" s="18"/>
      <c r="AE57" s="17">
        <v>11</v>
      </c>
      <c r="AF57" s="18" t="s">
        <v>39</v>
      </c>
      <c r="AG57" s="19">
        <f t="shared" si="78"/>
        <v>0</v>
      </c>
      <c r="AH57" s="19" t="e">
        <f t="shared" si="79"/>
        <v>#DIV/0!</v>
      </c>
      <c r="AI57" s="19">
        <f t="shared" si="80"/>
        <v>0</v>
      </c>
      <c r="AJ57" s="19" t="e">
        <f t="shared" si="81"/>
        <v>#DIV/0!</v>
      </c>
      <c r="AK57" s="19">
        <f t="shared" si="82"/>
        <v>0</v>
      </c>
      <c r="AL57" s="19" t="e">
        <f t="shared" si="83"/>
        <v>#DIV/0!</v>
      </c>
      <c r="AM57" s="19">
        <f t="shared" si="84"/>
        <v>0</v>
      </c>
      <c r="AN57" s="19" t="e">
        <f t="shared" si="85"/>
        <v>#DIV/0!</v>
      </c>
      <c r="AO57" s="19">
        <f t="shared" si="86"/>
        <v>0</v>
      </c>
      <c r="AP57" s="19" t="e">
        <f t="shared" si="87"/>
        <v>#DIV/0!</v>
      </c>
      <c r="AQ57" s="19">
        <f t="shared" si="88"/>
        <v>0</v>
      </c>
      <c r="AR57" s="19" t="e">
        <f t="shared" si="89"/>
        <v>#DIV/0!</v>
      </c>
      <c r="AS57" s="19">
        <f t="shared" si="90"/>
        <v>0</v>
      </c>
      <c r="AT57" s="19" t="e">
        <f t="shared" si="91"/>
        <v>#DIV/0!</v>
      </c>
      <c r="AU57" s="19">
        <f t="shared" si="92"/>
        <v>0</v>
      </c>
      <c r="AV57" s="19" t="e">
        <f t="shared" si="93"/>
        <v>#DIV/0!</v>
      </c>
      <c r="AW57" s="19">
        <f t="shared" si="94"/>
        <v>0</v>
      </c>
      <c r="AX57" s="19" t="e">
        <f t="shared" si="95"/>
        <v>#DIV/0!</v>
      </c>
      <c r="AY57" s="19">
        <f t="shared" si="96"/>
        <v>0</v>
      </c>
      <c r="AZ57" s="19" t="e">
        <f t="shared" si="97"/>
        <v>#DIV/0!</v>
      </c>
      <c r="BA57" s="19">
        <f t="shared" si="98"/>
        <v>0</v>
      </c>
      <c r="BB57" s="19" t="e">
        <f t="shared" si="99"/>
        <v>#DIV/0!</v>
      </c>
      <c r="BC57" s="19">
        <f t="shared" si="100"/>
        <v>0</v>
      </c>
      <c r="BD57" s="19" t="e">
        <f t="shared" si="101"/>
        <v>#DIV/0!</v>
      </c>
    </row>
    <row r="58" spans="1:56">
      <c r="A58" s="17">
        <v>12</v>
      </c>
      <c r="B58" s="18" t="s">
        <v>41</v>
      </c>
      <c r="C58" s="19"/>
      <c r="D58" s="19"/>
      <c r="E58" s="19"/>
      <c r="F58" s="19"/>
      <c r="G58" s="18"/>
      <c r="H58" s="18"/>
      <c r="I58" s="18"/>
      <c r="J58" s="18"/>
      <c r="K58" s="18"/>
      <c r="L58" s="18"/>
      <c r="M58" s="18"/>
      <c r="N58" s="18"/>
      <c r="P58" s="17">
        <v>12</v>
      </c>
      <c r="Q58" s="18" t="s">
        <v>41</v>
      </c>
      <c r="R58" s="19"/>
      <c r="S58" s="19"/>
      <c r="T58" s="19"/>
      <c r="U58" s="19"/>
      <c r="V58" s="18"/>
      <c r="W58" s="18"/>
      <c r="X58" s="18"/>
      <c r="Y58" s="18"/>
      <c r="Z58" s="18"/>
      <c r="AA58" s="18"/>
      <c r="AB58" s="18"/>
      <c r="AC58" s="18"/>
      <c r="AE58" s="17">
        <v>12</v>
      </c>
      <c r="AF58" s="18" t="s">
        <v>41</v>
      </c>
      <c r="AG58" s="19">
        <f t="shared" si="78"/>
        <v>0</v>
      </c>
      <c r="AH58" s="19" t="e">
        <f t="shared" si="79"/>
        <v>#DIV/0!</v>
      </c>
      <c r="AI58" s="19">
        <f t="shared" si="80"/>
        <v>0</v>
      </c>
      <c r="AJ58" s="19" t="e">
        <f t="shared" si="81"/>
        <v>#DIV/0!</v>
      </c>
      <c r="AK58" s="19">
        <f t="shared" si="82"/>
        <v>0</v>
      </c>
      <c r="AL58" s="19" t="e">
        <f t="shared" si="83"/>
        <v>#DIV/0!</v>
      </c>
      <c r="AM58" s="19">
        <f t="shared" si="84"/>
        <v>0</v>
      </c>
      <c r="AN58" s="19" t="e">
        <f t="shared" si="85"/>
        <v>#DIV/0!</v>
      </c>
      <c r="AO58" s="19">
        <f t="shared" si="86"/>
        <v>0</v>
      </c>
      <c r="AP58" s="19" t="e">
        <f t="shared" si="87"/>
        <v>#DIV/0!</v>
      </c>
      <c r="AQ58" s="19">
        <f t="shared" si="88"/>
        <v>0</v>
      </c>
      <c r="AR58" s="19" t="e">
        <f t="shared" si="89"/>
        <v>#DIV/0!</v>
      </c>
      <c r="AS58" s="19">
        <f t="shared" si="90"/>
        <v>0</v>
      </c>
      <c r="AT58" s="19" t="e">
        <f t="shared" si="91"/>
        <v>#DIV/0!</v>
      </c>
      <c r="AU58" s="19">
        <f t="shared" si="92"/>
        <v>0</v>
      </c>
      <c r="AV58" s="19" t="e">
        <f t="shared" si="93"/>
        <v>#DIV/0!</v>
      </c>
      <c r="AW58" s="19">
        <f t="shared" si="94"/>
        <v>0</v>
      </c>
      <c r="AX58" s="19" t="e">
        <f t="shared" si="95"/>
        <v>#DIV/0!</v>
      </c>
      <c r="AY58" s="19">
        <f t="shared" si="96"/>
        <v>0</v>
      </c>
      <c r="AZ58" s="19" t="e">
        <f t="shared" si="97"/>
        <v>#DIV/0!</v>
      </c>
      <c r="BA58" s="19">
        <f t="shared" si="98"/>
        <v>0</v>
      </c>
      <c r="BB58" s="19" t="e">
        <f t="shared" si="99"/>
        <v>#DIV/0!</v>
      </c>
      <c r="BC58" s="19">
        <f t="shared" si="100"/>
        <v>0</v>
      </c>
      <c r="BD58" s="19" t="e">
        <f t="shared" si="101"/>
        <v>#DIV/0!</v>
      </c>
    </row>
    <row r="59" spans="1:56">
      <c r="A59" s="17">
        <v>13</v>
      </c>
      <c r="B59" s="18" t="s">
        <v>43</v>
      </c>
      <c r="C59" s="19"/>
      <c r="D59" s="19"/>
      <c r="E59" s="19"/>
      <c r="F59" s="19"/>
      <c r="G59" s="18"/>
      <c r="H59" s="18"/>
      <c r="I59" s="18"/>
      <c r="J59" s="18"/>
      <c r="K59" s="18"/>
      <c r="L59" s="18"/>
      <c r="M59" s="18"/>
      <c r="N59" s="18"/>
      <c r="P59" s="17">
        <v>13</v>
      </c>
      <c r="Q59" s="18" t="s">
        <v>43</v>
      </c>
      <c r="R59" s="19">
        <v>172854</v>
      </c>
      <c r="S59" s="19">
        <v>172854</v>
      </c>
      <c r="T59" s="19">
        <v>172854</v>
      </c>
      <c r="U59" s="19"/>
      <c r="V59" s="18"/>
      <c r="W59" s="18"/>
      <c r="X59" s="18"/>
      <c r="Y59" s="18"/>
      <c r="Z59" s="18"/>
      <c r="AA59" s="18"/>
      <c r="AB59" s="18"/>
      <c r="AC59" s="18"/>
      <c r="AE59" s="17">
        <v>13</v>
      </c>
      <c r="AF59" s="18" t="s">
        <v>43</v>
      </c>
      <c r="AG59" s="19">
        <f t="shared" si="78"/>
        <v>-172854</v>
      </c>
      <c r="AH59" s="19" t="e">
        <f t="shared" si="79"/>
        <v>#DIV/0!</v>
      </c>
      <c r="AI59" s="19">
        <f t="shared" si="80"/>
        <v>-172854</v>
      </c>
      <c r="AJ59" s="19" t="e">
        <f t="shared" si="81"/>
        <v>#DIV/0!</v>
      </c>
      <c r="AK59" s="19">
        <f t="shared" si="82"/>
        <v>-172854</v>
      </c>
      <c r="AL59" s="19" t="e">
        <f t="shared" si="83"/>
        <v>#DIV/0!</v>
      </c>
      <c r="AM59" s="19">
        <f t="shared" si="84"/>
        <v>0</v>
      </c>
      <c r="AN59" s="19" t="e">
        <f t="shared" si="85"/>
        <v>#DIV/0!</v>
      </c>
      <c r="AO59" s="19">
        <f t="shared" si="86"/>
        <v>0</v>
      </c>
      <c r="AP59" s="19" t="e">
        <f t="shared" si="87"/>
        <v>#DIV/0!</v>
      </c>
      <c r="AQ59" s="19">
        <f t="shared" si="88"/>
        <v>0</v>
      </c>
      <c r="AR59" s="19" t="e">
        <f t="shared" si="89"/>
        <v>#DIV/0!</v>
      </c>
      <c r="AS59" s="19">
        <f t="shared" si="90"/>
        <v>0</v>
      </c>
      <c r="AT59" s="19" t="e">
        <f t="shared" si="91"/>
        <v>#DIV/0!</v>
      </c>
      <c r="AU59" s="19">
        <f t="shared" si="92"/>
        <v>0</v>
      </c>
      <c r="AV59" s="19" t="e">
        <f t="shared" si="93"/>
        <v>#DIV/0!</v>
      </c>
      <c r="AW59" s="19">
        <f t="shared" si="94"/>
        <v>0</v>
      </c>
      <c r="AX59" s="19" t="e">
        <f t="shared" si="95"/>
        <v>#DIV/0!</v>
      </c>
      <c r="AY59" s="19">
        <f t="shared" si="96"/>
        <v>0</v>
      </c>
      <c r="AZ59" s="19" t="e">
        <f t="shared" si="97"/>
        <v>#DIV/0!</v>
      </c>
      <c r="BA59" s="19">
        <f t="shared" si="98"/>
        <v>0</v>
      </c>
      <c r="BB59" s="19" t="e">
        <f t="shared" si="99"/>
        <v>#DIV/0!</v>
      </c>
      <c r="BC59" s="19">
        <f t="shared" si="100"/>
        <v>0</v>
      </c>
      <c r="BD59" s="19" t="e">
        <f t="shared" si="101"/>
        <v>#DIV/0!</v>
      </c>
    </row>
    <row r="60" spans="1:56">
      <c r="A60" s="17">
        <v>14</v>
      </c>
      <c r="B60" s="18" t="s">
        <v>44</v>
      </c>
      <c r="C60" s="19"/>
      <c r="D60" s="19"/>
      <c r="E60" s="19"/>
      <c r="F60" s="19"/>
      <c r="G60" s="18"/>
      <c r="H60" s="18"/>
      <c r="I60" s="18"/>
      <c r="J60" s="18"/>
      <c r="K60" s="18"/>
      <c r="L60" s="18"/>
      <c r="M60" s="18"/>
      <c r="N60" s="18"/>
      <c r="P60" s="17">
        <v>14</v>
      </c>
      <c r="Q60" s="18" t="s">
        <v>44</v>
      </c>
      <c r="R60" s="19">
        <v>21399</v>
      </c>
      <c r="S60" s="19">
        <v>21399</v>
      </c>
      <c r="T60" s="19">
        <v>21399</v>
      </c>
      <c r="U60" s="19"/>
      <c r="V60" s="18"/>
      <c r="W60" s="18"/>
      <c r="X60" s="18"/>
      <c r="Y60" s="18"/>
      <c r="Z60" s="18"/>
      <c r="AA60" s="18"/>
      <c r="AB60" s="18"/>
      <c r="AC60" s="18"/>
      <c r="AE60" s="17">
        <v>14</v>
      </c>
      <c r="AF60" s="18" t="s">
        <v>44</v>
      </c>
      <c r="AG60" s="19">
        <f t="shared" si="78"/>
        <v>-21399</v>
      </c>
      <c r="AH60" s="19" t="e">
        <f t="shared" si="79"/>
        <v>#DIV/0!</v>
      </c>
      <c r="AI60" s="19">
        <f t="shared" si="80"/>
        <v>-21399</v>
      </c>
      <c r="AJ60" s="19" t="e">
        <f t="shared" si="81"/>
        <v>#DIV/0!</v>
      </c>
      <c r="AK60" s="19">
        <f t="shared" si="82"/>
        <v>-21399</v>
      </c>
      <c r="AL60" s="19" t="e">
        <f t="shared" si="83"/>
        <v>#DIV/0!</v>
      </c>
      <c r="AM60" s="19">
        <f t="shared" si="84"/>
        <v>0</v>
      </c>
      <c r="AN60" s="19" t="e">
        <f t="shared" si="85"/>
        <v>#DIV/0!</v>
      </c>
      <c r="AO60" s="19">
        <f t="shared" si="86"/>
        <v>0</v>
      </c>
      <c r="AP60" s="19" t="e">
        <f t="shared" si="87"/>
        <v>#DIV/0!</v>
      </c>
      <c r="AQ60" s="19">
        <f t="shared" si="88"/>
        <v>0</v>
      </c>
      <c r="AR60" s="19" t="e">
        <f t="shared" si="89"/>
        <v>#DIV/0!</v>
      </c>
      <c r="AS60" s="19">
        <f t="shared" si="90"/>
        <v>0</v>
      </c>
      <c r="AT60" s="19" t="e">
        <f t="shared" si="91"/>
        <v>#DIV/0!</v>
      </c>
      <c r="AU60" s="19">
        <f t="shared" si="92"/>
        <v>0</v>
      </c>
      <c r="AV60" s="19" t="e">
        <f t="shared" si="93"/>
        <v>#DIV/0!</v>
      </c>
      <c r="AW60" s="19">
        <f t="shared" si="94"/>
        <v>0</v>
      </c>
      <c r="AX60" s="19" t="e">
        <f t="shared" si="95"/>
        <v>#DIV/0!</v>
      </c>
      <c r="AY60" s="19">
        <f t="shared" si="96"/>
        <v>0</v>
      </c>
      <c r="AZ60" s="19" t="e">
        <f t="shared" si="97"/>
        <v>#DIV/0!</v>
      </c>
      <c r="BA60" s="19">
        <f t="shared" si="98"/>
        <v>0</v>
      </c>
      <c r="BB60" s="19" t="e">
        <f t="shared" si="99"/>
        <v>#DIV/0!</v>
      </c>
      <c r="BC60" s="19">
        <f t="shared" si="100"/>
        <v>0</v>
      </c>
      <c r="BD60" s="19" t="e">
        <f t="shared" si="101"/>
        <v>#DIV/0!</v>
      </c>
    </row>
    <row r="61" spans="1:56" ht="25.2" thickBot="1">
      <c r="A61" s="17"/>
      <c r="B61" s="20" t="s">
        <v>17</v>
      </c>
      <c r="C61" s="27">
        <f>SUM(C47:C60)</f>
        <v>6118919.1699999999</v>
      </c>
      <c r="D61" s="27">
        <f t="shared" ref="D61:N61" si="102">SUM(D47:D60)</f>
        <v>6203189.6900000004</v>
      </c>
      <c r="E61" s="27">
        <f t="shared" si="102"/>
        <v>6290269.2300000004</v>
      </c>
      <c r="F61" s="27">
        <f t="shared" si="102"/>
        <v>0</v>
      </c>
      <c r="G61" s="27">
        <f t="shared" si="102"/>
        <v>0</v>
      </c>
      <c r="H61" s="27">
        <f t="shared" si="102"/>
        <v>0</v>
      </c>
      <c r="I61" s="27">
        <f t="shared" si="102"/>
        <v>0</v>
      </c>
      <c r="J61" s="27">
        <f t="shared" si="102"/>
        <v>0</v>
      </c>
      <c r="K61" s="27">
        <f t="shared" si="102"/>
        <v>0</v>
      </c>
      <c r="L61" s="27">
        <f t="shared" si="102"/>
        <v>0</v>
      </c>
      <c r="M61" s="27">
        <f t="shared" si="102"/>
        <v>0</v>
      </c>
      <c r="N61" s="27">
        <f t="shared" si="102"/>
        <v>0</v>
      </c>
      <c r="P61" s="17"/>
      <c r="Q61" s="20" t="s">
        <v>17</v>
      </c>
      <c r="R61" s="27">
        <f>SUM(R47:R60)</f>
        <v>7468094.3499999996</v>
      </c>
      <c r="S61" s="27">
        <f t="shared" ref="S61:AC61" si="103">SUM(S47:S60)</f>
        <v>7546156.6399999997</v>
      </c>
      <c r="T61" s="27">
        <f t="shared" si="103"/>
        <v>7624218.9199999999</v>
      </c>
      <c r="U61" s="27">
        <f t="shared" si="103"/>
        <v>0</v>
      </c>
      <c r="V61" s="27">
        <f t="shared" si="103"/>
        <v>0</v>
      </c>
      <c r="W61" s="27">
        <f t="shared" si="103"/>
        <v>0</v>
      </c>
      <c r="X61" s="27">
        <f t="shared" si="103"/>
        <v>0</v>
      </c>
      <c r="Y61" s="27">
        <f t="shared" si="103"/>
        <v>0</v>
      </c>
      <c r="Z61" s="27">
        <f t="shared" si="103"/>
        <v>0</v>
      </c>
      <c r="AA61" s="27">
        <f t="shared" si="103"/>
        <v>0</v>
      </c>
      <c r="AB61" s="27">
        <f t="shared" si="103"/>
        <v>0</v>
      </c>
      <c r="AC61" s="27">
        <f t="shared" si="103"/>
        <v>0</v>
      </c>
      <c r="AE61" s="17"/>
      <c r="AF61" s="20" t="s">
        <v>17</v>
      </c>
      <c r="AG61" s="23">
        <f t="shared" si="78"/>
        <v>-1349175.1799999997</v>
      </c>
      <c r="AH61" s="23">
        <f t="shared" si="79"/>
        <v>-22.049240111142044</v>
      </c>
      <c r="AI61" s="23">
        <f t="shared" si="80"/>
        <v>-1342966.9499999993</v>
      </c>
      <c r="AJ61" s="23">
        <f t="shared" si="81"/>
        <v>-21.649619262247633</v>
      </c>
      <c r="AK61" s="23">
        <f t="shared" si="82"/>
        <v>-1333949.6899999995</v>
      </c>
      <c r="AL61" s="23">
        <f t="shared" si="83"/>
        <v>-21.206559548167377</v>
      </c>
      <c r="AM61" s="23">
        <f t="shared" si="84"/>
        <v>0</v>
      </c>
      <c r="AN61" s="23" t="e">
        <f t="shared" si="85"/>
        <v>#DIV/0!</v>
      </c>
      <c r="AO61" s="23">
        <f t="shared" si="86"/>
        <v>0</v>
      </c>
      <c r="AP61" s="23" t="e">
        <f t="shared" si="87"/>
        <v>#DIV/0!</v>
      </c>
      <c r="AQ61" s="23">
        <f t="shared" si="88"/>
        <v>0</v>
      </c>
      <c r="AR61" s="23" t="e">
        <f t="shared" si="89"/>
        <v>#DIV/0!</v>
      </c>
      <c r="AS61" s="23">
        <f t="shared" si="90"/>
        <v>0</v>
      </c>
      <c r="AT61" s="23" t="e">
        <f t="shared" si="91"/>
        <v>#DIV/0!</v>
      </c>
      <c r="AU61" s="23">
        <f t="shared" si="92"/>
        <v>0</v>
      </c>
      <c r="AV61" s="23" t="e">
        <f t="shared" si="93"/>
        <v>#DIV/0!</v>
      </c>
      <c r="AW61" s="23">
        <f t="shared" si="94"/>
        <v>0</v>
      </c>
      <c r="AX61" s="23" t="e">
        <f t="shared" si="95"/>
        <v>#DIV/0!</v>
      </c>
      <c r="AY61" s="23">
        <f t="shared" si="96"/>
        <v>0</v>
      </c>
      <c r="AZ61" s="23" t="e">
        <f t="shared" si="97"/>
        <v>#DIV/0!</v>
      </c>
      <c r="BA61" s="23">
        <f t="shared" si="98"/>
        <v>0</v>
      </c>
      <c r="BB61" s="23" t="e">
        <f t="shared" si="99"/>
        <v>#DIV/0!</v>
      </c>
      <c r="BC61" s="23">
        <f t="shared" si="100"/>
        <v>0</v>
      </c>
      <c r="BD61" s="23" t="e">
        <f t="shared" si="101"/>
        <v>#DIV/0!</v>
      </c>
    </row>
    <row r="62" spans="1:56" ht="25.2" thickTop="1"/>
    <row r="63" spans="1:56">
      <c r="A63" s="32" t="s">
        <v>1942</v>
      </c>
      <c r="B63" s="32"/>
      <c r="C63" s="32"/>
      <c r="D63" s="32"/>
      <c r="E63" s="32"/>
      <c r="F63" s="32"/>
      <c r="G63" s="32"/>
      <c r="H63" s="32"/>
      <c r="I63" s="32"/>
    </row>
    <row r="64" spans="1:56" customFormat="1" ht="21">
      <c r="A64" s="28" t="s">
        <v>659</v>
      </c>
      <c r="B64" s="28" t="s">
        <v>660</v>
      </c>
      <c r="C64" s="28" t="s">
        <v>661</v>
      </c>
      <c r="D64" s="28" t="s">
        <v>662</v>
      </c>
      <c r="E64" s="28" t="s">
        <v>663</v>
      </c>
      <c r="F64" s="28" t="s">
        <v>664</v>
      </c>
      <c r="G64" s="28" t="s">
        <v>665</v>
      </c>
    </row>
    <row r="65" spans="1:9" customFormat="1" ht="21">
      <c r="A65" s="28" t="s">
        <v>148</v>
      </c>
      <c r="B65" s="28" t="s">
        <v>91</v>
      </c>
      <c r="C65" s="28" t="s">
        <v>92</v>
      </c>
      <c r="D65" s="28" t="s">
        <v>149</v>
      </c>
      <c r="E65" s="29">
        <v>286000</v>
      </c>
      <c r="F65" s="29">
        <v>-285999</v>
      </c>
      <c r="G65" s="29">
        <v>1</v>
      </c>
      <c r="H65" t="s">
        <v>857</v>
      </c>
      <c r="I65" t="s">
        <v>11</v>
      </c>
    </row>
    <row r="66" spans="1:9" customFormat="1" ht="21">
      <c r="A66" s="28" t="s">
        <v>150</v>
      </c>
      <c r="B66" s="28" t="s">
        <v>91</v>
      </c>
      <c r="C66" s="28" t="s">
        <v>92</v>
      </c>
      <c r="D66" s="28" t="s">
        <v>151</v>
      </c>
      <c r="E66" s="29">
        <v>200000</v>
      </c>
      <c r="F66" s="29">
        <v>-199999</v>
      </c>
      <c r="G66" s="29">
        <v>1</v>
      </c>
      <c r="H66" t="s">
        <v>857</v>
      </c>
      <c r="I66" t="s">
        <v>11</v>
      </c>
    </row>
    <row r="67" spans="1:9" customFormat="1" ht="21">
      <c r="A67" s="28" t="s">
        <v>152</v>
      </c>
      <c r="B67" s="28" t="s">
        <v>91</v>
      </c>
      <c r="C67" s="28" t="s">
        <v>92</v>
      </c>
      <c r="D67" s="28" t="s">
        <v>151</v>
      </c>
      <c r="E67" s="29">
        <v>200000</v>
      </c>
      <c r="F67" s="29">
        <v>-199999</v>
      </c>
      <c r="G67" s="29">
        <v>1</v>
      </c>
      <c r="H67" t="s">
        <v>857</v>
      </c>
      <c r="I67" t="s">
        <v>11</v>
      </c>
    </row>
    <row r="68" spans="1:9" customFormat="1" ht="21">
      <c r="A68" s="28" t="s">
        <v>153</v>
      </c>
      <c r="B68" s="28" t="s">
        <v>91</v>
      </c>
      <c r="C68" s="28" t="s">
        <v>92</v>
      </c>
      <c r="D68" s="28" t="s">
        <v>151</v>
      </c>
      <c r="E68" s="29">
        <v>223000</v>
      </c>
      <c r="F68" s="29">
        <v>-222999</v>
      </c>
      <c r="G68" s="29">
        <v>1</v>
      </c>
      <c r="H68" t="s">
        <v>857</v>
      </c>
      <c r="I68" t="s">
        <v>11</v>
      </c>
    </row>
    <row r="69" spans="1:9" customFormat="1" ht="21">
      <c r="A69" s="28" t="s">
        <v>154</v>
      </c>
      <c r="B69" s="28" t="s">
        <v>91</v>
      </c>
      <c r="C69" s="28" t="s">
        <v>92</v>
      </c>
      <c r="D69" s="28" t="s">
        <v>155</v>
      </c>
      <c r="E69" s="29">
        <v>344000</v>
      </c>
      <c r="F69" s="29">
        <v>-343999</v>
      </c>
      <c r="G69" s="29">
        <v>1</v>
      </c>
      <c r="H69" t="s">
        <v>857</v>
      </c>
      <c r="I69" t="s">
        <v>11</v>
      </c>
    </row>
    <row r="70" spans="1:9" customFormat="1" ht="21">
      <c r="A70" s="28" t="s">
        <v>156</v>
      </c>
      <c r="B70" s="28" t="s">
        <v>91</v>
      </c>
      <c r="C70" s="28" t="s">
        <v>92</v>
      </c>
      <c r="D70" s="28" t="s">
        <v>155</v>
      </c>
      <c r="E70" s="29">
        <v>451000</v>
      </c>
      <c r="F70" s="29">
        <v>-450999</v>
      </c>
      <c r="G70" s="29">
        <v>1</v>
      </c>
      <c r="H70" t="s">
        <v>857</v>
      </c>
      <c r="I70" t="s">
        <v>11</v>
      </c>
    </row>
    <row r="71" spans="1:9" customFormat="1" ht="21">
      <c r="A71" s="28" t="s">
        <v>157</v>
      </c>
      <c r="B71" s="28" t="s">
        <v>91</v>
      </c>
      <c r="C71" s="28" t="s">
        <v>92</v>
      </c>
      <c r="D71" s="28" t="s">
        <v>155</v>
      </c>
      <c r="E71" s="29">
        <v>344000</v>
      </c>
      <c r="F71" s="29">
        <v>-343999</v>
      </c>
      <c r="G71" s="29">
        <v>1</v>
      </c>
      <c r="H71" t="s">
        <v>857</v>
      </c>
      <c r="I71" t="s">
        <v>11</v>
      </c>
    </row>
    <row r="72" spans="1:9" customFormat="1" ht="21">
      <c r="A72" s="28" t="s">
        <v>158</v>
      </c>
      <c r="B72" s="28" t="s">
        <v>91</v>
      </c>
      <c r="C72" s="28" t="s">
        <v>92</v>
      </c>
      <c r="D72" s="28" t="s">
        <v>159</v>
      </c>
      <c r="E72" s="29">
        <v>498000</v>
      </c>
      <c r="F72" s="29">
        <v>-497999</v>
      </c>
      <c r="G72" s="29">
        <v>1</v>
      </c>
      <c r="H72" t="s">
        <v>857</v>
      </c>
      <c r="I72" t="s">
        <v>11</v>
      </c>
    </row>
    <row r="73" spans="1:9" customFormat="1" ht="21">
      <c r="A73" s="28" t="s">
        <v>160</v>
      </c>
      <c r="B73" s="28" t="s">
        <v>91</v>
      </c>
      <c r="C73" s="28" t="s">
        <v>92</v>
      </c>
      <c r="D73" s="28" t="s">
        <v>161</v>
      </c>
      <c r="E73" s="29">
        <v>447000</v>
      </c>
      <c r="F73" s="29">
        <v>-446999</v>
      </c>
      <c r="G73" s="29">
        <v>1</v>
      </c>
      <c r="H73" t="s">
        <v>857</v>
      </c>
      <c r="I73" t="s">
        <v>11</v>
      </c>
    </row>
    <row r="74" spans="1:9" customFormat="1" ht="21">
      <c r="A74" s="28" t="s">
        <v>162</v>
      </c>
      <c r="B74" s="28" t="s">
        <v>91</v>
      </c>
      <c r="C74" s="28" t="s">
        <v>92</v>
      </c>
      <c r="D74" s="28" t="s">
        <v>151</v>
      </c>
      <c r="E74" s="29">
        <v>336000</v>
      </c>
      <c r="F74" s="29">
        <v>-335999</v>
      </c>
      <c r="G74" s="29">
        <v>1</v>
      </c>
      <c r="H74" t="s">
        <v>857</v>
      </c>
      <c r="I74" t="s">
        <v>11</v>
      </c>
    </row>
    <row r="75" spans="1:9" customFormat="1" ht="21">
      <c r="A75" s="28" t="s">
        <v>163</v>
      </c>
      <c r="B75" s="28" t="s">
        <v>91</v>
      </c>
      <c r="C75" s="28" t="s">
        <v>92</v>
      </c>
      <c r="D75" s="28" t="s">
        <v>155</v>
      </c>
      <c r="E75" s="29">
        <v>1307500</v>
      </c>
      <c r="F75" s="29">
        <v>-1307499</v>
      </c>
      <c r="G75" s="29">
        <v>1</v>
      </c>
      <c r="H75" t="s">
        <v>857</v>
      </c>
      <c r="I75" t="s">
        <v>11</v>
      </c>
    </row>
    <row r="76" spans="1:9" customFormat="1" ht="21">
      <c r="A76" s="28" t="s">
        <v>164</v>
      </c>
      <c r="B76" s="28" t="s">
        <v>91</v>
      </c>
      <c r="C76" s="28" t="s">
        <v>92</v>
      </c>
      <c r="D76" s="28" t="s">
        <v>165</v>
      </c>
      <c r="E76" s="29">
        <v>2240000</v>
      </c>
      <c r="F76" s="29">
        <v>-427785.94</v>
      </c>
      <c r="G76" s="29">
        <v>1812214.06</v>
      </c>
      <c r="H76" t="s">
        <v>857</v>
      </c>
      <c r="I76" t="s">
        <v>11</v>
      </c>
    </row>
    <row r="77" spans="1:9" customFormat="1" ht="21">
      <c r="A77" s="28" t="s">
        <v>164</v>
      </c>
      <c r="B77" s="28" t="s">
        <v>108</v>
      </c>
      <c r="C77" s="28" t="s">
        <v>92</v>
      </c>
      <c r="D77" s="28" t="s">
        <v>165</v>
      </c>
      <c r="E77" s="29">
        <v>4760000</v>
      </c>
      <c r="F77" s="29">
        <v>-414771.78</v>
      </c>
      <c r="G77" s="29">
        <v>4345228.22</v>
      </c>
      <c r="H77" t="s">
        <v>857</v>
      </c>
      <c r="I77" t="s">
        <v>11</v>
      </c>
    </row>
    <row r="78" spans="1:9" customFormat="1" ht="21">
      <c r="A78" s="28" t="s">
        <v>166</v>
      </c>
      <c r="B78" s="28" t="s">
        <v>91</v>
      </c>
      <c r="C78" s="28" t="s">
        <v>92</v>
      </c>
      <c r="D78" s="28" t="s">
        <v>165</v>
      </c>
      <c r="E78" s="29">
        <v>2492160</v>
      </c>
      <c r="F78" s="29">
        <v>-315054.26</v>
      </c>
      <c r="G78" s="29">
        <v>2177105.7400000002</v>
      </c>
      <c r="H78" t="s">
        <v>857</v>
      </c>
      <c r="I78" t="s">
        <v>11</v>
      </c>
    </row>
    <row r="79" spans="1:9" customFormat="1" ht="21">
      <c r="A79" s="28" t="s">
        <v>166</v>
      </c>
      <c r="B79" s="28" t="s">
        <v>108</v>
      </c>
      <c r="C79" s="28" t="s">
        <v>92</v>
      </c>
      <c r="D79" s="28" t="s">
        <v>165</v>
      </c>
      <c r="E79" s="29">
        <v>5295840</v>
      </c>
      <c r="F79" s="29">
        <v>-601649.74</v>
      </c>
      <c r="G79" s="29">
        <v>4694190.26</v>
      </c>
      <c r="H79" t="s">
        <v>857</v>
      </c>
      <c r="I79" t="s">
        <v>11</v>
      </c>
    </row>
    <row r="80" spans="1:9" customFormat="1" ht="21">
      <c r="A80" s="28" t="s">
        <v>483</v>
      </c>
      <c r="B80" s="28" t="s">
        <v>91</v>
      </c>
      <c r="C80" s="28" t="s">
        <v>92</v>
      </c>
      <c r="D80" s="28" t="s">
        <v>484</v>
      </c>
      <c r="E80" s="29">
        <v>600000</v>
      </c>
      <c r="F80" s="29">
        <v>-599999</v>
      </c>
      <c r="G80" s="29">
        <v>1</v>
      </c>
      <c r="H80" t="s">
        <v>857</v>
      </c>
      <c r="I80" t="s">
        <v>9</v>
      </c>
    </row>
    <row r="81" spans="1:9" customFormat="1" ht="21">
      <c r="A81" s="28" t="s">
        <v>485</v>
      </c>
      <c r="B81" s="28" t="s">
        <v>91</v>
      </c>
      <c r="C81" s="28" t="s">
        <v>92</v>
      </c>
      <c r="D81" s="28" t="s">
        <v>486</v>
      </c>
      <c r="E81" s="29">
        <v>4552000</v>
      </c>
      <c r="F81" s="29">
        <v>-4551999</v>
      </c>
      <c r="G81" s="29">
        <v>1</v>
      </c>
      <c r="H81" t="s">
        <v>857</v>
      </c>
      <c r="I81" t="s">
        <v>9</v>
      </c>
    </row>
    <row r="82" spans="1:9" customFormat="1" ht="21">
      <c r="A82" s="28" t="s">
        <v>487</v>
      </c>
      <c r="B82" s="28" t="s">
        <v>91</v>
      </c>
      <c r="C82" s="28" t="s">
        <v>92</v>
      </c>
      <c r="D82" s="28" t="s">
        <v>488</v>
      </c>
      <c r="E82" s="29">
        <v>1139800</v>
      </c>
      <c r="F82" s="29">
        <v>-1139799</v>
      </c>
      <c r="G82" s="29">
        <v>1</v>
      </c>
      <c r="H82" t="s">
        <v>857</v>
      </c>
      <c r="I82" t="s">
        <v>9</v>
      </c>
    </row>
    <row r="83" spans="1:9" customFormat="1" ht="21">
      <c r="A83" s="28" t="s">
        <v>489</v>
      </c>
      <c r="B83" s="28" t="s">
        <v>91</v>
      </c>
      <c r="C83" s="28" t="s">
        <v>92</v>
      </c>
      <c r="D83" s="28" t="s">
        <v>490</v>
      </c>
      <c r="E83" s="29">
        <v>3509000</v>
      </c>
      <c r="F83" s="29">
        <v>-3508999</v>
      </c>
      <c r="G83" s="29">
        <v>1</v>
      </c>
      <c r="H83" t="s">
        <v>857</v>
      </c>
      <c r="I83" t="s">
        <v>9</v>
      </c>
    </row>
    <row r="84" spans="1:9" customFormat="1" ht="21">
      <c r="A84" s="28" t="s">
        <v>491</v>
      </c>
      <c r="B84" s="28" t="s">
        <v>91</v>
      </c>
      <c r="C84" s="28" t="s">
        <v>92</v>
      </c>
      <c r="D84" s="28" t="s">
        <v>492</v>
      </c>
      <c r="E84" s="29">
        <v>12165000</v>
      </c>
      <c r="F84" s="29">
        <v>-12164999</v>
      </c>
      <c r="G84" s="29">
        <v>1</v>
      </c>
      <c r="H84" t="s">
        <v>857</v>
      </c>
      <c r="I84" t="s">
        <v>9</v>
      </c>
    </row>
    <row r="85" spans="1:9" customFormat="1" ht="21">
      <c r="A85" s="28" t="s">
        <v>493</v>
      </c>
      <c r="B85" s="28" t="s">
        <v>91</v>
      </c>
      <c r="C85" s="28" t="s">
        <v>92</v>
      </c>
      <c r="D85" s="28" t="s">
        <v>486</v>
      </c>
      <c r="E85" s="29">
        <v>23651389.43</v>
      </c>
      <c r="F85" s="29">
        <v>-1938696.68</v>
      </c>
      <c r="G85" s="29">
        <v>21712692.75</v>
      </c>
      <c r="H85" t="s">
        <v>857</v>
      </c>
      <c r="I85" t="s">
        <v>9</v>
      </c>
    </row>
    <row r="86" spans="1:9" customFormat="1" ht="21">
      <c r="A86" s="28" t="s">
        <v>493</v>
      </c>
      <c r="B86" s="28" t="s">
        <v>108</v>
      </c>
      <c r="C86" s="28" t="s">
        <v>92</v>
      </c>
      <c r="D86" s="28" t="s">
        <v>486</v>
      </c>
      <c r="E86" s="29">
        <v>8747774.1699999999</v>
      </c>
      <c r="F86" s="29">
        <v>-8747773.1699999999</v>
      </c>
      <c r="G86" s="29">
        <v>1</v>
      </c>
      <c r="H86" t="s">
        <v>857</v>
      </c>
      <c r="I86" t="s">
        <v>9</v>
      </c>
    </row>
    <row r="87" spans="1:9" customFormat="1" ht="21">
      <c r="A87" s="28" t="s">
        <v>627</v>
      </c>
      <c r="B87" s="28" t="s">
        <v>91</v>
      </c>
      <c r="C87" s="28" t="s">
        <v>92</v>
      </c>
      <c r="D87" s="28" t="s">
        <v>628</v>
      </c>
      <c r="E87" s="29">
        <v>400000</v>
      </c>
      <c r="F87" s="29">
        <v>-399999</v>
      </c>
      <c r="G87" s="29">
        <v>1</v>
      </c>
      <c r="H87" t="s">
        <v>857</v>
      </c>
      <c r="I87" t="s">
        <v>13</v>
      </c>
    </row>
    <row r="88" spans="1:9" customFormat="1" ht="21">
      <c r="A88" s="28" t="s">
        <v>629</v>
      </c>
      <c r="B88" s="28" t="s">
        <v>91</v>
      </c>
      <c r="C88" s="28" t="s">
        <v>92</v>
      </c>
      <c r="D88" s="28" t="s">
        <v>630</v>
      </c>
      <c r="E88" s="29">
        <v>40000</v>
      </c>
      <c r="F88" s="29">
        <v>-39999</v>
      </c>
      <c r="G88" s="29">
        <v>1</v>
      </c>
      <c r="H88" t="s">
        <v>857</v>
      </c>
      <c r="I88" t="s">
        <v>13</v>
      </c>
    </row>
    <row r="89" spans="1:9" customFormat="1" ht="21">
      <c r="A89" s="28" t="s">
        <v>631</v>
      </c>
      <c r="B89" s="28" t="s">
        <v>91</v>
      </c>
      <c r="C89" s="28" t="s">
        <v>92</v>
      </c>
      <c r="D89" s="28" t="s">
        <v>632</v>
      </c>
      <c r="E89" s="29">
        <v>30000</v>
      </c>
      <c r="F89" s="29">
        <v>-29999</v>
      </c>
      <c r="G89" s="29">
        <v>1</v>
      </c>
      <c r="H89" t="s">
        <v>857</v>
      </c>
      <c r="I89" t="s">
        <v>13</v>
      </c>
    </row>
    <row r="90" spans="1:9" customFormat="1" ht="21">
      <c r="A90" s="28" t="s">
        <v>633</v>
      </c>
      <c r="B90" s="28" t="s">
        <v>91</v>
      </c>
      <c r="C90" s="28" t="s">
        <v>92</v>
      </c>
      <c r="D90" s="28" t="s">
        <v>634</v>
      </c>
      <c r="E90" s="29">
        <v>1263000</v>
      </c>
      <c r="F90" s="29">
        <v>-1262999</v>
      </c>
      <c r="G90" s="29">
        <v>1</v>
      </c>
      <c r="H90" t="s">
        <v>857</v>
      </c>
      <c r="I90" t="s">
        <v>13</v>
      </c>
    </row>
    <row r="91" spans="1:9" customFormat="1" ht="21">
      <c r="A91" s="28" t="s">
        <v>635</v>
      </c>
      <c r="B91" s="28" t="s">
        <v>91</v>
      </c>
      <c r="C91" s="28" t="s">
        <v>92</v>
      </c>
      <c r="D91" s="28" t="s">
        <v>636</v>
      </c>
      <c r="E91" s="29">
        <v>1095000</v>
      </c>
      <c r="F91" s="29">
        <v>-1094999</v>
      </c>
      <c r="G91" s="29">
        <v>1</v>
      </c>
      <c r="H91" t="s">
        <v>857</v>
      </c>
      <c r="I91" t="s">
        <v>13</v>
      </c>
    </row>
    <row r="92" spans="1:9" customFormat="1" ht="21">
      <c r="A92" s="28" t="s">
        <v>637</v>
      </c>
      <c r="B92" s="28" t="s">
        <v>91</v>
      </c>
      <c r="C92" s="28" t="s">
        <v>92</v>
      </c>
      <c r="D92" s="28" t="s">
        <v>638</v>
      </c>
      <c r="E92" s="29">
        <v>180000</v>
      </c>
      <c r="F92" s="29">
        <v>-179999</v>
      </c>
      <c r="G92" s="29">
        <v>1</v>
      </c>
      <c r="H92" t="s">
        <v>857</v>
      </c>
      <c r="I92" t="s">
        <v>13</v>
      </c>
    </row>
    <row r="93" spans="1:9" customFormat="1" ht="21">
      <c r="A93" s="28" t="s">
        <v>858</v>
      </c>
      <c r="B93" s="28" t="s">
        <v>91</v>
      </c>
      <c r="C93" s="28" t="s">
        <v>92</v>
      </c>
      <c r="D93" s="28" t="s">
        <v>859</v>
      </c>
      <c r="E93" s="29">
        <v>399500</v>
      </c>
      <c r="F93" s="29">
        <v>-399499</v>
      </c>
      <c r="G93" s="29">
        <v>1</v>
      </c>
      <c r="H93" t="s">
        <v>857</v>
      </c>
      <c r="I93" t="s">
        <v>15</v>
      </c>
    </row>
    <row r="94" spans="1:9" customFormat="1" ht="21">
      <c r="A94" s="28" t="s">
        <v>860</v>
      </c>
      <c r="B94" s="28" t="s">
        <v>91</v>
      </c>
      <c r="C94" s="28" t="s">
        <v>92</v>
      </c>
      <c r="D94" s="28" t="s">
        <v>861</v>
      </c>
      <c r="E94" s="29">
        <v>271900</v>
      </c>
      <c r="F94" s="29">
        <v>-271899</v>
      </c>
      <c r="G94" s="29">
        <v>1</v>
      </c>
      <c r="H94" t="s">
        <v>857</v>
      </c>
      <c r="I94" t="s">
        <v>15</v>
      </c>
    </row>
    <row r="95" spans="1:9" customFormat="1" ht="21">
      <c r="A95" s="28" t="s">
        <v>862</v>
      </c>
      <c r="B95" s="28" t="s">
        <v>91</v>
      </c>
      <c r="C95" s="28" t="s">
        <v>92</v>
      </c>
      <c r="D95" s="28" t="s">
        <v>863</v>
      </c>
      <c r="E95" s="29">
        <v>1462100</v>
      </c>
      <c r="F95" s="29">
        <v>-1462099</v>
      </c>
      <c r="G95" s="29">
        <v>1</v>
      </c>
      <c r="H95" t="s">
        <v>857</v>
      </c>
      <c r="I95" t="s">
        <v>15</v>
      </c>
    </row>
    <row r="96" spans="1:9" customFormat="1" ht="21">
      <c r="A96" s="28" t="s">
        <v>864</v>
      </c>
      <c r="B96" s="28" t="s">
        <v>91</v>
      </c>
      <c r="C96" s="28" t="s">
        <v>92</v>
      </c>
      <c r="D96" s="28" t="s">
        <v>865</v>
      </c>
      <c r="E96" s="29">
        <v>5258848</v>
      </c>
      <c r="F96" s="29">
        <v>-5258847</v>
      </c>
      <c r="G96" s="29">
        <v>1</v>
      </c>
      <c r="H96" t="s">
        <v>857</v>
      </c>
      <c r="I96" t="s">
        <v>15</v>
      </c>
    </row>
    <row r="97" spans="1:9" customFormat="1" ht="21">
      <c r="A97" s="28" t="s">
        <v>866</v>
      </c>
      <c r="B97" s="28" t="s">
        <v>91</v>
      </c>
      <c r="C97" s="28" t="s">
        <v>605</v>
      </c>
      <c r="D97" s="28" t="s">
        <v>867</v>
      </c>
      <c r="E97" s="29">
        <v>1420000</v>
      </c>
      <c r="F97" s="29">
        <v>-1419999</v>
      </c>
      <c r="G97" s="29">
        <v>1</v>
      </c>
      <c r="H97" t="s">
        <v>857</v>
      </c>
      <c r="I97" t="s">
        <v>768</v>
      </c>
    </row>
    <row r="98" spans="1:9" customFormat="1" ht="21">
      <c r="A98" s="28" t="s">
        <v>868</v>
      </c>
      <c r="B98" s="28" t="s">
        <v>91</v>
      </c>
      <c r="C98" s="28" t="s">
        <v>679</v>
      </c>
      <c r="D98" s="28" t="s">
        <v>680</v>
      </c>
      <c r="E98" s="29">
        <v>449663</v>
      </c>
      <c r="F98" s="29">
        <v>-103237.7</v>
      </c>
      <c r="G98" s="29">
        <v>346425.3</v>
      </c>
      <c r="H98" t="s">
        <v>857</v>
      </c>
      <c r="I98" t="s">
        <v>681</v>
      </c>
    </row>
    <row r="99" spans="1:9" customFormat="1" ht="21">
      <c r="A99" s="28" t="s">
        <v>869</v>
      </c>
      <c r="B99" s="28" t="s">
        <v>91</v>
      </c>
      <c r="C99" s="28" t="s">
        <v>679</v>
      </c>
      <c r="D99" s="28" t="s">
        <v>683</v>
      </c>
      <c r="E99" s="29">
        <v>49870</v>
      </c>
      <c r="F99" s="29">
        <v>-11449.61</v>
      </c>
      <c r="G99" s="29">
        <v>38420.39</v>
      </c>
      <c r="H99" t="s">
        <v>857</v>
      </c>
      <c r="I99" t="s">
        <v>681</v>
      </c>
    </row>
    <row r="100" spans="1:9" customFormat="1" ht="21">
      <c r="A100" s="28" t="s">
        <v>870</v>
      </c>
      <c r="B100" s="28" t="s">
        <v>91</v>
      </c>
      <c r="C100" s="28" t="s">
        <v>679</v>
      </c>
      <c r="D100" s="28" t="s">
        <v>683</v>
      </c>
      <c r="E100" s="29">
        <v>49870</v>
      </c>
      <c r="F100" s="29">
        <v>-11449.61</v>
      </c>
      <c r="G100" s="29">
        <v>38420.39</v>
      </c>
      <c r="H100" t="s">
        <v>857</v>
      </c>
      <c r="I100" t="s">
        <v>681</v>
      </c>
    </row>
    <row r="101" spans="1:9" customFormat="1" ht="21">
      <c r="A101" s="28" t="s">
        <v>871</v>
      </c>
      <c r="B101" s="28" t="s">
        <v>91</v>
      </c>
      <c r="C101" s="28" t="s">
        <v>679</v>
      </c>
      <c r="D101" s="28" t="s">
        <v>683</v>
      </c>
      <c r="E101" s="29">
        <v>49870</v>
      </c>
      <c r="F101" s="29">
        <v>-11449.61</v>
      </c>
      <c r="G101" s="29">
        <v>38420.39</v>
      </c>
      <c r="H101" t="s">
        <v>857</v>
      </c>
      <c r="I101" t="s">
        <v>681</v>
      </c>
    </row>
    <row r="102" spans="1:9" customFormat="1" ht="21">
      <c r="A102" s="28" t="s">
        <v>872</v>
      </c>
      <c r="B102" s="28" t="s">
        <v>91</v>
      </c>
      <c r="C102" s="28" t="s">
        <v>686</v>
      </c>
      <c r="D102" s="28" t="s">
        <v>687</v>
      </c>
      <c r="E102" s="29">
        <v>349650</v>
      </c>
      <c r="F102" s="29">
        <v>-91004.800000000003</v>
      </c>
      <c r="G102" s="29">
        <v>258645.2</v>
      </c>
      <c r="H102" t="s">
        <v>857</v>
      </c>
      <c r="I102" t="s">
        <v>681</v>
      </c>
    </row>
    <row r="103" spans="1:9" customFormat="1" ht="21">
      <c r="A103" s="28" t="s">
        <v>873</v>
      </c>
      <c r="B103" s="28" t="s">
        <v>91</v>
      </c>
      <c r="C103" s="28" t="s">
        <v>605</v>
      </c>
      <c r="D103" s="28" t="s">
        <v>827</v>
      </c>
      <c r="E103" s="29">
        <v>480000</v>
      </c>
      <c r="F103" s="29">
        <v>-479999</v>
      </c>
      <c r="G103" s="29">
        <v>1</v>
      </c>
      <c r="H103" t="s">
        <v>857</v>
      </c>
      <c r="I103" t="s">
        <v>681</v>
      </c>
    </row>
    <row r="104" spans="1:9" customFormat="1" ht="21">
      <c r="A104" s="28" t="s">
        <v>874</v>
      </c>
      <c r="B104" s="28" t="s">
        <v>91</v>
      </c>
      <c r="C104" s="28" t="s">
        <v>605</v>
      </c>
      <c r="D104" s="28" t="s">
        <v>875</v>
      </c>
      <c r="E104" s="29">
        <v>367500</v>
      </c>
      <c r="F104" s="29">
        <v>-367499</v>
      </c>
      <c r="G104" s="29">
        <v>1</v>
      </c>
      <c r="H104" t="s">
        <v>857</v>
      </c>
      <c r="I104" t="s">
        <v>681</v>
      </c>
    </row>
    <row r="105" spans="1:9" customFormat="1" ht="21">
      <c r="A105" s="28" t="s">
        <v>876</v>
      </c>
      <c r="B105" s="28" t="s">
        <v>91</v>
      </c>
      <c r="C105" s="28" t="s">
        <v>605</v>
      </c>
      <c r="D105" s="28" t="s">
        <v>877</v>
      </c>
      <c r="E105" s="29">
        <v>141800</v>
      </c>
      <c r="F105" s="29">
        <v>-141799</v>
      </c>
      <c r="G105" s="29">
        <v>1</v>
      </c>
      <c r="H105" t="s">
        <v>857</v>
      </c>
      <c r="I105" t="s">
        <v>681</v>
      </c>
    </row>
    <row r="106" spans="1:9" customFormat="1" ht="21">
      <c r="A106" s="28" t="s">
        <v>878</v>
      </c>
      <c r="B106" s="28" t="s">
        <v>91</v>
      </c>
      <c r="C106" s="28" t="s">
        <v>605</v>
      </c>
      <c r="D106" s="28" t="s">
        <v>879</v>
      </c>
      <c r="E106" s="29">
        <v>127000</v>
      </c>
      <c r="F106" s="29">
        <v>-126999</v>
      </c>
      <c r="G106" s="29">
        <v>1</v>
      </c>
      <c r="H106" t="s">
        <v>857</v>
      </c>
      <c r="I106" t="s">
        <v>681</v>
      </c>
    </row>
    <row r="107" spans="1:9" customFormat="1" ht="21">
      <c r="A107" s="28" t="s">
        <v>880</v>
      </c>
      <c r="B107" s="28" t="s">
        <v>91</v>
      </c>
      <c r="C107" s="28" t="s">
        <v>605</v>
      </c>
      <c r="D107" s="28" t="s">
        <v>881</v>
      </c>
      <c r="E107" s="29">
        <v>145000</v>
      </c>
      <c r="F107" s="29">
        <v>-144999</v>
      </c>
      <c r="G107" s="29">
        <v>1</v>
      </c>
      <c r="H107" t="s">
        <v>857</v>
      </c>
      <c r="I107" t="s">
        <v>681</v>
      </c>
    </row>
    <row r="108" spans="1:9" customFormat="1" ht="21">
      <c r="A108" s="28" t="s">
        <v>882</v>
      </c>
      <c r="B108" s="28" t="s">
        <v>91</v>
      </c>
      <c r="C108" s="28" t="s">
        <v>605</v>
      </c>
      <c r="D108" s="28" t="s">
        <v>883</v>
      </c>
      <c r="E108" s="29">
        <v>104000</v>
      </c>
      <c r="F108" s="29">
        <v>-103999</v>
      </c>
      <c r="G108" s="29">
        <v>1</v>
      </c>
      <c r="H108" t="s">
        <v>857</v>
      </c>
      <c r="I108" t="s">
        <v>681</v>
      </c>
    </row>
    <row r="109" spans="1:9" customFormat="1" ht="21">
      <c r="A109" s="28" t="s">
        <v>884</v>
      </c>
      <c r="B109" s="28" t="s">
        <v>91</v>
      </c>
      <c r="C109" s="28" t="s">
        <v>605</v>
      </c>
      <c r="D109" s="28" t="s">
        <v>827</v>
      </c>
      <c r="E109" s="29">
        <v>470400</v>
      </c>
      <c r="F109" s="29">
        <v>-470399</v>
      </c>
      <c r="G109" s="29">
        <v>1</v>
      </c>
      <c r="H109" t="s">
        <v>857</v>
      </c>
      <c r="I109" t="s">
        <v>681</v>
      </c>
    </row>
    <row r="110" spans="1:9" customFormat="1" ht="21">
      <c r="A110" s="28" t="s">
        <v>885</v>
      </c>
      <c r="B110" s="28" t="s">
        <v>91</v>
      </c>
      <c r="C110" s="28" t="s">
        <v>605</v>
      </c>
      <c r="D110" s="28" t="s">
        <v>886</v>
      </c>
      <c r="E110" s="29">
        <v>1305000</v>
      </c>
      <c r="F110" s="29">
        <v>-1304999</v>
      </c>
      <c r="G110" s="29">
        <v>1</v>
      </c>
      <c r="H110" t="s">
        <v>857</v>
      </c>
      <c r="I110" t="s">
        <v>681</v>
      </c>
    </row>
    <row r="111" spans="1:9" customFormat="1" ht="21">
      <c r="A111" s="28" t="s">
        <v>887</v>
      </c>
      <c r="B111" s="28" t="s">
        <v>91</v>
      </c>
      <c r="C111" s="28" t="s">
        <v>605</v>
      </c>
      <c r="D111" s="28" t="s">
        <v>855</v>
      </c>
      <c r="E111" s="29">
        <v>989700</v>
      </c>
      <c r="F111" s="29">
        <v>-783833.5</v>
      </c>
      <c r="G111" s="29">
        <v>205866.5</v>
      </c>
      <c r="H111" t="s">
        <v>857</v>
      </c>
      <c r="I111" t="s">
        <v>681</v>
      </c>
    </row>
    <row r="112" spans="1:9" customFormat="1" ht="21">
      <c r="A112" s="28" t="s">
        <v>888</v>
      </c>
      <c r="B112" s="28" t="s">
        <v>91</v>
      </c>
      <c r="C112" s="28" t="s">
        <v>605</v>
      </c>
      <c r="D112" s="28" t="s">
        <v>811</v>
      </c>
      <c r="E112" s="29">
        <v>148500</v>
      </c>
      <c r="F112" s="29">
        <v>-116112.19</v>
      </c>
      <c r="G112" s="29">
        <v>32387.81</v>
      </c>
      <c r="H112" t="s">
        <v>857</v>
      </c>
      <c r="I112" t="s">
        <v>681</v>
      </c>
    </row>
    <row r="113" spans="1:9" customFormat="1" ht="21">
      <c r="A113" s="28" t="s">
        <v>889</v>
      </c>
      <c r="B113" s="28" t="s">
        <v>91</v>
      </c>
      <c r="C113" s="28" t="s">
        <v>605</v>
      </c>
      <c r="D113" s="28" t="s">
        <v>816</v>
      </c>
      <c r="E113" s="29">
        <v>449000</v>
      </c>
      <c r="F113" s="29">
        <v>-349748.24</v>
      </c>
      <c r="G113" s="29">
        <v>99251.76</v>
      </c>
      <c r="H113" t="s">
        <v>857</v>
      </c>
      <c r="I113" t="s">
        <v>681</v>
      </c>
    </row>
    <row r="114" spans="1:9" customFormat="1" ht="21">
      <c r="A114" s="28" t="s">
        <v>890</v>
      </c>
      <c r="B114" s="28" t="s">
        <v>91</v>
      </c>
      <c r="C114" s="28" t="s">
        <v>605</v>
      </c>
      <c r="D114" s="28" t="s">
        <v>843</v>
      </c>
      <c r="E114" s="29">
        <v>639500</v>
      </c>
      <c r="F114" s="29">
        <v>-217666.81</v>
      </c>
      <c r="G114" s="29">
        <v>421833.19</v>
      </c>
      <c r="H114" t="s">
        <v>857</v>
      </c>
      <c r="I114" t="s">
        <v>681</v>
      </c>
    </row>
    <row r="115" spans="1:9" customFormat="1" ht="21">
      <c r="A115" s="28" t="s">
        <v>891</v>
      </c>
      <c r="B115" s="28" t="s">
        <v>91</v>
      </c>
      <c r="C115" s="28" t="s">
        <v>605</v>
      </c>
      <c r="D115" s="28" t="s">
        <v>716</v>
      </c>
      <c r="E115" s="29">
        <v>798000</v>
      </c>
      <c r="F115" s="29">
        <v>-527368</v>
      </c>
      <c r="G115" s="29">
        <v>270632</v>
      </c>
      <c r="H115" t="s">
        <v>857</v>
      </c>
      <c r="I115" t="s">
        <v>681</v>
      </c>
    </row>
  </sheetData>
  <mergeCells count="105">
    <mergeCell ref="A3:A4"/>
    <mergeCell ref="B3:B4"/>
    <mergeCell ref="C3:N3"/>
    <mergeCell ref="P3:P4"/>
    <mergeCell ref="Q3:Q4"/>
    <mergeCell ref="R3:AC3"/>
    <mergeCell ref="A1:N1"/>
    <mergeCell ref="P1:AC1"/>
    <mergeCell ref="AE1:BD1"/>
    <mergeCell ref="A2:N2"/>
    <mergeCell ref="P2:AC2"/>
    <mergeCell ref="AE2:BD2"/>
    <mergeCell ref="C14:N14"/>
    <mergeCell ref="P14:P15"/>
    <mergeCell ref="Q14:Q15"/>
    <mergeCell ref="R14:AC14"/>
    <mergeCell ref="BA3:BB3"/>
    <mergeCell ref="BC3:BD3"/>
    <mergeCell ref="A12:N12"/>
    <mergeCell ref="P12:AC12"/>
    <mergeCell ref="AE12:BD12"/>
    <mergeCell ref="A13:N13"/>
    <mergeCell ref="P13:AC13"/>
    <mergeCell ref="AE13:BD13"/>
    <mergeCell ref="AO3:AP3"/>
    <mergeCell ref="AQ3:AR3"/>
    <mergeCell ref="AS3:AT3"/>
    <mergeCell ref="AU3:AV3"/>
    <mergeCell ref="AW3:AX3"/>
    <mergeCell ref="AY3:AZ3"/>
    <mergeCell ref="AE3:AE4"/>
    <mergeCell ref="AF3:AF4"/>
    <mergeCell ref="AG3:AH3"/>
    <mergeCell ref="AI3:AJ3"/>
    <mergeCell ref="AK3:AL3"/>
    <mergeCell ref="AM3:AN3"/>
    <mergeCell ref="Q25:Q26"/>
    <mergeCell ref="R25:AC25"/>
    <mergeCell ref="BA14:BB14"/>
    <mergeCell ref="BC14:BD14"/>
    <mergeCell ref="A23:N23"/>
    <mergeCell ref="P23:AC23"/>
    <mergeCell ref="AE23:BD23"/>
    <mergeCell ref="A24:N24"/>
    <mergeCell ref="P24:AC24"/>
    <mergeCell ref="AE24:BD24"/>
    <mergeCell ref="AO14:AP14"/>
    <mergeCell ref="AQ14:AR14"/>
    <mergeCell ref="AS14:AT14"/>
    <mergeCell ref="AU14:AV14"/>
    <mergeCell ref="AW14:AX14"/>
    <mergeCell ref="AY14:AZ14"/>
    <mergeCell ref="AE14:AE15"/>
    <mergeCell ref="AF14:AF15"/>
    <mergeCell ref="AG14:AH14"/>
    <mergeCell ref="AI14:AJ14"/>
    <mergeCell ref="AK14:AL14"/>
    <mergeCell ref="AM14:AN14"/>
    <mergeCell ref="A14:A15"/>
    <mergeCell ref="B14:B15"/>
    <mergeCell ref="BA25:BB25"/>
    <mergeCell ref="BC25:BD25"/>
    <mergeCell ref="A43:N43"/>
    <mergeCell ref="P43:AC43"/>
    <mergeCell ref="AE43:BD43"/>
    <mergeCell ref="A44:N44"/>
    <mergeCell ref="P44:AC44"/>
    <mergeCell ref="AE44:BD44"/>
    <mergeCell ref="AO25:AP25"/>
    <mergeCell ref="AQ25:AR25"/>
    <mergeCell ref="AS25:AT25"/>
    <mergeCell ref="AU25:AV25"/>
    <mergeCell ref="AW25:AX25"/>
    <mergeCell ref="AY25:AZ25"/>
    <mergeCell ref="AE25:AE26"/>
    <mergeCell ref="AF25:AF26"/>
    <mergeCell ref="AG25:AH25"/>
    <mergeCell ref="AI25:AJ25"/>
    <mergeCell ref="AK25:AL25"/>
    <mergeCell ref="AM25:AN25"/>
    <mergeCell ref="A25:A26"/>
    <mergeCell ref="B25:B26"/>
    <mergeCell ref="C25:N25"/>
    <mergeCell ref="P25:P26"/>
    <mergeCell ref="BA45:BB45"/>
    <mergeCell ref="BC45:BD45"/>
    <mergeCell ref="A63:I63"/>
    <mergeCell ref="AO45:AP45"/>
    <mergeCell ref="AQ45:AR45"/>
    <mergeCell ref="AS45:AT45"/>
    <mergeCell ref="AU45:AV45"/>
    <mergeCell ref="AW45:AX45"/>
    <mergeCell ref="AY45:AZ45"/>
    <mergeCell ref="AE45:AE46"/>
    <mergeCell ref="AF45:AF46"/>
    <mergeCell ref="AG45:AH45"/>
    <mergeCell ref="AI45:AJ45"/>
    <mergeCell ref="AK45:AL45"/>
    <mergeCell ref="AM45:AN45"/>
    <mergeCell ref="A45:A46"/>
    <mergeCell ref="B45:B46"/>
    <mergeCell ref="C45:N45"/>
    <mergeCell ref="P45:P46"/>
    <mergeCell ref="Q45:Q46"/>
    <mergeCell ref="R45:AC4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37DF-424B-41C9-81F2-4D7FDB0C71E8}">
  <dimension ref="A1:BD344"/>
  <sheetViews>
    <sheetView topLeftCell="A55" workbookViewId="0">
      <selection activeCell="E53" sqref="E53"/>
    </sheetView>
  </sheetViews>
  <sheetFormatPr defaultColWidth="18.75" defaultRowHeight="24.6"/>
  <cols>
    <col min="1" max="1" width="6.75" style="24" bestFit="1" customWidth="1"/>
    <col min="2" max="2" width="53" style="13" bestFit="1" customWidth="1"/>
    <col min="3" max="3" width="19.5" style="13" bestFit="1" customWidth="1"/>
    <col min="4" max="4" width="19.625" style="13" customWidth="1"/>
    <col min="5" max="5" width="19.75" style="13" customWidth="1"/>
    <col min="6" max="15" width="18.75" style="13"/>
    <col min="16" max="16" width="6.75" style="24" bestFit="1" customWidth="1"/>
    <col min="17" max="17" width="53" style="13" bestFit="1" customWidth="1"/>
    <col min="18" max="20" width="19.5" style="13" bestFit="1" customWidth="1"/>
    <col min="21" max="30" width="18.75" style="13"/>
    <col min="31" max="31" width="6.75" style="24" bestFit="1" customWidth="1"/>
    <col min="32" max="32" width="53" style="13" bestFit="1" customWidth="1"/>
    <col min="33" max="16384" width="18.75" style="13"/>
  </cols>
  <sheetData>
    <row r="1" spans="1:56">
      <c r="A1" s="37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2"/>
      <c r="P1" s="37" t="s">
        <v>49</v>
      </c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E1" s="37" t="s">
        <v>0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</row>
    <row r="2" spans="1:56">
      <c r="A2" s="37" t="s">
        <v>1948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2"/>
      <c r="P2" s="37" t="s">
        <v>1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E2" s="37" t="s">
        <v>1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</row>
    <row r="3" spans="1:56" s="15" customFormat="1">
      <c r="A3" s="35" t="s">
        <v>2</v>
      </c>
      <c r="B3" s="35" t="s">
        <v>3</v>
      </c>
      <c r="C3" s="38" t="s">
        <v>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  <c r="O3" s="14"/>
      <c r="P3" s="35" t="s">
        <v>2</v>
      </c>
      <c r="Q3" s="35" t="s">
        <v>3</v>
      </c>
      <c r="R3" s="38" t="s">
        <v>5</v>
      </c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E3" s="35" t="s">
        <v>2</v>
      </c>
      <c r="AF3" s="35" t="s">
        <v>3</v>
      </c>
      <c r="AG3" s="33">
        <v>25112</v>
      </c>
      <c r="AH3" s="34"/>
      <c r="AI3" s="33">
        <v>25143</v>
      </c>
      <c r="AJ3" s="34"/>
      <c r="AK3" s="33">
        <v>25173</v>
      </c>
      <c r="AL3" s="34"/>
      <c r="AM3" s="33">
        <v>25204</v>
      </c>
      <c r="AN3" s="34"/>
      <c r="AO3" s="33">
        <v>25235</v>
      </c>
      <c r="AP3" s="34"/>
      <c r="AQ3" s="33">
        <v>25263</v>
      </c>
      <c r="AR3" s="34"/>
      <c r="AS3" s="33">
        <v>25294</v>
      </c>
      <c r="AT3" s="34"/>
      <c r="AU3" s="33">
        <v>25324</v>
      </c>
      <c r="AV3" s="34"/>
      <c r="AW3" s="33">
        <v>25355</v>
      </c>
      <c r="AX3" s="34"/>
      <c r="AY3" s="33">
        <v>25385</v>
      </c>
      <c r="AZ3" s="34"/>
      <c r="BA3" s="33">
        <v>25416</v>
      </c>
      <c r="BB3" s="34"/>
      <c r="BC3" s="33">
        <v>25447</v>
      </c>
      <c r="BD3" s="34"/>
    </row>
    <row r="4" spans="1:56" s="15" customFormat="1">
      <c r="A4" s="36"/>
      <c r="B4" s="36"/>
      <c r="C4" s="16">
        <v>25112</v>
      </c>
      <c r="D4" s="16">
        <v>25143</v>
      </c>
      <c r="E4" s="16">
        <v>25173</v>
      </c>
      <c r="F4" s="16">
        <v>25204</v>
      </c>
      <c r="G4" s="16">
        <v>25235</v>
      </c>
      <c r="H4" s="16">
        <v>25263</v>
      </c>
      <c r="I4" s="16">
        <v>25294</v>
      </c>
      <c r="J4" s="16">
        <v>25324</v>
      </c>
      <c r="K4" s="16">
        <v>25355</v>
      </c>
      <c r="L4" s="16">
        <v>25385</v>
      </c>
      <c r="M4" s="16">
        <v>25416</v>
      </c>
      <c r="N4" s="16">
        <v>25447</v>
      </c>
      <c r="P4" s="36"/>
      <c r="Q4" s="36"/>
      <c r="R4" s="16">
        <v>25112</v>
      </c>
      <c r="S4" s="16">
        <v>25143</v>
      </c>
      <c r="T4" s="16">
        <v>25173</v>
      </c>
      <c r="U4" s="16">
        <v>25204</v>
      </c>
      <c r="V4" s="16">
        <v>25235</v>
      </c>
      <c r="W4" s="16">
        <v>25263</v>
      </c>
      <c r="X4" s="16">
        <v>25294</v>
      </c>
      <c r="Y4" s="16">
        <v>25324</v>
      </c>
      <c r="Z4" s="16">
        <v>25355</v>
      </c>
      <c r="AA4" s="16">
        <v>25385</v>
      </c>
      <c r="AB4" s="16">
        <v>25416</v>
      </c>
      <c r="AC4" s="16">
        <v>25447</v>
      </c>
      <c r="AE4" s="36"/>
      <c r="AF4" s="36"/>
      <c r="AG4" s="16" t="s">
        <v>85</v>
      </c>
      <c r="AH4" s="16" t="s">
        <v>86</v>
      </c>
      <c r="AI4" s="16" t="s">
        <v>85</v>
      </c>
      <c r="AJ4" s="16" t="s">
        <v>86</v>
      </c>
      <c r="AK4" s="16" t="s">
        <v>85</v>
      </c>
      <c r="AL4" s="16" t="s">
        <v>86</v>
      </c>
      <c r="AM4" s="16" t="s">
        <v>85</v>
      </c>
      <c r="AN4" s="16" t="s">
        <v>86</v>
      </c>
      <c r="AO4" s="16" t="s">
        <v>85</v>
      </c>
      <c r="AP4" s="16" t="s">
        <v>86</v>
      </c>
      <c r="AQ4" s="16" t="s">
        <v>85</v>
      </c>
      <c r="AR4" s="16" t="s">
        <v>86</v>
      </c>
      <c r="AS4" s="16" t="s">
        <v>85</v>
      </c>
      <c r="AT4" s="16" t="s">
        <v>86</v>
      </c>
      <c r="AU4" s="16" t="s">
        <v>85</v>
      </c>
      <c r="AV4" s="16" t="s">
        <v>86</v>
      </c>
      <c r="AW4" s="16" t="s">
        <v>85</v>
      </c>
      <c r="AX4" s="16" t="s">
        <v>86</v>
      </c>
      <c r="AY4" s="16" t="s">
        <v>85</v>
      </c>
      <c r="AZ4" s="16" t="s">
        <v>86</v>
      </c>
      <c r="BA4" s="16" t="s">
        <v>85</v>
      </c>
      <c r="BB4" s="16" t="s">
        <v>86</v>
      </c>
      <c r="BC4" s="16" t="s">
        <v>85</v>
      </c>
      <c r="BD4" s="16" t="s">
        <v>86</v>
      </c>
    </row>
    <row r="5" spans="1:56">
      <c r="A5" s="17">
        <v>1</v>
      </c>
      <c r="B5" s="18" t="s">
        <v>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P5" s="17">
        <v>1</v>
      </c>
      <c r="Q5" s="18" t="s">
        <v>8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E5" s="17">
        <v>1</v>
      </c>
      <c r="AF5" s="18" t="s">
        <v>8</v>
      </c>
      <c r="AG5" s="19">
        <f>+C5-R5</f>
        <v>0</v>
      </c>
      <c r="AH5" s="19" t="e">
        <f>+AG5/C5*100</f>
        <v>#DIV/0!</v>
      </c>
      <c r="AI5" s="19">
        <f>+D5-S5</f>
        <v>0</v>
      </c>
      <c r="AJ5" s="19" t="e">
        <f>+AI5/D5*100</f>
        <v>#DIV/0!</v>
      </c>
      <c r="AK5" s="19">
        <f>+E5-T5</f>
        <v>0</v>
      </c>
      <c r="AL5" s="19" t="e">
        <f>+AK5/E5*100</f>
        <v>#DIV/0!</v>
      </c>
      <c r="AM5" s="19">
        <f>+F5-U5</f>
        <v>0</v>
      </c>
      <c r="AN5" s="19" t="e">
        <f>+AM5/F5*100</f>
        <v>#DIV/0!</v>
      </c>
      <c r="AO5" s="19">
        <f>+G5-V5</f>
        <v>0</v>
      </c>
      <c r="AP5" s="19" t="e">
        <f>+AO5/G5*100</f>
        <v>#DIV/0!</v>
      </c>
      <c r="AQ5" s="19">
        <f>+H5-W5</f>
        <v>0</v>
      </c>
      <c r="AR5" s="19" t="e">
        <f>+AQ5/H5*100</f>
        <v>#DIV/0!</v>
      </c>
      <c r="AS5" s="19">
        <f>+I5-X5</f>
        <v>0</v>
      </c>
      <c r="AT5" s="19" t="e">
        <f>+AS5/I5*100</f>
        <v>#DIV/0!</v>
      </c>
      <c r="AU5" s="19">
        <f>+J5-Y5</f>
        <v>0</v>
      </c>
      <c r="AV5" s="19" t="e">
        <f>+AU5/J5*100</f>
        <v>#DIV/0!</v>
      </c>
      <c r="AW5" s="19">
        <f>+K5-Z5</f>
        <v>0</v>
      </c>
      <c r="AX5" s="19" t="e">
        <f>+AW5/K5*100</f>
        <v>#DIV/0!</v>
      </c>
      <c r="AY5" s="19">
        <f>+L5-AA5</f>
        <v>0</v>
      </c>
      <c r="AZ5" s="19" t="e">
        <f>+AY5/L5*100</f>
        <v>#DIV/0!</v>
      </c>
      <c r="BA5" s="19">
        <f>+M5-AB5</f>
        <v>0</v>
      </c>
      <c r="BB5" s="19" t="e">
        <f>+BA5/M5*100</f>
        <v>#DIV/0!</v>
      </c>
      <c r="BC5" s="19">
        <f>+N5-AC5</f>
        <v>0</v>
      </c>
      <c r="BD5" s="19" t="e">
        <f>+BC5/N5*100</f>
        <v>#DIV/0!</v>
      </c>
    </row>
    <row r="6" spans="1:56">
      <c r="A6" s="17">
        <v>2</v>
      </c>
      <c r="B6" s="18" t="s">
        <v>9</v>
      </c>
      <c r="C6" s="19">
        <v>296479145</v>
      </c>
      <c r="D6" s="19">
        <v>296479145</v>
      </c>
      <c r="E6" s="19">
        <v>296479145</v>
      </c>
      <c r="F6" s="19"/>
      <c r="G6" s="19"/>
      <c r="H6" s="19"/>
      <c r="I6" s="19"/>
      <c r="J6" s="19"/>
      <c r="K6" s="19"/>
      <c r="L6" s="19"/>
      <c r="M6" s="19"/>
      <c r="N6" s="19"/>
      <c r="P6" s="17">
        <v>2</v>
      </c>
      <c r="Q6" s="18" t="s">
        <v>9</v>
      </c>
      <c r="R6" s="19">
        <v>316519440</v>
      </c>
      <c r="S6" s="19">
        <v>316519440</v>
      </c>
      <c r="T6" s="19">
        <v>316519440</v>
      </c>
      <c r="U6" s="19"/>
      <c r="V6" s="19"/>
      <c r="W6" s="19"/>
      <c r="X6" s="19"/>
      <c r="Y6" s="19"/>
      <c r="Z6" s="19"/>
      <c r="AA6" s="19"/>
      <c r="AB6" s="19"/>
      <c r="AC6" s="19"/>
      <c r="AE6" s="17">
        <v>2</v>
      </c>
      <c r="AF6" s="18" t="s">
        <v>9</v>
      </c>
      <c r="AG6" s="19">
        <f t="shared" ref="AG6:AG10" si="0">+C6-R6</f>
        <v>-20040295</v>
      </c>
      <c r="AH6" s="19">
        <f t="shared" ref="AH6:AH10" si="1">+AG6/C6*100</f>
        <v>-6.7594282221773136</v>
      </c>
      <c r="AI6" s="19">
        <f t="shared" ref="AI6:AI10" si="2">+D6-S6</f>
        <v>-20040295</v>
      </c>
      <c r="AJ6" s="19">
        <f t="shared" ref="AJ6:AJ10" si="3">+AI6/D6*100</f>
        <v>-6.7594282221773136</v>
      </c>
      <c r="AK6" s="19">
        <f t="shared" ref="AK6:AK10" si="4">+E6-T6</f>
        <v>-20040295</v>
      </c>
      <c r="AL6" s="19">
        <f t="shared" ref="AL6:AL10" si="5">+AK6/E6*100</f>
        <v>-6.7594282221773136</v>
      </c>
      <c r="AM6" s="19">
        <f t="shared" ref="AM6:AM10" si="6">+F6-U6</f>
        <v>0</v>
      </c>
      <c r="AN6" s="19" t="e">
        <f t="shared" ref="AN6:AN10" si="7">+AM6/F6*100</f>
        <v>#DIV/0!</v>
      </c>
      <c r="AO6" s="19">
        <f t="shared" ref="AO6:AO10" si="8">+G6-V6</f>
        <v>0</v>
      </c>
      <c r="AP6" s="19" t="e">
        <f t="shared" ref="AP6:AP10" si="9">+AO6/G6*100</f>
        <v>#DIV/0!</v>
      </c>
      <c r="AQ6" s="19">
        <f t="shared" ref="AQ6:AQ10" si="10">+H6-W6</f>
        <v>0</v>
      </c>
      <c r="AR6" s="19" t="e">
        <f t="shared" ref="AR6:AR10" si="11">+AQ6/H6*100</f>
        <v>#DIV/0!</v>
      </c>
      <c r="AS6" s="19">
        <f t="shared" ref="AS6:AS10" si="12">+I6-X6</f>
        <v>0</v>
      </c>
      <c r="AT6" s="19" t="e">
        <f t="shared" ref="AT6:AT10" si="13">+AS6/I6*100</f>
        <v>#DIV/0!</v>
      </c>
      <c r="AU6" s="19">
        <f t="shared" ref="AU6:AU10" si="14">+J6-Y6</f>
        <v>0</v>
      </c>
      <c r="AV6" s="19" t="e">
        <f t="shared" ref="AV6:AV10" si="15">+AU6/J6*100</f>
        <v>#DIV/0!</v>
      </c>
      <c r="AW6" s="19">
        <f t="shared" ref="AW6:AW10" si="16">+K6-Z6</f>
        <v>0</v>
      </c>
      <c r="AX6" s="19" t="e">
        <f t="shared" ref="AX6:AX10" si="17">+AW6/K6*100</f>
        <v>#DIV/0!</v>
      </c>
      <c r="AY6" s="19">
        <f t="shared" ref="AY6:AY10" si="18">+L6-AA6</f>
        <v>0</v>
      </c>
      <c r="AZ6" s="19" t="e">
        <f t="shared" ref="AZ6:AZ10" si="19">+AY6/L6*100</f>
        <v>#DIV/0!</v>
      </c>
      <c r="BA6" s="19">
        <f t="shared" ref="BA6:BA10" si="20">+M6-AB6</f>
        <v>0</v>
      </c>
      <c r="BB6" s="19" t="e">
        <f t="shared" ref="BB6:BB10" si="21">+BA6/M6*100</f>
        <v>#DIV/0!</v>
      </c>
      <c r="BC6" s="19">
        <f t="shared" ref="BC6:BC10" si="22">+N6-AC6</f>
        <v>0</v>
      </c>
      <c r="BD6" s="19" t="e">
        <f t="shared" ref="BD6:BD10" si="23">+BC6/N6*100</f>
        <v>#DIV/0!</v>
      </c>
    </row>
    <row r="7" spans="1:56">
      <c r="A7" s="17">
        <v>3</v>
      </c>
      <c r="B7" s="18" t="s">
        <v>11</v>
      </c>
      <c r="C7" s="19">
        <v>15311125</v>
      </c>
      <c r="D7" s="19">
        <v>15311125</v>
      </c>
      <c r="E7" s="19">
        <v>15311125</v>
      </c>
      <c r="F7" s="19"/>
      <c r="G7" s="19"/>
      <c r="H7" s="19"/>
      <c r="I7" s="19"/>
      <c r="J7" s="19"/>
      <c r="K7" s="19"/>
      <c r="L7" s="19"/>
      <c r="M7" s="19"/>
      <c r="N7" s="19"/>
      <c r="P7" s="17">
        <v>3</v>
      </c>
      <c r="Q7" s="18" t="s">
        <v>11</v>
      </c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E7" s="17">
        <v>3</v>
      </c>
      <c r="AF7" s="18" t="s">
        <v>11</v>
      </c>
      <c r="AG7" s="19">
        <f t="shared" si="0"/>
        <v>15311125</v>
      </c>
      <c r="AH7" s="19">
        <f t="shared" si="1"/>
        <v>100</v>
      </c>
      <c r="AI7" s="19">
        <f t="shared" si="2"/>
        <v>15311125</v>
      </c>
      <c r="AJ7" s="19">
        <f t="shared" si="3"/>
        <v>100</v>
      </c>
      <c r="AK7" s="19">
        <f t="shared" si="4"/>
        <v>15311125</v>
      </c>
      <c r="AL7" s="19">
        <f t="shared" si="5"/>
        <v>100</v>
      </c>
      <c r="AM7" s="19">
        <f t="shared" si="6"/>
        <v>0</v>
      </c>
      <c r="AN7" s="19" t="e">
        <f t="shared" si="7"/>
        <v>#DIV/0!</v>
      </c>
      <c r="AO7" s="19">
        <f t="shared" si="8"/>
        <v>0</v>
      </c>
      <c r="AP7" s="19" t="e">
        <f t="shared" si="9"/>
        <v>#DIV/0!</v>
      </c>
      <c r="AQ7" s="19">
        <f t="shared" si="10"/>
        <v>0</v>
      </c>
      <c r="AR7" s="19" t="e">
        <f t="shared" si="11"/>
        <v>#DIV/0!</v>
      </c>
      <c r="AS7" s="19">
        <f t="shared" si="12"/>
        <v>0</v>
      </c>
      <c r="AT7" s="19" t="e">
        <f t="shared" si="13"/>
        <v>#DIV/0!</v>
      </c>
      <c r="AU7" s="19">
        <f t="shared" si="14"/>
        <v>0</v>
      </c>
      <c r="AV7" s="19" t="e">
        <f t="shared" si="15"/>
        <v>#DIV/0!</v>
      </c>
      <c r="AW7" s="19">
        <f t="shared" si="16"/>
        <v>0</v>
      </c>
      <c r="AX7" s="19" t="e">
        <f t="shared" si="17"/>
        <v>#DIV/0!</v>
      </c>
      <c r="AY7" s="19">
        <f t="shared" si="18"/>
        <v>0</v>
      </c>
      <c r="AZ7" s="19" t="e">
        <f t="shared" si="19"/>
        <v>#DIV/0!</v>
      </c>
      <c r="BA7" s="19">
        <f t="shared" si="20"/>
        <v>0</v>
      </c>
      <c r="BB7" s="19" t="e">
        <f t="shared" si="21"/>
        <v>#DIV/0!</v>
      </c>
      <c r="BC7" s="19">
        <f t="shared" si="22"/>
        <v>0</v>
      </c>
      <c r="BD7" s="19" t="e">
        <f t="shared" si="23"/>
        <v>#DIV/0!</v>
      </c>
    </row>
    <row r="8" spans="1:56">
      <c r="A8" s="17">
        <v>4</v>
      </c>
      <c r="B8" s="18" t="s">
        <v>13</v>
      </c>
      <c r="C8" s="19">
        <v>3829281</v>
      </c>
      <c r="D8" s="19">
        <v>3829281</v>
      </c>
      <c r="E8" s="19">
        <v>3829281</v>
      </c>
      <c r="F8" s="19"/>
      <c r="G8" s="19"/>
      <c r="H8" s="19"/>
      <c r="I8" s="19"/>
      <c r="J8" s="19"/>
      <c r="K8" s="19"/>
      <c r="L8" s="19"/>
      <c r="M8" s="19"/>
      <c r="N8" s="19"/>
      <c r="P8" s="17">
        <v>4</v>
      </c>
      <c r="Q8" s="18" t="s">
        <v>13</v>
      </c>
      <c r="R8" s="19">
        <v>1039898</v>
      </c>
      <c r="S8" s="19">
        <v>1039898</v>
      </c>
      <c r="T8" s="19">
        <v>1039898</v>
      </c>
      <c r="U8" s="19"/>
      <c r="V8" s="19"/>
      <c r="W8" s="19"/>
      <c r="X8" s="19"/>
      <c r="Y8" s="19"/>
      <c r="Z8" s="19"/>
      <c r="AA8" s="19"/>
      <c r="AB8" s="19"/>
      <c r="AC8" s="19"/>
      <c r="AE8" s="17">
        <v>4</v>
      </c>
      <c r="AF8" s="18" t="s">
        <v>13</v>
      </c>
      <c r="AG8" s="19">
        <f t="shared" si="0"/>
        <v>2789383</v>
      </c>
      <c r="AH8" s="19">
        <f t="shared" si="1"/>
        <v>72.843518143484374</v>
      </c>
      <c r="AI8" s="19">
        <f t="shared" si="2"/>
        <v>2789383</v>
      </c>
      <c r="AJ8" s="19">
        <f t="shared" si="3"/>
        <v>72.843518143484374</v>
      </c>
      <c r="AK8" s="19">
        <f t="shared" si="4"/>
        <v>2789383</v>
      </c>
      <c r="AL8" s="19">
        <f t="shared" si="5"/>
        <v>72.843518143484374</v>
      </c>
      <c r="AM8" s="19">
        <f t="shared" si="6"/>
        <v>0</v>
      </c>
      <c r="AN8" s="19" t="e">
        <f t="shared" si="7"/>
        <v>#DIV/0!</v>
      </c>
      <c r="AO8" s="19">
        <f t="shared" si="8"/>
        <v>0</v>
      </c>
      <c r="AP8" s="19" t="e">
        <f t="shared" si="9"/>
        <v>#DIV/0!</v>
      </c>
      <c r="AQ8" s="19">
        <f t="shared" si="10"/>
        <v>0</v>
      </c>
      <c r="AR8" s="19" t="e">
        <f t="shared" si="11"/>
        <v>#DIV/0!</v>
      </c>
      <c r="AS8" s="19">
        <f t="shared" si="12"/>
        <v>0</v>
      </c>
      <c r="AT8" s="19" t="e">
        <f t="shared" si="13"/>
        <v>#DIV/0!</v>
      </c>
      <c r="AU8" s="19">
        <f t="shared" si="14"/>
        <v>0</v>
      </c>
      <c r="AV8" s="19" t="e">
        <f t="shared" si="15"/>
        <v>#DIV/0!</v>
      </c>
      <c r="AW8" s="19">
        <f t="shared" si="16"/>
        <v>0</v>
      </c>
      <c r="AX8" s="19" t="e">
        <f t="shared" si="17"/>
        <v>#DIV/0!</v>
      </c>
      <c r="AY8" s="19">
        <f t="shared" si="18"/>
        <v>0</v>
      </c>
      <c r="AZ8" s="19" t="e">
        <f t="shared" si="19"/>
        <v>#DIV/0!</v>
      </c>
      <c r="BA8" s="19">
        <f t="shared" si="20"/>
        <v>0</v>
      </c>
      <c r="BB8" s="19" t="e">
        <f t="shared" si="21"/>
        <v>#DIV/0!</v>
      </c>
      <c r="BC8" s="19">
        <f t="shared" si="22"/>
        <v>0</v>
      </c>
      <c r="BD8" s="19" t="e">
        <f t="shared" si="23"/>
        <v>#DIV/0!</v>
      </c>
    </row>
    <row r="9" spans="1:56">
      <c r="A9" s="17">
        <v>5</v>
      </c>
      <c r="B9" s="18" t="s">
        <v>15</v>
      </c>
      <c r="C9" s="19">
        <v>7689322.5300000003</v>
      </c>
      <c r="D9" s="19">
        <v>7689322.5300000003</v>
      </c>
      <c r="E9" s="19">
        <v>7689322.5300000003</v>
      </c>
      <c r="F9" s="19"/>
      <c r="G9" s="19"/>
      <c r="H9" s="19"/>
      <c r="I9" s="19"/>
      <c r="J9" s="19"/>
      <c r="K9" s="19"/>
      <c r="L9" s="19"/>
      <c r="M9" s="19"/>
      <c r="N9" s="19"/>
      <c r="P9" s="17">
        <v>5</v>
      </c>
      <c r="Q9" s="18" t="s">
        <v>15</v>
      </c>
      <c r="R9" s="19">
        <v>8051447.5300000003</v>
      </c>
      <c r="S9" s="19">
        <v>8051447.5300000003</v>
      </c>
      <c r="T9" s="19">
        <v>8051447.5300000003</v>
      </c>
      <c r="U9" s="19"/>
      <c r="V9" s="19"/>
      <c r="W9" s="19"/>
      <c r="X9" s="19"/>
      <c r="Y9" s="19"/>
      <c r="Z9" s="19"/>
      <c r="AA9" s="19"/>
      <c r="AB9" s="19"/>
      <c r="AC9" s="19"/>
      <c r="AE9" s="17">
        <v>5</v>
      </c>
      <c r="AF9" s="18" t="s">
        <v>15</v>
      </c>
      <c r="AG9" s="19">
        <f t="shared" si="0"/>
        <v>-362125</v>
      </c>
      <c r="AH9" s="19">
        <f t="shared" si="1"/>
        <v>-4.7094526024518313</v>
      </c>
      <c r="AI9" s="19">
        <f t="shared" si="2"/>
        <v>-362125</v>
      </c>
      <c r="AJ9" s="19">
        <f t="shared" si="3"/>
        <v>-4.7094526024518313</v>
      </c>
      <c r="AK9" s="19">
        <f t="shared" si="4"/>
        <v>-362125</v>
      </c>
      <c r="AL9" s="19">
        <f t="shared" si="5"/>
        <v>-4.7094526024518313</v>
      </c>
      <c r="AM9" s="19">
        <f t="shared" si="6"/>
        <v>0</v>
      </c>
      <c r="AN9" s="19" t="e">
        <f t="shared" si="7"/>
        <v>#DIV/0!</v>
      </c>
      <c r="AO9" s="19">
        <f t="shared" si="8"/>
        <v>0</v>
      </c>
      <c r="AP9" s="19" t="e">
        <f t="shared" si="9"/>
        <v>#DIV/0!</v>
      </c>
      <c r="AQ9" s="19">
        <f t="shared" si="10"/>
        <v>0</v>
      </c>
      <c r="AR9" s="19" t="e">
        <f t="shared" si="11"/>
        <v>#DIV/0!</v>
      </c>
      <c r="AS9" s="19">
        <f t="shared" si="12"/>
        <v>0</v>
      </c>
      <c r="AT9" s="19" t="e">
        <f t="shared" si="13"/>
        <v>#DIV/0!</v>
      </c>
      <c r="AU9" s="19">
        <f t="shared" si="14"/>
        <v>0</v>
      </c>
      <c r="AV9" s="19" t="e">
        <f t="shared" si="15"/>
        <v>#DIV/0!</v>
      </c>
      <c r="AW9" s="19">
        <f t="shared" si="16"/>
        <v>0</v>
      </c>
      <c r="AX9" s="19" t="e">
        <f t="shared" si="17"/>
        <v>#DIV/0!</v>
      </c>
      <c r="AY9" s="19">
        <f t="shared" si="18"/>
        <v>0</v>
      </c>
      <c r="AZ9" s="19" t="e">
        <f t="shared" si="19"/>
        <v>#DIV/0!</v>
      </c>
      <c r="BA9" s="19">
        <f t="shared" si="20"/>
        <v>0</v>
      </c>
      <c r="BB9" s="19" t="e">
        <f t="shared" si="21"/>
        <v>#DIV/0!</v>
      </c>
      <c r="BC9" s="19">
        <f t="shared" si="22"/>
        <v>0</v>
      </c>
      <c r="BD9" s="19" t="e">
        <f t="shared" si="23"/>
        <v>#DIV/0!</v>
      </c>
    </row>
    <row r="10" spans="1:56" s="22" customFormat="1" ht="25.2" thickBot="1">
      <c r="A10" s="20"/>
      <c r="B10" s="20" t="s">
        <v>17</v>
      </c>
      <c r="C10" s="21">
        <f>SUM(C5:C9)</f>
        <v>323308873.52999997</v>
      </c>
      <c r="D10" s="21">
        <f t="shared" ref="D10:N10" si="24">SUM(D5:D9)</f>
        <v>323308873.52999997</v>
      </c>
      <c r="E10" s="21">
        <f t="shared" si="24"/>
        <v>323308873.52999997</v>
      </c>
      <c r="F10" s="21">
        <f t="shared" si="24"/>
        <v>0</v>
      </c>
      <c r="G10" s="21">
        <f t="shared" si="24"/>
        <v>0</v>
      </c>
      <c r="H10" s="21">
        <f t="shared" si="24"/>
        <v>0</v>
      </c>
      <c r="I10" s="21">
        <f t="shared" si="24"/>
        <v>0</v>
      </c>
      <c r="J10" s="21">
        <f t="shared" si="24"/>
        <v>0</v>
      </c>
      <c r="K10" s="21">
        <f t="shared" si="24"/>
        <v>0</v>
      </c>
      <c r="L10" s="21">
        <f t="shared" si="24"/>
        <v>0</v>
      </c>
      <c r="M10" s="21">
        <f t="shared" si="24"/>
        <v>0</v>
      </c>
      <c r="N10" s="21">
        <f t="shared" si="24"/>
        <v>0</v>
      </c>
      <c r="P10" s="20"/>
      <c r="Q10" s="20" t="s">
        <v>17</v>
      </c>
      <c r="R10" s="21">
        <f>SUM(R5:R9)</f>
        <v>325610785.52999997</v>
      </c>
      <c r="S10" s="21">
        <f t="shared" ref="S10:AC10" si="25">SUM(S5:S9)</f>
        <v>325610785.52999997</v>
      </c>
      <c r="T10" s="21">
        <f t="shared" si="25"/>
        <v>325610785.52999997</v>
      </c>
      <c r="U10" s="21">
        <f t="shared" si="25"/>
        <v>0</v>
      </c>
      <c r="V10" s="21">
        <f t="shared" si="25"/>
        <v>0</v>
      </c>
      <c r="W10" s="21">
        <f t="shared" si="25"/>
        <v>0</v>
      </c>
      <c r="X10" s="21">
        <f t="shared" si="25"/>
        <v>0</v>
      </c>
      <c r="Y10" s="21">
        <f t="shared" si="25"/>
        <v>0</v>
      </c>
      <c r="Z10" s="21">
        <f t="shared" si="25"/>
        <v>0</v>
      </c>
      <c r="AA10" s="21">
        <f t="shared" si="25"/>
        <v>0</v>
      </c>
      <c r="AB10" s="21">
        <f t="shared" si="25"/>
        <v>0</v>
      </c>
      <c r="AC10" s="21">
        <f t="shared" si="25"/>
        <v>0</v>
      </c>
      <c r="AE10" s="20"/>
      <c r="AF10" s="20" t="s">
        <v>17</v>
      </c>
      <c r="AG10" s="23">
        <f t="shared" si="0"/>
        <v>-2301912</v>
      </c>
      <c r="AH10" s="23">
        <f t="shared" si="1"/>
        <v>-0.71198540728774784</v>
      </c>
      <c r="AI10" s="23">
        <f t="shared" si="2"/>
        <v>-2301912</v>
      </c>
      <c r="AJ10" s="23">
        <f t="shared" si="3"/>
        <v>-0.71198540728774784</v>
      </c>
      <c r="AK10" s="23">
        <f t="shared" si="4"/>
        <v>-2301912</v>
      </c>
      <c r="AL10" s="23">
        <f t="shared" si="5"/>
        <v>-0.71198540728774784</v>
      </c>
      <c r="AM10" s="23">
        <f t="shared" si="6"/>
        <v>0</v>
      </c>
      <c r="AN10" s="23" t="e">
        <f t="shared" si="7"/>
        <v>#DIV/0!</v>
      </c>
      <c r="AO10" s="23">
        <f t="shared" si="8"/>
        <v>0</v>
      </c>
      <c r="AP10" s="23" t="e">
        <f t="shared" si="9"/>
        <v>#DIV/0!</v>
      </c>
      <c r="AQ10" s="23">
        <f t="shared" si="10"/>
        <v>0</v>
      </c>
      <c r="AR10" s="23" t="e">
        <f t="shared" si="11"/>
        <v>#DIV/0!</v>
      </c>
      <c r="AS10" s="23">
        <f t="shared" si="12"/>
        <v>0</v>
      </c>
      <c r="AT10" s="23" t="e">
        <f t="shared" si="13"/>
        <v>#DIV/0!</v>
      </c>
      <c r="AU10" s="23">
        <f t="shared" si="14"/>
        <v>0</v>
      </c>
      <c r="AV10" s="23" t="e">
        <f t="shared" si="15"/>
        <v>#DIV/0!</v>
      </c>
      <c r="AW10" s="23">
        <f t="shared" si="16"/>
        <v>0</v>
      </c>
      <c r="AX10" s="23" t="e">
        <f t="shared" si="17"/>
        <v>#DIV/0!</v>
      </c>
      <c r="AY10" s="23">
        <f t="shared" si="18"/>
        <v>0</v>
      </c>
      <c r="AZ10" s="23" t="e">
        <f t="shared" si="19"/>
        <v>#DIV/0!</v>
      </c>
      <c r="BA10" s="23">
        <f t="shared" si="20"/>
        <v>0</v>
      </c>
      <c r="BB10" s="23" t="e">
        <f t="shared" si="21"/>
        <v>#DIV/0!</v>
      </c>
      <c r="BC10" s="23">
        <f t="shared" si="22"/>
        <v>0</v>
      </c>
      <c r="BD10" s="23" t="e">
        <f t="shared" si="23"/>
        <v>#DIV/0!</v>
      </c>
    </row>
    <row r="11" spans="1:56" ht="25.2" thickTop="1"/>
    <row r="12" spans="1:56">
      <c r="A12" s="37" t="s">
        <v>46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P12" s="37" t="s">
        <v>50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E12" s="37" t="s">
        <v>87</v>
      </c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</row>
    <row r="13" spans="1:56">
      <c r="A13" s="37" t="s">
        <v>1948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P13" s="37" t="s">
        <v>1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E13" s="37" t="s">
        <v>1</v>
      </c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</row>
    <row r="14" spans="1:56" s="15" customFormat="1">
      <c r="A14" s="35" t="s">
        <v>2</v>
      </c>
      <c r="B14" s="35" t="s">
        <v>3</v>
      </c>
      <c r="C14" s="38" t="s">
        <v>4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0"/>
      <c r="P14" s="35" t="s">
        <v>2</v>
      </c>
      <c r="Q14" s="35" t="s">
        <v>3</v>
      </c>
      <c r="R14" s="38" t="s">
        <v>5</v>
      </c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40"/>
      <c r="AE14" s="35" t="s">
        <v>2</v>
      </c>
      <c r="AF14" s="35" t="s">
        <v>3</v>
      </c>
      <c r="AG14" s="33">
        <v>25112</v>
      </c>
      <c r="AH14" s="34"/>
      <c r="AI14" s="33">
        <v>25143</v>
      </c>
      <c r="AJ14" s="34"/>
      <c r="AK14" s="33">
        <v>25173</v>
      </c>
      <c r="AL14" s="34"/>
      <c r="AM14" s="33">
        <v>25204</v>
      </c>
      <c r="AN14" s="34"/>
      <c r="AO14" s="33">
        <v>25235</v>
      </c>
      <c r="AP14" s="34"/>
      <c r="AQ14" s="33">
        <v>25263</v>
      </c>
      <c r="AR14" s="34"/>
      <c r="AS14" s="33">
        <v>25294</v>
      </c>
      <c r="AT14" s="34"/>
      <c r="AU14" s="33">
        <v>25324</v>
      </c>
      <c r="AV14" s="34"/>
      <c r="AW14" s="33">
        <v>25355</v>
      </c>
      <c r="AX14" s="34"/>
      <c r="AY14" s="33">
        <v>25385</v>
      </c>
      <c r="AZ14" s="34"/>
      <c r="BA14" s="33">
        <v>25416</v>
      </c>
      <c r="BB14" s="34"/>
      <c r="BC14" s="33">
        <v>25447</v>
      </c>
      <c r="BD14" s="34"/>
    </row>
    <row r="15" spans="1:56" s="15" customFormat="1">
      <c r="A15" s="36"/>
      <c r="B15" s="36"/>
      <c r="C15" s="16">
        <v>25112</v>
      </c>
      <c r="D15" s="16">
        <v>25143</v>
      </c>
      <c r="E15" s="16">
        <v>25173</v>
      </c>
      <c r="F15" s="16">
        <v>25204</v>
      </c>
      <c r="G15" s="16">
        <v>25235</v>
      </c>
      <c r="H15" s="16">
        <v>25263</v>
      </c>
      <c r="I15" s="16">
        <v>25294</v>
      </c>
      <c r="J15" s="16">
        <v>25324</v>
      </c>
      <c r="K15" s="16">
        <v>25355</v>
      </c>
      <c r="L15" s="16">
        <v>25385</v>
      </c>
      <c r="M15" s="16">
        <v>25416</v>
      </c>
      <c r="N15" s="16">
        <v>25447</v>
      </c>
      <c r="P15" s="36"/>
      <c r="Q15" s="36"/>
      <c r="R15" s="16">
        <v>25112</v>
      </c>
      <c r="S15" s="16">
        <v>25143</v>
      </c>
      <c r="T15" s="16">
        <v>25173</v>
      </c>
      <c r="U15" s="16">
        <v>25204</v>
      </c>
      <c r="V15" s="16">
        <v>25235</v>
      </c>
      <c r="W15" s="16">
        <v>25263</v>
      </c>
      <c r="X15" s="16">
        <v>25294</v>
      </c>
      <c r="Y15" s="16">
        <v>25324</v>
      </c>
      <c r="Z15" s="16">
        <v>25355</v>
      </c>
      <c r="AA15" s="16">
        <v>25385</v>
      </c>
      <c r="AB15" s="16">
        <v>25416</v>
      </c>
      <c r="AC15" s="16">
        <v>25447</v>
      </c>
      <c r="AE15" s="36"/>
      <c r="AF15" s="36"/>
      <c r="AG15" s="16" t="s">
        <v>85</v>
      </c>
      <c r="AH15" s="16" t="s">
        <v>86</v>
      </c>
      <c r="AI15" s="16" t="s">
        <v>85</v>
      </c>
      <c r="AJ15" s="16" t="s">
        <v>86</v>
      </c>
      <c r="AK15" s="16" t="s">
        <v>85</v>
      </c>
      <c r="AL15" s="16" t="s">
        <v>86</v>
      </c>
      <c r="AM15" s="16" t="s">
        <v>85</v>
      </c>
      <c r="AN15" s="16" t="s">
        <v>86</v>
      </c>
      <c r="AO15" s="16" t="s">
        <v>85</v>
      </c>
      <c r="AP15" s="16" t="s">
        <v>86</v>
      </c>
      <c r="AQ15" s="16" t="s">
        <v>85</v>
      </c>
      <c r="AR15" s="16" t="s">
        <v>86</v>
      </c>
      <c r="AS15" s="16" t="s">
        <v>85</v>
      </c>
      <c r="AT15" s="16" t="s">
        <v>86</v>
      </c>
      <c r="AU15" s="16" t="s">
        <v>85</v>
      </c>
      <c r="AV15" s="16" t="s">
        <v>86</v>
      </c>
      <c r="AW15" s="16" t="s">
        <v>85</v>
      </c>
      <c r="AX15" s="16" t="s">
        <v>86</v>
      </c>
      <c r="AY15" s="16" t="s">
        <v>85</v>
      </c>
      <c r="AZ15" s="16" t="s">
        <v>86</v>
      </c>
      <c r="BA15" s="16" t="s">
        <v>85</v>
      </c>
      <c r="BB15" s="16" t="s">
        <v>86</v>
      </c>
      <c r="BC15" s="16" t="s">
        <v>85</v>
      </c>
      <c r="BD15" s="16" t="s">
        <v>86</v>
      </c>
    </row>
    <row r="16" spans="1:56">
      <c r="A16" s="17"/>
      <c r="B16" s="18"/>
      <c r="C16" s="19"/>
      <c r="D16" s="19"/>
      <c r="E16" s="19"/>
      <c r="F16" s="19"/>
      <c r="G16" s="18"/>
      <c r="H16" s="18"/>
      <c r="I16" s="18"/>
      <c r="J16" s="18"/>
      <c r="K16" s="18"/>
      <c r="L16" s="18"/>
      <c r="M16" s="18"/>
      <c r="N16" s="18"/>
      <c r="P16" s="17"/>
      <c r="Q16" s="18"/>
      <c r="R16" s="19"/>
      <c r="S16" s="19"/>
      <c r="T16" s="19"/>
      <c r="U16" s="19"/>
      <c r="V16" s="18"/>
      <c r="W16" s="18"/>
      <c r="X16" s="18"/>
      <c r="Y16" s="18"/>
      <c r="Z16" s="18"/>
      <c r="AA16" s="18"/>
      <c r="AB16" s="18"/>
      <c r="AC16" s="18"/>
      <c r="AE16" s="17"/>
      <c r="AF16" s="18"/>
      <c r="AG16" s="19"/>
      <c r="AH16" s="19"/>
      <c r="AI16" s="19"/>
      <c r="AJ16" s="19"/>
      <c r="AK16" s="19"/>
      <c r="AL16" s="19"/>
      <c r="AM16" s="19"/>
      <c r="AN16" s="19"/>
      <c r="AO16" s="18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</row>
    <row r="17" spans="1:56">
      <c r="A17" s="17">
        <v>1</v>
      </c>
      <c r="B17" s="18" t="s">
        <v>10</v>
      </c>
      <c r="C17" s="19">
        <v>93078766.450000003</v>
      </c>
      <c r="D17" s="19">
        <v>94003208.799999997</v>
      </c>
      <c r="E17" s="19">
        <v>94958465.870000005</v>
      </c>
      <c r="F17" s="19"/>
      <c r="G17" s="18"/>
      <c r="H17" s="18"/>
      <c r="I17" s="18"/>
      <c r="J17" s="18"/>
      <c r="K17" s="18"/>
      <c r="L17" s="18"/>
      <c r="M17" s="18"/>
      <c r="N17" s="18"/>
      <c r="P17" s="17">
        <v>1</v>
      </c>
      <c r="Q17" s="18" t="s">
        <v>10</v>
      </c>
      <c r="R17" s="19">
        <v>101578936.12</v>
      </c>
      <c r="S17" s="19">
        <v>102543026.06999999</v>
      </c>
      <c r="T17" s="19">
        <v>103507116.02</v>
      </c>
      <c r="U17" s="19"/>
      <c r="V17" s="18"/>
      <c r="W17" s="18"/>
      <c r="X17" s="18"/>
      <c r="Y17" s="18"/>
      <c r="Z17" s="18"/>
      <c r="AA17" s="18"/>
      <c r="AB17" s="18"/>
      <c r="AC17" s="18"/>
      <c r="AE17" s="17">
        <v>1</v>
      </c>
      <c r="AF17" s="18" t="s">
        <v>10</v>
      </c>
      <c r="AG17" s="19">
        <f t="shared" ref="AG17:AG21" si="26">+C17-R17</f>
        <v>-8500169.6700000018</v>
      </c>
      <c r="AH17" s="19">
        <f t="shared" ref="AH17:AH21" si="27">+AG17/C17*100</f>
        <v>-9.1322328326795326</v>
      </c>
      <c r="AI17" s="19">
        <f t="shared" ref="AI17:AI21" si="28">+D17-S17</f>
        <v>-8539817.2699999958</v>
      </c>
      <c r="AJ17" s="19">
        <f t="shared" ref="AJ17:AJ21" si="29">+AI17/D17*100</f>
        <v>-9.084601875845749</v>
      </c>
      <c r="AK17" s="19">
        <f t="shared" ref="AK17:AK21" si="30">+E17-T17</f>
        <v>-8548650.1499999911</v>
      </c>
      <c r="AL17" s="19">
        <f t="shared" ref="AL17:AL21" si="31">+AK17/E17*100</f>
        <v>-9.0025150171478767</v>
      </c>
      <c r="AM17" s="19">
        <f t="shared" ref="AM17:AM21" si="32">+F17-U17</f>
        <v>0</v>
      </c>
      <c r="AN17" s="19" t="e">
        <f t="shared" ref="AN17:AN21" si="33">+AM17/F17*100</f>
        <v>#DIV/0!</v>
      </c>
      <c r="AO17" s="19">
        <f t="shared" ref="AO17:AO21" si="34">+G17-V17</f>
        <v>0</v>
      </c>
      <c r="AP17" s="19" t="e">
        <f t="shared" ref="AP17:AP21" si="35">+AO17/G17*100</f>
        <v>#DIV/0!</v>
      </c>
      <c r="AQ17" s="19">
        <f t="shared" ref="AQ17:AQ21" si="36">+H17-W17</f>
        <v>0</v>
      </c>
      <c r="AR17" s="19" t="e">
        <f t="shared" ref="AR17:AR21" si="37">+AQ17/H17*100</f>
        <v>#DIV/0!</v>
      </c>
      <c r="AS17" s="19">
        <f t="shared" ref="AS17:AS21" si="38">+I17-X17</f>
        <v>0</v>
      </c>
      <c r="AT17" s="19" t="e">
        <f t="shared" ref="AT17:AT21" si="39">+AS17/I17*100</f>
        <v>#DIV/0!</v>
      </c>
      <c r="AU17" s="19">
        <f t="shared" ref="AU17:AU21" si="40">+J17-Y17</f>
        <v>0</v>
      </c>
      <c r="AV17" s="19" t="e">
        <f t="shared" ref="AV17:AV21" si="41">+AU17/J17*100</f>
        <v>#DIV/0!</v>
      </c>
      <c r="AW17" s="19">
        <f t="shared" ref="AW17:AW21" si="42">+K17-Z17</f>
        <v>0</v>
      </c>
      <c r="AX17" s="19" t="e">
        <f t="shared" ref="AX17:AX21" si="43">+AW17/K17*100</f>
        <v>#DIV/0!</v>
      </c>
      <c r="AY17" s="19">
        <f t="shared" ref="AY17:AY21" si="44">+L17-AA17</f>
        <v>0</v>
      </c>
      <c r="AZ17" s="19" t="e">
        <f t="shared" ref="AZ17:AZ21" si="45">+AY17/L17*100</f>
        <v>#DIV/0!</v>
      </c>
      <c r="BA17" s="19">
        <f t="shared" ref="BA17:BA21" si="46">+M17-AB17</f>
        <v>0</v>
      </c>
      <c r="BB17" s="19" t="e">
        <f t="shared" ref="BB17:BB21" si="47">+BA17/M17*100</f>
        <v>#DIV/0!</v>
      </c>
      <c r="BC17" s="19">
        <f t="shared" ref="BC17:BC21" si="48">+N17-AC17</f>
        <v>0</v>
      </c>
      <c r="BD17" s="19" t="e">
        <f t="shared" ref="BD17:BD21" si="49">+BC17/N17*100</f>
        <v>#DIV/0!</v>
      </c>
    </row>
    <row r="18" spans="1:56">
      <c r="A18" s="17">
        <v>2</v>
      </c>
      <c r="B18" s="18" t="s">
        <v>12</v>
      </c>
      <c r="C18" s="19">
        <v>14034222.039999999</v>
      </c>
      <c r="D18" s="19">
        <v>14052214.640000001</v>
      </c>
      <c r="E18" s="19">
        <v>14070806.99</v>
      </c>
      <c r="F18" s="19"/>
      <c r="G18" s="18"/>
      <c r="H18" s="18"/>
      <c r="I18" s="18"/>
      <c r="J18" s="18"/>
      <c r="K18" s="18"/>
      <c r="L18" s="18"/>
      <c r="M18" s="18"/>
      <c r="N18" s="18"/>
      <c r="P18" s="17">
        <v>2</v>
      </c>
      <c r="Q18" s="18" t="s">
        <v>12</v>
      </c>
      <c r="R18" s="19"/>
      <c r="S18" s="19"/>
      <c r="T18" s="19"/>
      <c r="U18" s="19"/>
      <c r="V18" s="18"/>
      <c r="W18" s="18"/>
      <c r="X18" s="18"/>
      <c r="Y18" s="18"/>
      <c r="Z18" s="18"/>
      <c r="AA18" s="18"/>
      <c r="AB18" s="18"/>
      <c r="AC18" s="18"/>
      <c r="AE18" s="17">
        <v>2</v>
      </c>
      <c r="AF18" s="18" t="s">
        <v>12</v>
      </c>
      <c r="AG18" s="19">
        <f t="shared" si="26"/>
        <v>14034222.039999999</v>
      </c>
      <c r="AH18" s="19">
        <f t="shared" si="27"/>
        <v>100</v>
      </c>
      <c r="AI18" s="19">
        <f t="shared" si="28"/>
        <v>14052214.640000001</v>
      </c>
      <c r="AJ18" s="19">
        <f t="shared" si="29"/>
        <v>100</v>
      </c>
      <c r="AK18" s="19">
        <f t="shared" si="30"/>
        <v>14070806.99</v>
      </c>
      <c r="AL18" s="19">
        <f t="shared" si="31"/>
        <v>100</v>
      </c>
      <c r="AM18" s="19">
        <f t="shared" si="32"/>
        <v>0</v>
      </c>
      <c r="AN18" s="19" t="e">
        <f t="shared" si="33"/>
        <v>#DIV/0!</v>
      </c>
      <c r="AO18" s="19">
        <f t="shared" si="34"/>
        <v>0</v>
      </c>
      <c r="AP18" s="19" t="e">
        <f t="shared" si="35"/>
        <v>#DIV/0!</v>
      </c>
      <c r="AQ18" s="19">
        <f t="shared" si="36"/>
        <v>0</v>
      </c>
      <c r="AR18" s="19" t="e">
        <f t="shared" si="37"/>
        <v>#DIV/0!</v>
      </c>
      <c r="AS18" s="19">
        <f t="shared" si="38"/>
        <v>0</v>
      </c>
      <c r="AT18" s="19" t="e">
        <f t="shared" si="39"/>
        <v>#DIV/0!</v>
      </c>
      <c r="AU18" s="19">
        <f t="shared" si="40"/>
        <v>0</v>
      </c>
      <c r="AV18" s="19" t="e">
        <f t="shared" si="41"/>
        <v>#DIV/0!</v>
      </c>
      <c r="AW18" s="19">
        <f t="shared" si="42"/>
        <v>0</v>
      </c>
      <c r="AX18" s="19" t="e">
        <f t="shared" si="43"/>
        <v>#DIV/0!</v>
      </c>
      <c r="AY18" s="19">
        <f t="shared" si="44"/>
        <v>0</v>
      </c>
      <c r="AZ18" s="19" t="e">
        <f t="shared" si="45"/>
        <v>#DIV/0!</v>
      </c>
      <c r="BA18" s="19">
        <f t="shared" si="46"/>
        <v>0</v>
      </c>
      <c r="BB18" s="19" t="e">
        <f t="shared" si="47"/>
        <v>#DIV/0!</v>
      </c>
      <c r="BC18" s="19">
        <f t="shared" si="48"/>
        <v>0</v>
      </c>
      <c r="BD18" s="19" t="e">
        <f t="shared" si="49"/>
        <v>#DIV/0!</v>
      </c>
    </row>
    <row r="19" spans="1:56">
      <c r="A19" s="17">
        <v>3</v>
      </c>
      <c r="B19" s="18" t="s">
        <v>14</v>
      </c>
      <c r="C19" s="19">
        <v>3829274</v>
      </c>
      <c r="D19" s="19">
        <v>3829274</v>
      </c>
      <c r="E19" s="19">
        <v>3829274</v>
      </c>
      <c r="F19" s="19"/>
      <c r="G19" s="18"/>
      <c r="H19" s="18"/>
      <c r="I19" s="18"/>
      <c r="J19" s="18"/>
      <c r="K19" s="18"/>
      <c r="L19" s="18"/>
      <c r="M19" s="18"/>
      <c r="N19" s="18"/>
      <c r="P19" s="17">
        <v>3</v>
      </c>
      <c r="Q19" s="18" t="s">
        <v>14</v>
      </c>
      <c r="R19" s="19">
        <v>363964.33</v>
      </c>
      <c r="S19" s="19">
        <v>372630.15</v>
      </c>
      <c r="T19" s="19">
        <v>381295.97</v>
      </c>
      <c r="U19" s="19"/>
      <c r="V19" s="18"/>
      <c r="W19" s="18"/>
      <c r="X19" s="18"/>
      <c r="Y19" s="18"/>
      <c r="Z19" s="18"/>
      <c r="AA19" s="18"/>
      <c r="AB19" s="18"/>
      <c r="AC19" s="18"/>
      <c r="AE19" s="17">
        <v>3</v>
      </c>
      <c r="AF19" s="18" t="s">
        <v>14</v>
      </c>
      <c r="AG19" s="19">
        <f t="shared" si="26"/>
        <v>3465309.67</v>
      </c>
      <c r="AH19" s="19">
        <f t="shared" si="27"/>
        <v>90.495213191847853</v>
      </c>
      <c r="AI19" s="19">
        <f t="shared" si="28"/>
        <v>3456643.85</v>
      </c>
      <c r="AJ19" s="19">
        <f t="shared" si="29"/>
        <v>90.26890867563931</v>
      </c>
      <c r="AK19" s="19">
        <f t="shared" si="30"/>
        <v>3447978.0300000003</v>
      </c>
      <c r="AL19" s="19">
        <f t="shared" si="31"/>
        <v>90.042604159430752</v>
      </c>
      <c r="AM19" s="19">
        <f t="shared" si="32"/>
        <v>0</v>
      </c>
      <c r="AN19" s="19" t="e">
        <f t="shared" si="33"/>
        <v>#DIV/0!</v>
      </c>
      <c r="AO19" s="19">
        <f t="shared" si="34"/>
        <v>0</v>
      </c>
      <c r="AP19" s="19" t="e">
        <f t="shared" si="35"/>
        <v>#DIV/0!</v>
      </c>
      <c r="AQ19" s="19">
        <f t="shared" si="36"/>
        <v>0</v>
      </c>
      <c r="AR19" s="19" t="e">
        <f t="shared" si="37"/>
        <v>#DIV/0!</v>
      </c>
      <c r="AS19" s="19">
        <f t="shared" si="38"/>
        <v>0</v>
      </c>
      <c r="AT19" s="19" t="e">
        <f t="shared" si="39"/>
        <v>#DIV/0!</v>
      </c>
      <c r="AU19" s="19">
        <f t="shared" si="40"/>
        <v>0</v>
      </c>
      <c r="AV19" s="19" t="e">
        <f t="shared" si="41"/>
        <v>#DIV/0!</v>
      </c>
      <c r="AW19" s="19">
        <f t="shared" si="42"/>
        <v>0</v>
      </c>
      <c r="AX19" s="19" t="e">
        <f t="shared" si="43"/>
        <v>#DIV/0!</v>
      </c>
      <c r="AY19" s="19">
        <f t="shared" si="44"/>
        <v>0</v>
      </c>
      <c r="AZ19" s="19" t="e">
        <f t="shared" si="45"/>
        <v>#DIV/0!</v>
      </c>
      <c r="BA19" s="19">
        <f t="shared" si="46"/>
        <v>0</v>
      </c>
      <c r="BB19" s="19" t="e">
        <f t="shared" si="47"/>
        <v>#DIV/0!</v>
      </c>
      <c r="BC19" s="19">
        <f t="shared" si="48"/>
        <v>0</v>
      </c>
      <c r="BD19" s="19" t="e">
        <f t="shared" si="49"/>
        <v>#DIV/0!</v>
      </c>
    </row>
    <row r="20" spans="1:56">
      <c r="A20" s="17">
        <v>4</v>
      </c>
      <c r="B20" s="18" t="s">
        <v>16</v>
      </c>
      <c r="C20" s="19">
        <v>7689319.5300000003</v>
      </c>
      <c r="D20" s="19">
        <v>7689319.5300000003</v>
      </c>
      <c r="E20" s="19">
        <v>7689319.5300000003</v>
      </c>
      <c r="F20" s="19"/>
      <c r="G20" s="18"/>
      <c r="H20" s="18"/>
      <c r="I20" s="18"/>
      <c r="J20" s="18"/>
      <c r="K20" s="18"/>
      <c r="L20" s="18"/>
      <c r="M20" s="18"/>
      <c r="N20" s="18"/>
      <c r="P20" s="17">
        <v>4</v>
      </c>
      <c r="Q20" s="18" t="s">
        <v>16</v>
      </c>
      <c r="R20" s="19">
        <v>7971198.5300000003</v>
      </c>
      <c r="S20" s="19">
        <v>7974687.5300000003</v>
      </c>
      <c r="T20" s="19">
        <v>7978176.5300000003</v>
      </c>
      <c r="U20" s="19"/>
      <c r="V20" s="18"/>
      <c r="W20" s="18"/>
      <c r="X20" s="18"/>
      <c r="Y20" s="18"/>
      <c r="Z20" s="18"/>
      <c r="AA20" s="18"/>
      <c r="AB20" s="18"/>
      <c r="AC20" s="18"/>
      <c r="AE20" s="17">
        <v>4</v>
      </c>
      <c r="AF20" s="18" t="s">
        <v>16</v>
      </c>
      <c r="AG20" s="19">
        <f t="shared" si="26"/>
        <v>-281879</v>
      </c>
      <c r="AH20" s="19">
        <f t="shared" si="27"/>
        <v>-3.6658510405276394</v>
      </c>
      <c r="AI20" s="19">
        <f t="shared" si="28"/>
        <v>-285368</v>
      </c>
      <c r="AJ20" s="19">
        <f t="shared" si="29"/>
        <v>-3.7112256668048751</v>
      </c>
      <c r="AK20" s="19">
        <f t="shared" si="30"/>
        <v>-288857</v>
      </c>
      <c r="AL20" s="19">
        <f t="shared" si="31"/>
        <v>-3.7566002930821107</v>
      </c>
      <c r="AM20" s="19">
        <f t="shared" si="32"/>
        <v>0</v>
      </c>
      <c r="AN20" s="19" t="e">
        <f t="shared" si="33"/>
        <v>#DIV/0!</v>
      </c>
      <c r="AO20" s="19">
        <f t="shared" si="34"/>
        <v>0</v>
      </c>
      <c r="AP20" s="19" t="e">
        <f t="shared" si="35"/>
        <v>#DIV/0!</v>
      </c>
      <c r="AQ20" s="19">
        <f t="shared" si="36"/>
        <v>0</v>
      </c>
      <c r="AR20" s="19" t="e">
        <f t="shared" si="37"/>
        <v>#DIV/0!</v>
      </c>
      <c r="AS20" s="19">
        <f t="shared" si="38"/>
        <v>0</v>
      </c>
      <c r="AT20" s="19" t="e">
        <f t="shared" si="39"/>
        <v>#DIV/0!</v>
      </c>
      <c r="AU20" s="19">
        <f t="shared" si="40"/>
        <v>0</v>
      </c>
      <c r="AV20" s="19" t="e">
        <f t="shared" si="41"/>
        <v>#DIV/0!</v>
      </c>
      <c r="AW20" s="19">
        <f t="shared" si="42"/>
        <v>0</v>
      </c>
      <c r="AX20" s="19" t="e">
        <f t="shared" si="43"/>
        <v>#DIV/0!</v>
      </c>
      <c r="AY20" s="19">
        <f t="shared" si="44"/>
        <v>0</v>
      </c>
      <c r="AZ20" s="19" t="e">
        <f t="shared" si="45"/>
        <v>#DIV/0!</v>
      </c>
      <c r="BA20" s="19">
        <f t="shared" si="46"/>
        <v>0</v>
      </c>
      <c r="BB20" s="19" t="e">
        <f t="shared" si="47"/>
        <v>#DIV/0!</v>
      </c>
      <c r="BC20" s="19">
        <f t="shared" si="48"/>
        <v>0</v>
      </c>
      <c r="BD20" s="19" t="e">
        <f t="shared" si="49"/>
        <v>#DIV/0!</v>
      </c>
    </row>
    <row r="21" spans="1:56" ht="25.2" thickBot="1">
      <c r="A21" s="20"/>
      <c r="B21" s="20" t="s">
        <v>17</v>
      </c>
      <c r="C21" s="21">
        <f>SUM(C16:C20)</f>
        <v>118631582.02000001</v>
      </c>
      <c r="D21" s="21">
        <f t="shared" ref="D21:N21" si="50">SUM(D16:D20)</f>
        <v>119574016.97</v>
      </c>
      <c r="E21" s="21">
        <f t="shared" si="50"/>
        <v>120547866.39</v>
      </c>
      <c r="F21" s="21">
        <f t="shared" si="50"/>
        <v>0</v>
      </c>
      <c r="G21" s="21">
        <f t="shared" si="50"/>
        <v>0</v>
      </c>
      <c r="H21" s="21">
        <f t="shared" si="50"/>
        <v>0</v>
      </c>
      <c r="I21" s="21">
        <f t="shared" si="50"/>
        <v>0</v>
      </c>
      <c r="J21" s="21">
        <f t="shared" si="50"/>
        <v>0</v>
      </c>
      <c r="K21" s="21">
        <f t="shared" si="50"/>
        <v>0</v>
      </c>
      <c r="L21" s="21">
        <f t="shared" si="50"/>
        <v>0</v>
      </c>
      <c r="M21" s="21">
        <f t="shared" si="50"/>
        <v>0</v>
      </c>
      <c r="N21" s="21">
        <f t="shared" si="50"/>
        <v>0</v>
      </c>
      <c r="P21" s="20"/>
      <c r="Q21" s="20" t="s">
        <v>17</v>
      </c>
      <c r="R21" s="21">
        <f>SUM(R16:R20)</f>
        <v>109914098.98</v>
      </c>
      <c r="S21" s="21">
        <f t="shared" ref="S21:AC21" si="51">SUM(S16:S20)</f>
        <v>110890343.75</v>
      </c>
      <c r="T21" s="21">
        <f t="shared" si="51"/>
        <v>111866588.52</v>
      </c>
      <c r="U21" s="21">
        <f t="shared" si="51"/>
        <v>0</v>
      </c>
      <c r="V21" s="21">
        <f t="shared" si="51"/>
        <v>0</v>
      </c>
      <c r="W21" s="21">
        <f t="shared" si="51"/>
        <v>0</v>
      </c>
      <c r="X21" s="21">
        <f t="shared" si="51"/>
        <v>0</v>
      </c>
      <c r="Y21" s="21">
        <f t="shared" si="51"/>
        <v>0</v>
      </c>
      <c r="Z21" s="21">
        <f t="shared" si="51"/>
        <v>0</v>
      </c>
      <c r="AA21" s="21">
        <f t="shared" si="51"/>
        <v>0</v>
      </c>
      <c r="AB21" s="21">
        <f t="shared" si="51"/>
        <v>0</v>
      </c>
      <c r="AC21" s="21">
        <f t="shared" si="51"/>
        <v>0</v>
      </c>
      <c r="AE21" s="20"/>
      <c r="AF21" s="20" t="s">
        <v>17</v>
      </c>
      <c r="AG21" s="23">
        <f t="shared" si="26"/>
        <v>8717483.0400000066</v>
      </c>
      <c r="AH21" s="23">
        <f t="shared" si="27"/>
        <v>7.3483661699212037</v>
      </c>
      <c r="AI21" s="23">
        <f t="shared" si="28"/>
        <v>8683673.2199999988</v>
      </c>
      <c r="AJ21" s="23">
        <f t="shared" si="29"/>
        <v>7.2621740408525799</v>
      </c>
      <c r="AK21" s="23">
        <f t="shared" si="30"/>
        <v>8681277.8700000048</v>
      </c>
      <c r="AL21" s="23">
        <f t="shared" si="31"/>
        <v>7.2015193051315238</v>
      </c>
      <c r="AM21" s="23">
        <f t="shared" si="32"/>
        <v>0</v>
      </c>
      <c r="AN21" s="23" t="e">
        <f t="shared" si="33"/>
        <v>#DIV/0!</v>
      </c>
      <c r="AO21" s="23">
        <f t="shared" si="34"/>
        <v>0</v>
      </c>
      <c r="AP21" s="23" t="e">
        <f t="shared" si="35"/>
        <v>#DIV/0!</v>
      </c>
      <c r="AQ21" s="23">
        <f t="shared" si="36"/>
        <v>0</v>
      </c>
      <c r="AR21" s="23" t="e">
        <f t="shared" si="37"/>
        <v>#DIV/0!</v>
      </c>
      <c r="AS21" s="23">
        <f t="shared" si="38"/>
        <v>0</v>
      </c>
      <c r="AT21" s="23" t="e">
        <f t="shared" si="39"/>
        <v>#DIV/0!</v>
      </c>
      <c r="AU21" s="23">
        <f t="shared" si="40"/>
        <v>0</v>
      </c>
      <c r="AV21" s="23" t="e">
        <f t="shared" si="41"/>
        <v>#DIV/0!</v>
      </c>
      <c r="AW21" s="23">
        <f t="shared" si="42"/>
        <v>0</v>
      </c>
      <c r="AX21" s="23" t="e">
        <f t="shared" si="43"/>
        <v>#DIV/0!</v>
      </c>
      <c r="AY21" s="23">
        <f t="shared" si="44"/>
        <v>0</v>
      </c>
      <c r="AZ21" s="23" t="e">
        <f t="shared" si="45"/>
        <v>#DIV/0!</v>
      </c>
      <c r="BA21" s="23">
        <f t="shared" si="46"/>
        <v>0</v>
      </c>
      <c r="BB21" s="23" t="e">
        <f t="shared" si="47"/>
        <v>#DIV/0!</v>
      </c>
      <c r="BC21" s="23">
        <f t="shared" si="48"/>
        <v>0</v>
      </c>
      <c r="BD21" s="23" t="e">
        <f t="shared" si="49"/>
        <v>#DIV/0!</v>
      </c>
    </row>
    <row r="22" spans="1:56" ht="25.2" thickTop="1"/>
    <row r="23" spans="1:56">
      <c r="A23" s="37" t="s">
        <v>47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P23" s="37" t="s">
        <v>51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E23" s="37" t="s">
        <v>88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</row>
    <row r="24" spans="1:56">
      <c r="A24" s="37" t="s">
        <v>1948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P24" s="37" t="s">
        <v>1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E24" s="37" t="s">
        <v>1</v>
      </c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</row>
    <row r="25" spans="1:56" s="25" customFormat="1">
      <c r="A25" s="35" t="s">
        <v>2</v>
      </c>
      <c r="B25" s="35" t="s">
        <v>3</v>
      </c>
      <c r="C25" s="38" t="s">
        <v>4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P25" s="35" t="s">
        <v>2</v>
      </c>
      <c r="Q25" s="35" t="s">
        <v>3</v>
      </c>
      <c r="R25" s="38" t="s">
        <v>5</v>
      </c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/>
      <c r="AE25" s="35" t="s">
        <v>2</v>
      </c>
      <c r="AF25" s="35" t="s">
        <v>3</v>
      </c>
      <c r="AG25" s="33">
        <v>25112</v>
      </c>
      <c r="AH25" s="34"/>
      <c r="AI25" s="33">
        <v>25143</v>
      </c>
      <c r="AJ25" s="34"/>
      <c r="AK25" s="33">
        <v>25173</v>
      </c>
      <c r="AL25" s="34"/>
      <c r="AM25" s="33">
        <v>25204</v>
      </c>
      <c r="AN25" s="34"/>
      <c r="AO25" s="33">
        <v>25235</v>
      </c>
      <c r="AP25" s="34"/>
      <c r="AQ25" s="33">
        <v>25263</v>
      </c>
      <c r="AR25" s="34"/>
      <c r="AS25" s="33">
        <v>25294</v>
      </c>
      <c r="AT25" s="34"/>
      <c r="AU25" s="33">
        <v>25324</v>
      </c>
      <c r="AV25" s="34"/>
      <c r="AW25" s="33">
        <v>25355</v>
      </c>
      <c r="AX25" s="34"/>
      <c r="AY25" s="33">
        <v>25385</v>
      </c>
      <c r="AZ25" s="34"/>
      <c r="BA25" s="33">
        <v>25416</v>
      </c>
      <c r="BB25" s="34"/>
      <c r="BC25" s="33">
        <v>25447</v>
      </c>
      <c r="BD25" s="34"/>
    </row>
    <row r="26" spans="1:56" s="25" customFormat="1">
      <c r="A26" s="36"/>
      <c r="B26" s="36"/>
      <c r="C26" s="16">
        <v>25112</v>
      </c>
      <c r="D26" s="16">
        <v>25143</v>
      </c>
      <c r="E26" s="16">
        <v>25173</v>
      </c>
      <c r="F26" s="16">
        <v>25204</v>
      </c>
      <c r="G26" s="16">
        <v>25235</v>
      </c>
      <c r="H26" s="16">
        <v>25263</v>
      </c>
      <c r="I26" s="16">
        <v>25294</v>
      </c>
      <c r="J26" s="16">
        <v>25324</v>
      </c>
      <c r="K26" s="16">
        <v>25355</v>
      </c>
      <c r="L26" s="16">
        <v>25385</v>
      </c>
      <c r="M26" s="16">
        <v>25416</v>
      </c>
      <c r="N26" s="16">
        <v>25447</v>
      </c>
      <c r="P26" s="36"/>
      <c r="Q26" s="36"/>
      <c r="R26" s="16">
        <v>25112</v>
      </c>
      <c r="S26" s="16">
        <v>25143</v>
      </c>
      <c r="T26" s="16">
        <v>25173</v>
      </c>
      <c r="U26" s="16">
        <v>25204</v>
      </c>
      <c r="V26" s="16">
        <v>25235</v>
      </c>
      <c r="W26" s="16">
        <v>25263</v>
      </c>
      <c r="X26" s="16">
        <v>25294</v>
      </c>
      <c r="Y26" s="16">
        <v>25324</v>
      </c>
      <c r="Z26" s="16">
        <v>25355</v>
      </c>
      <c r="AA26" s="16">
        <v>25385</v>
      </c>
      <c r="AB26" s="16">
        <v>25416</v>
      </c>
      <c r="AC26" s="16">
        <v>25447</v>
      </c>
      <c r="AE26" s="36"/>
      <c r="AF26" s="36"/>
      <c r="AG26" s="16" t="s">
        <v>85</v>
      </c>
      <c r="AH26" s="16" t="s">
        <v>86</v>
      </c>
      <c r="AI26" s="16" t="s">
        <v>85</v>
      </c>
      <c r="AJ26" s="16" t="s">
        <v>86</v>
      </c>
      <c r="AK26" s="16" t="s">
        <v>85</v>
      </c>
      <c r="AL26" s="16" t="s">
        <v>86</v>
      </c>
      <c r="AM26" s="16" t="s">
        <v>85</v>
      </c>
      <c r="AN26" s="16" t="s">
        <v>86</v>
      </c>
      <c r="AO26" s="16" t="s">
        <v>85</v>
      </c>
      <c r="AP26" s="16" t="s">
        <v>86</v>
      </c>
      <c r="AQ26" s="16" t="s">
        <v>85</v>
      </c>
      <c r="AR26" s="16" t="s">
        <v>86</v>
      </c>
      <c r="AS26" s="16" t="s">
        <v>85</v>
      </c>
      <c r="AT26" s="16" t="s">
        <v>86</v>
      </c>
      <c r="AU26" s="16" t="s">
        <v>85</v>
      </c>
      <c r="AV26" s="16" t="s">
        <v>86</v>
      </c>
      <c r="AW26" s="16" t="s">
        <v>85</v>
      </c>
      <c r="AX26" s="16" t="s">
        <v>86</v>
      </c>
      <c r="AY26" s="16" t="s">
        <v>85</v>
      </c>
      <c r="AZ26" s="16" t="s">
        <v>86</v>
      </c>
      <c r="BA26" s="16" t="s">
        <v>85</v>
      </c>
      <c r="BB26" s="16" t="s">
        <v>86</v>
      </c>
      <c r="BC26" s="16" t="s">
        <v>85</v>
      </c>
      <c r="BD26" s="16" t="s">
        <v>86</v>
      </c>
    </row>
    <row r="27" spans="1:56">
      <c r="A27" s="17">
        <v>1</v>
      </c>
      <c r="B27" s="18" t="s">
        <v>18</v>
      </c>
      <c r="C27" s="19">
        <v>2301730</v>
      </c>
      <c r="D27" s="19">
        <v>2301730</v>
      </c>
      <c r="E27" s="19">
        <v>2301730</v>
      </c>
      <c r="F27" s="19"/>
      <c r="G27" s="19"/>
      <c r="H27" s="19"/>
      <c r="I27" s="19"/>
      <c r="J27" s="19"/>
      <c r="K27" s="19"/>
      <c r="L27" s="19">
        <v>104270</v>
      </c>
      <c r="M27" s="19"/>
      <c r="N27" s="19"/>
      <c r="O27" s="26"/>
      <c r="P27" s="17">
        <v>1</v>
      </c>
      <c r="Q27" s="18" t="s">
        <v>18</v>
      </c>
      <c r="R27" s="19">
        <v>5374985</v>
      </c>
      <c r="S27" s="19">
        <v>5374985</v>
      </c>
      <c r="T27" s="19">
        <v>5374985</v>
      </c>
      <c r="U27" s="19"/>
      <c r="V27" s="19"/>
      <c r="W27" s="19"/>
      <c r="X27" s="19"/>
      <c r="Y27" s="19"/>
      <c r="Z27" s="19"/>
      <c r="AA27" s="19">
        <v>104270</v>
      </c>
      <c r="AB27" s="19"/>
      <c r="AC27" s="19"/>
      <c r="AE27" s="17">
        <v>1</v>
      </c>
      <c r="AF27" s="18" t="s">
        <v>18</v>
      </c>
      <c r="AG27" s="19">
        <f t="shared" ref="AG27:AG41" si="52">+C27-R27</f>
        <v>-3073255</v>
      </c>
      <c r="AH27" s="19">
        <f t="shared" ref="AH27:AH41" si="53">+AG27/C27*100</f>
        <v>-133.51935283460702</v>
      </c>
      <c r="AI27" s="19">
        <f t="shared" ref="AI27:AI41" si="54">+D27-S27</f>
        <v>-3073255</v>
      </c>
      <c r="AJ27" s="19">
        <f t="shared" ref="AJ27:AJ41" si="55">+AI27/D27*100</f>
        <v>-133.51935283460702</v>
      </c>
      <c r="AK27" s="19">
        <f t="shared" ref="AK27:AK41" si="56">+E27-T27</f>
        <v>-3073255</v>
      </c>
      <c r="AL27" s="19">
        <f t="shared" ref="AL27:AL41" si="57">+AK27/E27*100</f>
        <v>-133.51935283460702</v>
      </c>
      <c r="AM27" s="19">
        <f t="shared" ref="AM27:AM41" si="58">+F27-U27</f>
        <v>0</v>
      </c>
      <c r="AN27" s="19" t="e">
        <f t="shared" ref="AN27:AN41" si="59">+AM27/F27*100</f>
        <v>#DIV/0!</v>
      </c>
      <c r="AO27" s="19">
        <f t="shared" ref="AO27:AO41" si="60">+G27-V27</f>
        <v>0</v>
      </c>
      <c r="AP27" s="19" t="e">
        <f t="shared" ref="AP27:AP41" si="61">+AO27/G27*100</f>
        <v>#DIV/0!</v>
      </c>
      <c r="AQ27" s="19">
        <f t="shared" ref="AQ27:AQ41" si="62">+H27-W27</f>
        <v>0</v>
      </c>
      <c r="AR27" s="19" t="e">
        <f t="shared" ref="AR27:AR41" si="63">+AQ27/H27*100</f>
        <v>#DIV/0!</v>
      </c>
      <c r="AS27" s="19">
        <f t="shared" ref="AS27:AS41" si="64">+I27-X27</f>
        <v>0</v>
      </c>
      <c r="AT27" s="19" t="e">
        <f t="shared" ref="AT27:AT41" si="65">+AS27/I27*100</f>
        <v>#DIV/0!</v>
      </c>
      <c r="AU27" s="19">
        <f t="shared" ref="AU27:AU41" si="66">+J27-Y27</f>
        <v>0</v>
      </c>
      <c r="AV27" s="19" t="e">
        <f t="shared" ref="AV27:AV41" si="67">+AU27/J27*100</f>
        <v>#DIV/0!</v>
      </c>
      <c r="AW27" s="19">
        <f t="shared" ref="AW27:AW41" si="68">+K27-Z27</f>
        <v>0</v>
      </c>
      <c r="AX27" s="19" t="e">
        <f t="shared" ref="AX27:AX41" si="69">+AW27/K27*100</f>
        <v>#DIV/0!</v>
      </c>
      <c r="AY27" s="19">
        <f t="shared" ref="AY27:AY41" si="70">+L27-AA27</f>
        <v>0</v>
      </c>
      <c r="AZ27" s="19">
        <f t="shared" ref="AZ27:AZ41" si="71">+AY27/L27*100</f>
        <v>0</v>
      </c>
      <c r="BA27" s="19">
        <f t="shared" ref="BA27:BA41" si="72">+M27-AB27</f>
        <v>0</v>
      </c>
      <c r="BB27" s="19" t="e">
        <f t="shared" ref="BB27:BB41" si="73">+BA27/M27*100</f>
        <v>#DIV/0!</v>
      </c>
      <c r="BC27" s="19">
        <f t="shared" ref="BC27:BC41" si="74">+N27-AC27</f>
        <v>0</v>
      </c>
      <c r="BD27" s="19" t="e">
        <f t="shared" ref="BD27:BD41" si="75">+BC27/N27*100</f>
        <v>#DIV/0!</v>
      </c>
    </row>
    <row r="28" spans="1:56">
      <c r="A28" s="17">
        <v>2</v>
      </c>
      <c r="B28" s="18" t="s">
        <v>20</v>
      </c>
      <c r="C28" s="19">
        <v>4499630</v>
      </c>
      <c r="D28" s="19">
        <v>4499630</v>
      </c>
      <c r="E28" s="19">
        <v>4499630</v>
      </c>
      <c r="F28" s="19"/>
      <c r="G28" s="19"/>
      <c r="H28" s="19"/>
      <c r="I28" s="19"/>
      <c r="J28" s="19"/>
      <c r="K28" s="19"/>
      <c r="L28" s="19">
        <v>1645000</v>
      </c>
      <c r="M28" s="19"/>
      <c r="N28" s="19"/>
      <c r="O28" s="26"/>
      <c r="P28" s="17">
        <v>2</v>
      </c>
      <c r="Q28" s="18" t="s">
        <v>20</v>
      </c>
      <c r="R28" s="19">
        <v>14462800</v>
      </c>
      <c r="S28" s="19">
        <v>14462800</v>
      </c>
      <c r="T28" s="19">
        <v>14462800</v>
      </c>
      <c r="U28" s="19"/>
      <c r="V28" s="19"/>
      <c r="W28" s="19"/>
      <c r="X28" s="19"/>
      <c r="Y28" s="19"/>
      <c r="Z28" s="19"/>
      <c r="AA28" s="19">
        <v>1645000</v>
      </c>
      <c r="AB28" s="19"/>
      <c r="AC28" s="19"/>
      <c r="AE28" s="17">
        <v>2</v>
      </c>
      <c r="AF28" s="18" t="s">
        <v>20</v>
      </c>
      <c r="AG28" s="19">
        <f t="shared" si="52"/>
        <v>-9963170</v>
      </c>
      <c r="AH28" s="19">
        <f t="shared" si="53"/>
        <v>-221.42198358531701</v>
      </c>
      <c r="AI28" s="19">
        <f t="shared" si="54"/>
        <v>-9963170</v>
      </c>
      <c r="AJ28" s="19">
        <f t="shared" si="55"/>
        <v>-221.42198358531701</v>
      </c>
      <c r="AK28" s="19">
        <f t="shared" si="56"/>
        <v>-9963170</v>
      </c>
      <c r="AL28" s="19">
        <f t="shared" si="57"/>
        <v>-221.42198358531701</v>
      </c>
      <c r="AM28" s="19">
        <f t="shared" si="58"/>
        <v>0</v>
      </c>
      <c r="AN28" s="19" t="e">
        <f t="shared" si="59"/>
        <v>#DIV/0!</v>
      </c>
      <c r="AO28" s="19">
        <f t="shared" si="60"/>
        <v>0</v>
      </c>
      <c r="AP28" s="19" t="e">
        <f t="shared" si="61"/>
        <v>#DIV/0!</v>
      </c>
      <c r="AQ28" s="19">
        <f t="shared" si="62"/>
        <v>0</v>
      </c>
      <c r="AR28" s="19" t="e">
        <f t="shared" si="63"/>
        <v>#DIV/0!</v>
      </c>
      <c r="AS28" s="19">
        <f t="shared" si="64"/>
        <v>0</v>
      </c>
      <c r="AT28" s="19" t="e">
        <f t="shared" si="65"/>
        <v>#DIV/0!</v>
      </c>
      <c r="AU28" s="19">
        <f t="shared" si="66"/>
        <v>0</v>
      </c>
      <c r="AV28" s="19" t="e">
        <f t="shared" si="67"/>
        <v>#DIV/0!</v>
      </c>
      <c r="AW28" s="19">
        <f t="shared" si="68"/>
        <v>0</v>
      </c>
      <c r="AX28" s="19" t="e">
        <f t="shared" si="69"/>
        <v>#DIV/0!</v>
      </c>
      <c r="AY28" s="19">
        <f t="shared" si="70"/>
        <v>0</v>
      </c>
      <c r="AZ28" s="19">
        <f t="shared" si="71"/>
        <v>0</v>
      </c>
      <c r="BA28" s="19">
        <f t="shared" si="72"/>
        <v>0</v>
      </c>
      <c r="BB28" s="19" t="e">
        <f t="shared" si="73"/>
        <v>#DIV/0!</v>
      </c>
      <c r="BC28" s="19">
        <f t="shared" si="74"/>
        <v>0</v>
      </c>
      <c r="BD28" s="19" t="e">
        <f t="shared" si="75"/>
        <v>#DIV/0!</v>
      </c>
    </row>
    <row r="29" spans="1:56">
      <c r="A29" s="17">
        <v>3</v>
      </c>
      <c r="B29" s="18" t="s">
        <v>22</v>
      </c>
      <c r="C29" s="19"/>
      <c r="D29" s="19"/>
      <c r="E29" s="19"/>
      <c r="F29" s="19"/>
      <c r="G29" s="19"/>
      <c r="H29" s="19"/>
      <c r="I29" s="19"/>
      <c r="J29" s="19"/>
      <c r="K29" s="19"/>
      <c r="L29" s="19">
        <v>745000</v>
      </c>
      <c r="M29" s="19"/>
      <c r="N29" s="19"/>
      <c r="O29" s="26"/>
      <c r="P29" s="17">
        <v>3</v>
      </c>
      <c r="Q29" s="18" t="s">
        <v>22</v>
      </c>
      <c r="R29" s="19">
        <v>1780000</v>
      </c>
      <c r="S29" s="19">
        <v>1780000</v>
      </c>
      <c r="T29" s="19">
        <v>1780000</v>
      </c>
      <c r="U29" s="19"/>
      <c r="V29" s="19"/>
      <c r="W29" s="19"/>
      <c r="X29" s="19"/>
      <c r="Y29" s="19"/>
      <c r="Z29" s="19"/>
      <c r="AA29" s="19">
        <v>745000</v>
      </c>
      <c r="AB29" s="19"/>
      <c r="AC29" s="19"/>
      <c r="AE29" s="17">
        <v>3</v>
      </c>
      <c r="AF29" s="18" t="s">
        <v>22</v>
      </c>
      <c r="AG29" s="19">
        <f t="shared" si="52"/>
        <v>-1780000</v>
      </c>
      <c r="AH29" s="19" t="e">
        <f t="shared" si="53"/>
        <v>#DIV/0!</v>
      </c>
      <c r="AI29" s="19">
        <f t="shared" si="54"/>
        <v>-1780000</v>
      </c>
      <c r="AJ29" s="19" t="e">
        <f t="shared" si="55"/>
        <v>#DIV/0!</v>
      </c>
      <c r="AK29" s="19">
        <f t="shared" si="56"/>
        <v>-1780000</v>
      </c>
      <c r="AL29" s="19" t="e">
        <f t="shared" si="57"/>
        <v>#DIV/0!</v>
      </c>
      <c r="AM29" s="19">
        <f t="shared" si="58"/>
        <v>0</v>
      </c>
      <c r="AN29" s="19" t="e">
        <f t="shared" si="59"/>
        <v>#DIV/0!</v>
      </c>
      <c r="AO29" s="19">
        <f t="shared" si="60"/>
        <v>0</v>
      </c>
      <c r="AP29" s="19" t="e">
        <f t="shared" si="61"/>
        <v>#DIV/0!</v>
      </c>
      <c r="AQ29" s="19">
        <f t="shared" si="62"/>
        <v>0</v>
      </c>
      <c r="AR29" s="19" t="e">
        <f t="shared" si="63"/>
        <v>#DIV/0!</v>
      </c>
      <c r="AS29" s="19">
        <f t="shared" si="64"/>
        <v>0</v>
      </c>
      <c r="AT29" s="19" t="e">
        <f t="shared" si="65"/>
        <v>#DIV/0!</v>
      </c>
      <c r="AU29" s="19">
        <f t="shared" si="66"/>
        <v>0</v>
      </c>
      <c r="AV29" s="19" t="e">
        <f t="shared" si="67"/>
        <v>#DIV/0!</v>
      </c>
      <c r="AW29" s="19">
        <f t="shared" si="68"/>
        <v>0</v>
      </c>
      <c r="AX29" s="19" t="e">
        <f t="shared" si="69"/>
        <v>#DIV/0!</v>
      </c>
      <c r="AY29" s="19">
        <f t="shared" si="70"/>
        <v>0</v>
      </c>
      <c r="AZ29" s="19">
        <f t="shared" si="71"/>
        <v>0</v>
      </c>
      <c r="BA29" s="19">
        <f t="shared" si="72"/>
        <v>0</v>
      </c>
      <c r="BB29" s="19" t="e">
        <f t="shared" si="73"/>
        <v>#DIV/0!</v>
      </c>
      <c r="BC29" s="19">
        <f t="shared" si="74"/>
        <v>0</v>
      </c>
      <c r="BD29" s="19" t="e">
        <f t="shared" si="75"/>
        <v>#DIV/0!</v>
      </c>
    </row>
    <row r="30" spans="1:56">
      <c r="A30" s="17">
        <v>4</v>
      </c>
      <c r="B30" s="18" t="s">
        <v>24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6"/>
      <c r="P30" s="17">
        <v>4</v>
      </c>
      <c r="Q30" s="18" t="s">
        <v>24</v>
      </c>
      <c r="R30" s="19">
        <v>118020</v>
      </c>
      <c r="S30" s="19">
        <v>118020</v>
      </c>
      <c r="T30" s="19">
        <v>118020</v>
      </c>
      <c r="U30" s="19"/>
      <c r="V30" s="19"/>
      <c r="W30" s="19"/>
      <c r="X30" s="19"/>
      <c r="Y30" s="19"/>
      <c r="Z30" s="19"/>
      <c r="AA30" s="19"/>
      <c r="AB30" s="19"/>
      <c r="AC30" s="19"/>
      <c r="AE30" s="17">
        <v>4</v>
      </c>
      <c r="AF30" s="18" t="s">
        <v>24</v>
      </c>
      <c r="AG30" s="19">
        <f t="shared" si="52"/>
        <v>-118020</v>
      </c>
      <c r="AH30" s="19" t="e">
        <f t="shared" si="53"/>
        <v>#DIV/0!</v>
      </c>
      <c r="AI30" s="19">
        <f t="shared" si="54"/>
        <v>-118020</v>
      </c>
      <c r="AJ30" s="19" t="e">
        <f t="shared" si="55"/>
        <v>#DIV/0!</v>
      </c>
      <c r="AK30" s="19">
        <f t="shared" si="56"/>
        <v>-118020</v>
      </c>
      <c r="AL30" s="19" t="e">
        <f t="shared" si="57"/>
        <v>#DIV/0!</v>
      </c>
      <c r="AM30" s="19">
        <f t="shared" si="58"/>
        <v>0</v>
      </c>
      <c r="AN30" s="19" t="e">
        <f t="shared" si="59"/>
        <v>#DIV/0!</v>
      </c>
      <c r="AO30" s="19">
        <f t="shared" si="60"/>
        <v>0</v>
      </c>
      <c r="AP30" s="19" t="e">
        <f t="shared" si="61"/>
        <v>#DIV/0!</v>
      </c>
      <c r="AQ30" s="19">
        <f t="shared" si="62"/>
        <v>0</v>
      </c>
      <c r="AR30" s="19" t="e">
        <f t="shared" si="63"/>
        <v>#DIV/0!</v>
      </c>
      <c r="AS30" s="19">
        <f t="shared" si="64"/>
        <v>0</v>
      </c>
      <c r="AT30" s="19" t="e">
        <f t="shared" si="65"/>
        <v>#DIV/0!</v>
      </c>
      <c r="AU30" s="19">
        <f t="shared" si="66"/>
        <v>0</v>
      </c>
      <c r="AV30" s="19" t="e">
        <f t="shared" si="67"/>
        <v>#DIV/0!</v>
      </c>
      <c r="AW30" s="19">
        <f t="shared" si="68"/>
        <v>0</v>
      </c>
      <c r="AX30" s="19" t="e">
        <f t="shared" si="69"/>
        <v>#DIV/0!</v>
      </c>
      <c r="AY30" s="19">
        <f t="shared" si="70"/>
        <v>0</v>
      </c>
      <c r="AZ30" s="19" t="e">
        <f t="shared" si="71"/>
        <v>#DIV/0!</v>
      </c>
      <c r="BA30" s="19">
        <f t="shared" si="72"/>
        <v>0</v>
      </c>
      <c r="BB30" s="19" t="e">
        <f t="shared" si="73"/>
        <v>#DIV/0!</v>
      </c>
      <c r="BC30" s="19">
        <f t="shared" si="74"/>
        <v>0</v>
      </c>
      <c r="BD30" s="19" t="e">
        <f t="shared" si="75"/>
        <v>#DIV/0!</v>
      </c>
    </row>
    <row r="31" spans="1:56">
      <c r="A31" s="17">
        <v>5</v>
      </c>
      <c r="B31" s="18" t="s">
        <v>26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6"/>
      <c r="P31" s="17">
        <v>5</v>
      </c>
      <c r="Q31" s="18" t="s">
        <v>26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E31" s="17">
        <v>5</v>
      </c>
      <c r="AF31" s="18" t="s">
        <v>26</v>
      </c>
      <c r="AG31" s="19">
        <f t="shared" si="52"/>
        <v>0</v>
      </c>
      <c r="AH31" s="19" t="e">
        <f t="shared" si="53"/>
        <v>#DIV/0!</v>
      </c>
      <c r="AI31" s="19">
        <f t="shared" si="54"/>
        <v>0</v>
      </c>
      <c r="AJ31" s="19" t="e">
        <f t="shared" si="55"/>
        <v>#DIV/0!</v>
      </c>
      <c r="AK31" s="19">
        <f t="shared" si="56"/>
        <v>0</v>
      </c>
      <c r="AL31" s="19" t="e">
        <f t="shared" si="57"/>
        <v>#DIV/0!</v>
      </c>
      <c r="AM31" s="19">
        <f t="shared" si="58"/>
        <v>0</v>
      </c>
      <c r="AN31" s="19" t="e">
        <f t="shared" si="59"/>
        <v>#DIV/0!</v>
      </c>
      <c r="AO31" s="19">
        <f t="shared" si="60"/>
        <v>0</v>
      </c>
      <c r="AP31" s="19" t="e">
        <f t="shared" si="61"/>
        <v>#DIV/0!</v>
      </c>
      <c r="AQ31" s="19">
        <f t="shared" si="62"/>
        <v>0</v>
      </c>
      <c r="AR31" s="19" t="e">
        <f t="shared" si="63"/>
        <v>#DIV/0!</v>
      </c>
      <c r="AS31" s="19">
        <f t="shared" si="64"/>
        <v>0</v>
      </c>
      <c r="AT31" s="19" t="e">
        <f t="shared" si="65"/>
        <v>#DIV/0!</v>
      </c>
      <c r="AU31" s="19">
        <f t="shared" si="66"/>
        <v>0</v>
      </c>
      <c r="AV31" s="19" t="e">
        <f t="shared" si="67"/>
        <v>#DIV/0!</v>
      </c>
      <c r="AW31" s="19">
        <f t="shared" si="68"/>
        <v>0</v>
      </c>
      <c r="AX31" s="19" t="e">
        <f t="shared" si="69"/>
        <v>#DIV/0!</v>
      </c>
      <c r="AY31" s="19">
        <f t="shared" si="70"/>
        <v>0</v>
      </c>
      <c r="AZ31" s="19" t="e">
        <f t="shared" si="71"/>
        <v>#DIV/0!</v>
      </c>
      <c r="BA31" s="19">
        <f t="shared" si="72"/>
        <v>0</v>
      </c>
      <c r="BB31" s="19" t="e">
        <f t="shared" si="73"/>
        <v>#DIV/0!</v>
      </c>
      <c r="BC31" s="19">
        <f t="shared" si="74"/>
        <v>0</v>
      </c>
      <c r="BD31" s="19" t="e">
        <f t="shared" si="75"/>
        <v>#DIV/0!</v>
      </c>
    </row>
    <row r="32" spans="1:56">
      <c r="A32" s="17">
        <v>6</v>
      </c>
      <c r="B32" s="18" t="s">
        <v>28</v>
      </c>
      <c r="C32" s="19">
        <v>59918417</v>
      </c>
      <c r="D32" s="19">
        <v>59918417</v>
      </c>
      <c r="E32" s="19">
        <v>59918417</v>
      </c>
      <c r="F32" s="19"/>
      <c r="G32" s="19"/>
      <c r="H32" s="19"/>
      <c r="I32" s="19"/>
      <c r="J32" s="19"/>
      <c r="K32" s="19"/>
      <c r="L32" s="19">
        <v>7908423</v>
      </c>
      <c r="M32" s="19"/>
      <c r="N32" s="19"/>
      <c r="O32" s="26"/>
      <c r="P32" s="17">
        <v>6</v>
      </c>
      <c r="Q32" s="18" t="s">
        <v>28</v>
      </c>
      <c r="R32" s="19">
        <v>71767580</v>
      </c>
      <c r="S32" s="19">
        <v>71767580</v>
      </c>
      <c r="T32" s="19">
        <v>71767580</v>
      </c>
      <c r="U32" s="19"/>
      <c r="V32" s="19"/>
      <c r="W32" s="19"/>
      <c r="X32" s="19"/>
      <c r="Y32" s="19"/>
      <c r="Z32" s="19"/>
      <c r="AA32" s="19">
        <v>7908423</v>
      </c>
      <c r="AB32" s="19"/>
      <c r="AC32" s="19"/>
      <c r="AE32" s="17">
        <v>6</v>
      </c>
      <c r="AF32" s="18" t="s">
        <v>28</v>
      </c>
      <c r="AG32" s="19">
        <f t="shared" si="52"/>
        <v>-11849163</v>
      </c>
      <c r="AH32" s="19">
        <f t="shared" si="53"/>
        <v>-19.77549406887702</v>
      </c>
      <c r="AI32" s="19">
        <f t="shared" si="54"/>
        <v>-11849163</v>
      </c>
      <c r="AJ32" s="19">
        <f t="shared" si="55"/>
        <v>-19.77549406887702</v>
      </c>
      <c r="AK32" s="19">
        <f t="shared" si="56"/>
        <v>-11849163</v>
      </c>
      <c r="AL32" s="19">
        <f t="shared" si="57"/>
        <v>-19.77549406887702</v>
      </c>
      <c r="AM32" s="19">
        <f t="shared" si="58"/>
        <v>0</v>
      </c>
      <c r="AN32" s="19" t="e">
        <f t="shared" si="59"/>
        <v>#DIV/0!</v>
      </c>
      <c r="AO32" s="19">
        <f t="shared" si="60"/>
        <v>0</v>
      </c>
      <c r="AP32" s="19" t="e">
        <f t="shared" si="61"/>
        <v>#DIV/0!</v>
      </c>
      <c r="AQ32" s="19">
        <f t="shared" si="62"/>
        <v>0</v>
      </c>
      <c r="AR32" s="19" t="e">
        <f t="shared" si="63"/>
        <v>#DIV/0!</v>
      </c>
      <c r="AS32" s="19">
        <f t="shared" si="64"/>
        <v>0</v>
      </c>
      <c r="AT32" s="19" t="e">
        <f t="shared" si="65"/>
        <v>#DIV/0!</v>
      </c>
      <c r="AU32" s="19">
        <f t="shared" si="66"/>
        <v>0</v>
      </c>
      <c r="AV32" s="19" t="e">
        <f t="shared" si="67"/>
        <v>#DIV/0!</v>
      </c>
      <c r="AW32" s="19">
        <f t="shared" si="68"/>
        <v>0</v>
      </c>
      <c r="AX32" s="19" t="e">
        <f t="shared" si="69"/>
        <v>#DIV/0!</v>
      </c>
      <c r="AY32" s="19">
        <f t="shared" si="70"/>
        <v>0</v>
      </c>
      <c r="AZ32" s="19">
        <f t="shared" si="71"/>
        <v>0</v>
      </c>
      <c r="BA32" s="19">
        <f t="shared" si="72"/>
        <v>0</v>
      </c>
      <c r="BB32" s="19" t="e">
        <f t="shared" si="73"/>
        <v>#DIV/0!</v>
      </c>
      <c r="BC32" s="19">
        <f t="shared" si="74"/>
        <v>0</v>
      </c>
      <c r="BD32" s="19" t="e">
        <f t="shared" si="75"/>
        <v>#DIV/0!</v>
      </c>
    </row>
    <row r="33" spans="1:56">
      <c r="A33" s="17">
        <v>7</v>
      </c>
      <c r="B33" s="18" t="s">
        <v>30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6"/>
      <c r="P33" s="17">
        <v>7</v>
      </c>
      <c r="Q33" s="18" t="s">
        <v>30</v>
      </c>
      <c r="R33" s="19">
        <v>773500</v>
      </c>
      <c r="S33" s="19">
        <v>773500</v>
      </c>
      <c r="T33" s="19">
        <v>773500</v>
      </c>
      <c r="U33" s="19"/>
      <c r="V33" s="19"/>
      <c r="W33" s="19"/>
      <c r="X33" s="19"/>
      <c r="Y33" s="19"/>
      <c r="Z33" s="19"/>
      <c r="AA33" s="19"/>
      <c r="AB33" s="19"/>
      <c r="AC33" s="19"/>
      <c r="AE33" s="17">
        <v>7</v>
      </c>
      <c r="AF33" s="18" t="s">
        <v>30</v>
      </c>
      <c r="AG33" s="19">
        <f t="shared" si="52"/>
        <v>-773500</v>
      </c>
      <c r="AH33" s="19" t="e">
        <f t="shared" si="53"/>
        <v>#DIV/0!</v>
      </c>
      <c r="AI33" s="19">
        <f t="shared" si="54"/>
        <v>-773500</v>
      </c>
      <c r="AJ33" s="19" t="e">
        <f t="shared" si="55"/>
        <v>#DIV/0!</v>
      </c>
      <c r="AK33" s="19">
        <f t="shared" si="56"/>
        <v>-773500</v>
      </c>
      <c r="AL33" s="19" t="e">
        <f t="shared" si="57"/>
        <v>#DIV/0!</v>
      </c>
      <c r="AM33" s="19">
        <f t="shared" si="58"/>
        <v>0</v>
      </c>
      <c r="AN33" s="19" t="e">
        <f t="shared" si="59"/>
        <v>#DIV/0!</v>
      </c>
      <c r="AO33" s="19">
        <f t="shared" si="60"/>
        <v>0</v>
      </c>
      <c r="AP33" s="19" t="e">
        <f t="shared" si="61"/>
        <v>#DIV/0!</v>
      </c>
      <c r="AQ33" s="19">
        <f t="shared" si="62"/>
        <v>0</v>
      </c>
      <c r="AR33" s="19" t="e">
        <f t="shared" si="63"/>
        <v>#DIV/0!</v>
      </c>
      <c r="AS33" s="19">
        <f t="shared" si="64"/>
        <v>0</v>
      </c>
      <c r="AT33" s="19" t="e">
        <f t="shared" si="65"/>
        <v>#DIV/0!</v>
      </c>
      <c r="AU33" s="19">
        <f t="shared" si="66"/>
        <v>0</v>
      </c>
      <c r="AV33" s="19" t="e">
        <f t="shared" si="67"/>
        <v>#DIV/0!</v>
      </c>
      <c r="AW33" s="19">
        <f t="shared" si="68"/>
        <v>0</v>
      </c>
      <c r="AX33" s="19" t="e">
        <f t="shared" si="69"/>
        <v>#DIV/0!</v>
      </c>
      <c r="AY33" s="19">
        <f t="shared" si="70"/>
        <v>0</v>
      </c>
      <c r="AZ33" s="19" t="e">
        <f t="shared" si="71"/>
        <v>#DIV/0!</v>
      </c>
      <c r="BA33" s="19">
        <f t="shared" si="72"/>
        <v>0</v>
      </c>
      <c r="BB33" s="19" t="e">
        <f t="shared" si="73"/>
        <v>#DIV/0!</v>
      </c>
      <c r="BC33" s="19">
        <f t="shared" si="74"/>
        <v>0</v>
      </c>
      <c r="BD33" s="19" t="e">
        <f t="shared" si="75"/>
        <v>#DIV/0!</v>
      </c>
    </row>
    <row r="34" spans="1:56">
      <c r="A34" s="17">
        <v>8</v>
      </c>
      <c r="B34" s="18" t="s">
        <v>32</v>
      </c>
      <c r="C34" s="19"/>
      <c r="D34" s="19"/>
      <c r="E34" s="19"/>
      <c r="F34" s="19"/>
      <c r="G34" s="19"/>
      <c r="H34" s="19"/>
      <c r="I34" s="19"/>
      <c r="J34" s="19"/>
      <c r="K34" s="19"/>
      <c r="L34" s="19">
        <v>18280</v>
      </c>
      <c r="M34" s="19"/>
      <c r="N34" s="19"/>
      <c r="O34" s="26"/>
      <c r="P34" s="17">
        <v>8</v>
      </c>
      <c r="Q34" s="18" t="s">
        <v>32</v>
      </c>
      <c r="R34" s="19">
        <v>1371400</v>
      </c>
      <c r="S34" s="19">
        <v>1371400</v>
      </c>
      <c r="T34" s="19">
        <v>1371400</v>
      </c>
      <c r="U34" s="19"/>
      <c r="V34" s="19"/>
      <c r="W34" s="19"/>
      <c r="X34" s="19"/>
      <c r="Y34" s="19"/>
      <c r="Z34" s="19"/>
      <c r="AA34" s="19">
        <v>18280</v>
      </c>
      <c r="AB34" s="19"/>
      <c r="AC34" s="19"/>
      <c r="AE34" s="17">
        <v>8</v>
      </c>
      <c r="AF34" s="18" t="s">
        <v>32</v>
      </c>
      <c r="AG34" s="19">
        <f t="shared" si="52"/>
        <v>-1371400</v>
      </c>
      <c r="AH34" s="19" t="e">
        <f t="shared" si="53"/>
        <v>#DIV/0!</v>
      </c>
      <c r="AI34" s="19">
        <f t="shared" si="54"/>
        <v>-1371400</v>
      </c>
      <c r="AJ34" s="19" t="e">
        <f t="shared" si="55"/>
        <v>#DIV/0!</v>
      </c>
      <c r="AK34" s="19">
        <f t="shared" si="56"/>
        <v>-1371400</v>
      </c>
      <c r="AL34" s="19" t="e">
        <f t="shared" si="57"/>
        <v>#DIV/0!</v>
      </c>
      <c r="AM34" s="19">
        <f t="shared" si="58"/>
        <v>0</v>
      </c>
      <c r="AN34" s="19" t="e">
        <f t="shared" si="59"/>
        <v>#DIV/0!</v>
      </c>
      <c r="AO34" s="19">
        <f t="shared" si="60"/>
        <v>0</v>
      </c>
      <c r="AP34" s="19" t="e">
        <f t="shared" si="61"/>
        <v>#DIV/0!</v>
      </c>
      <c r="AQ34" s="19">
        <f t="shared" si="62"/>
        <v>0</v>
      </c>
      <c r="AR34" s="19" t="e">
        <f t="shared" si="63"/>
        <v>#DIV/0!</v>
      </c>
      <c r="AS34" s="19">
        <f t="shared" si="64"/>
        <v>0</v>
      </c>
      <c r="AT34" s="19" t="e">
        <f t="shared" si="65"/>
        <v>#DIV/0!</v>
      </c>
      <c r="AU34" s="19">
        <f t="shared" si="66"/>
        <v>0</v>
      </c>
      <c r="AV34" s="19" t="e">
        <f t="shared" si="67"/>
        <v>#DIV/0!</v>
      </c>
      <c r="AW34" s="19">
        <f t="shared" si="68"/>
        <v>0</v>
      </c>
      <c r="AX34" s="19" t="e">
        <f t="shared" si="69"/>
        <v>#DIV/0!</v>
      </c>
      <c r="AY34" s="19">
        <f t="shared" si="70"/>
        <v>0</v>
      </c>
      <c r="AZ34" s="19">
        <f t="shared" si="71"/>
        <v>0</v>
      </c>
      <c r="BA34" s="19">
        <f t="shared" si="72"/>
        <v>0</v>
      </c>
      <c r="BB34" s="19" t="e">
        <f t="shared" si="73"/>
        <v>#DIV/0!</v>
      </c>
      <c r="BC34" s="19">
        <f t="shared" si="74"/>
        <v>0</v>
      </c>
      <c r="BD34" s="19" t="e">
        <f t="shared" si="75"/>
        <v>#DIV/0!</v>
      </c>
    </row>
    <row r="35" spans="1:56">
      <c r="A35" s="17">
        <v>9</v>
      </c>
      <c r="B35" s="18" t="s">
        <v>34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6"/>
      <c r="P35" s="17">
        <v>9</v>
      </c>
      <c r="Q35" s="18" t="s">
        <v>34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E35" s="17">
        <v>9</v>
      </c>
      <c r="AF35" s="18" t="s">
        <v>34</v>
      </c>
      <c r="AG35" s="19">
        <f t="shared" si="52"/>
        <v>0</v>
      </c>
      <c r="AH35" s="19" t="e">
        <f t="shared" si="53"/>
        <v>#DIV/0!</v>
      </c>
      <c r="AI35" s="19">
        <f t="shared" si="54"/>
        <v>0</v>
      </c>
      <c r="AJ35" s="19" t="e">
        <f t="shared" si="55"/>
        <v>#DIV/0!</v>
      </c>
      <c r="AK35" s="19">
        <f t="shared" si="56"/>
        <v>0</v>
      </c>
      <c r="AL35" s="19" t="e">
        <f t="shared" si="57"/>
        <v>#DIV/0!</v>
      </c>
      <c r="AM35" s="19">
        <f t="shared" si="58"/>
        <v>0</v>
      </c>
      <c r="AN35" s="19" t="e">
        <f t="shared" si="59"/>
        <v>#DIV/0!</v>
      </c>
      <c r="AO35" s="19">
        <f t="shared" si="60"/>
        <v>0</v>
      </c>
      <c r="AP35" s="19" t="e">
        <f t="shared" si="61"/>
        <v>#DIV/0!</v>
      </c>
      <c r="AQ35" s="19">
        <f t="shared" si="62"/>
        <v>0</v>
      </c>
      <c r="AR35" s="19" t="e">
        <f t="shared" si="63"/>
        <v>#DIV/0!</v>
      </c>
      <c r="AS35" s="19">
        <f t="shared" si="64"/>
        <v>0</v>
      </c>
      <c r="AT35" s="19" t="e">
        <f t="shared" si="65"/>
        <v>#DIV/0!</v>
      </c>
      <c r="AU35" s="19">
        <f t="shared" si="66"/>
        <v>0</v>
      </c>
      <c r="AV35" s="19" t="e">
        <f t="shared" si="67"/>
        <v>#DIV/0!</v>
      </c>
      <c r="AW35" s="19">
        <f t="shared" si="68"/>
        <v>0</v>
      </c>
      <c r="AX35" s="19" t="e">
        <f t="shared" si="69"/>
        <v>#DIV/0!</v>
      </c>
      <c r="AY35" s="19">
        <f t="shared" si="70"/>
        <v>0</v>
      </c>
      <c r="AZ35" s="19" t="e">
        <f t="shared" si="71"/>
        <v>#DIV/0!</v>
      </c>
      <c r="BA35" s="19">
        <f t="shared" si="72"/>
        <v>0</v>
      </c>
      <c r="BB35" s="19" t="e">
        <f t="shared" si="73"/>
        <v>#DIV/0!</v>
      </c>
      <c r="BC35" s="19">
        <f t="shared" si="74"/>
        <v>0</v>
      </c>
      <c r="BD35" s="19" t="e">
        <f t="shared" si="75"/>
        <v>#DIV/0!</v>
      </c>
    </row>
    <row r="36" spans="1:56">
      <c r="A36" s="17">
        <v>10</v>
      </c>
      <c r="B36" s="18" t="s">
        <v>36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6"/>
      <c r="P36" s="17">
        <v>10</v>
      </c>
      <c r="Q36" s="18" t="s">
        <v>36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E36" s="17">
        <v>10</v>
      </c>
      <c r="AF36" s="18" t="s">
        <v>36</v>
      </c>
      <c r="AG36" s="19">
        <f t="shared" si="52"/>
        <v>0</v>
      </c>
      <c r="AH36" s="19" t="e">
        <f t="shared" si="53"/>
        <v>#DIV/0!</v>
      </c>
      <c r="AI36" s="19">
        <f t="shared" si="54"/>
        <v>0</v>
      </c>
      <c r="AJ36" s="19" t="e">
        <f t="shared" si="55"/>
        <v>#DIV/0!</v>
      </c>
      <c r="AK36" s="19">
        <f t="shared" si="56"/>
        <v>0</v>
      </c>
      <c r="AL36" s="19" t="e">
        <f t="shared" si="57"/>
        <v>#DIV/0!</v>
      </c>
      <c r="AM36" s="19">
        <f t="shared" si="58"/>
        <v>0</v>
      </c>
      <c r="AN36" s="19" t="e">
        <f t="shared" si="59"/>
        <v>#DIV/0!</v>
      </c>
      <c r="AO36" s="19">
        <f t="shared" si="60"/>
        <v>0</v>
      </c>
      <c r="AP36" s="19" t="e">
        <f t="shared" si="61"/>
        <v>#DIV/0!</v>
      </c>
      <c r="AQ36" s="19">
        <f t="shared" si="62"/>
        <v>0</v>
      </c>
      <c r="AR36" s="19" t="e">
        <f t="shared" si="63"/>
        <v>#DIV/0!</v>
      </c>
      <c r="AS36" s="19">
        <f t="shared" si="64"/>
        <v>0</v>
      </c>
      <c r="AT36" s="19" t="e">
        <f t="shared" si="65"/>
        <v>#DIV/0!</v>
      </c>
      <c r="AU36" s="19">
        <f t="shared" si="66"/>
        <v>0</v>
      </c>
      <c r="AV36" s="19" t="e">
        <f t="shared" si="67"/>
        <v>#DIV/0!</v>
      </c>
      <c r="AW36" s="19">
        <f t="shared" si="68"/>
        <v>0</v>
      </c>
      <c r="AX36" s="19" t="e">
        <f t="shared" si="69"/>
        <v>#DIV/0!</v>
      </c>
      <c r="AY36" s="19">
        <f t="shared" si="70"/>
        <v>0</v>
      </c>
      <c r="AZ36" s="19" t="e">
        <f t="shared" si="71"/>
        <v>#DIV/0!</v>
      </c>
      <c r="BA36" s="19">
        <f t="shared" si="72"/>
        <v>0</v>
      </c>
      <c r="BB36" s="19" t="e">
        <f t="shared" si="73"/>
        <v>#DIV/0!</v>
      </c>
      <c r="BC36" s="19">
        <f t="shared" si="74"/>
        <v>0</v>
      </c>
      <c r="BD36" s="19" t="e">
        <f t="shared" si="75"/>
        <v>#DIV/0!</v>
      </c>
    </row>
    <row r="37" spans="1:56">
      <c r="A37" s="17">
        <v>11</v>
      </c>
      <c r="B37" s="18" t="s">
        <v>38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6"/>
      <c r="P37" s="17">
        <v>11</v>
      </c>
      <c r="Q37" s="18" t="s">
        <v>38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E37" s="17">
        <v>11</v>
      </c>
      <c r="AF37" s="18" t="s">
        <v>38</v>
      </c>
      <c r="AG37" s="19">
        <f t="shared" si="52"/>
        <v>0</v>
      </c>
      <c r="AH37" s="19" t="e">
        <f t="shared" si="53"/>
        <v>#DIV/0!</v>
      </c>
      <c r="AI37" s="19">
        <f t="shared" si="54"/>
        <v>0</v>
      </c>
      <c r="AJ37" s="19" t="e">
        <f t="shared" si="55"/>
        <v>#DIV/0!</v>
      </c>
      <c r="AK37" s="19">
        <f t="shared" si="56"/>
        <v>0</v>
      </c>
      <c r="AL37" s="19" t="e">
        <f t="shared" si="57"/>
        <v>#DIV/0!</v>
      </c>
      <c r="AM37" s="19">
        <f t="shared" si="58"/>
        <v>0</v>
      </c>
      <c r="AN37" s="19" t="e">
        <f t="shared" si="59"/>
        <v>#DIV/0!</v>
      </c>
      <c r="AO37" s="19">
        <f t="shared" si="60"/>
        <v>0</v>
      </c>
      <c r="AP37" s="19" t="e">
        <f t="shared" si="61"/>
        <v>#DIV/0!</v>
      </c>
      <c r="AQ37" s="19">
        <f t="shared" si="62"/>
        <v>0</v>
      </c>
      <c r="AR37" s="19" t="e">
        <f t="shared" si="63"/>
        <v>#DIV/0!</v>
      </c>
      <c r="AS37" s="19">
        <f t="shared" si="64"/>
        <v>0</v>
      </c>
      <c r="AT37" s="19" t="e">
        <f t="shared" si="65"/>
        <v>#DIV/0!</v>
      </c>
      <c r="AU37" s="19">
        <f t="shared" si="66"/>
        <v>0</v>
      </c>
      <c r="AV37" s="19" t="e">
        <f t="shared" si="67"/>
        <v>#DIV/0!</v>
      </c>
      <c r="AW37" s="19">
        <f t="shared" si="68"/>
        <v>0</v>
      </c>
      <c r="AX37" s="19" t="e">
        <f t="shared" si="69"/>
        <v>#DIV/0!</v>
      </c>
      <c r="AY37" s="19">
        <f t="shared" si="70"/>
        <v>0</v>
      </c>
      <c r="AZ37" s="19" t="e">
        <f t="shared" si="71"/>
        <v>#DIV/0!</v>
      </c>
      <c r="BA37" s="19">
        <f t="shared" si="72"/>
        <v>0</v>
      </c>
      <c r="BB37" s="19" t="e">
        <f t="shared" si="73"/>
        <v>#DIV/0!</v>
      </c>
      <c r="BC37" s="19">
        <f t="shared" si="74"/>
        <v>0</v>
      </c>
      <c r="BD37" s="19" t="e">
        <f t="shared" si="75"/>
        <v>#DIV/0!</v>
      </c>
    </row>
    <row r="38" spans="1:56">
      <c r="A38" s="17">
        <v>12</v>
      </c>
      <c r="B38" s="18" t="s">
        <v>40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6"/>
      <c r="P38" s="17">
        <v>12</v>
      </c>
      <c r="Q38" s="18" t="s">
        <v>40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E38" s="17">
        <v>12</v>
      </c>
      <c r="AF38" s="18" t="s">
        <v>40</v>
      </c>
      <c r="AG38" s="19">
        <f t="shared" si="52"/>
        <v>0</v>
      </c>
      <c r="AH38" s="19" t="e">
        <f t="shared" si="53"/>
        <v>#DIV/0!</v>
      </c>
      <c r="AI38" s="19">
        <f t="shared" si="54"/>
        <v>0</v>
      </c>
      <c r="AJ38" s="19" t="e">
        <f t="shared" si="55"/>
        <v>#DIV/0!</v>
      </c>
      <c r="AK38" s="19">
        <f t="shared" si="56"/>
        <v>0</v>
      </c>
      <c r="AL38" s="19" t="e">
        <f t="shared" si="57"/>
        <v>#DIV/0!</v>
      </c>
      <c r="AM38" s="19">
        <f t="shared" si="58"/>
        <v>0</v>
      </c>
      <c r="AN38" s="19" t="e">
        <f t="shared" si="59"/>
        <v>#DIV/0!</v>
      </c>
      <c r="AO38" s="19">
        <f t="shared" si="60"/>
        <v>0</v>
      </c>
      <c r="AP38" s="19" t="e">
        <f t="shared" si="61"/>
        <v>#DIV/0!</v>
      </c>
      <c r="AQ38" s="19">
        <f t="shared" si="62"/>
        <v>0</v>
      </c>
      <c r="AR38" s="19" t="e">
        <f t="shared" si="63"/>
        <v>#DIV/0!</v>
      </c>
      <c r="AS38" s="19">
        <f t="shared" si="64"/>
        <v>0</v>
      </c>
      <c r="AT38" s="19" t="e">
        <f t="shared" si="65"/>
        <v>#DIV/0!</v>
      </c>
      <c r="AU38" s="19">
        <f t="shared" si="66"/>
        <v>0</v>
      </c>
      <c r="AV38" s="19" t="e">
        <f t="shared" si="67"/>
        <v>#DIV/0!</v>
      </c>
      <c r="AW38" s="19">
        <f t="shared" si="68"/>
        <v>0</v>
      </c>
      <c r="AX38" s="19" t="e">
        <f t="shared" si="69"/>
        <v>#DIV/0!</v>
      </c>
      <c r="AY38" s="19">
        <f t="shared" si="70"/>
        <v>0</v>
      </c>
      <c r="AZ38" s="19" t="e">
        <f t="shared" si="71"/>
        <v>#DIV/0!</v>
      </c>
      <c r="BA38" s="19">
        <f t="shared" si="72"/>
        <v>0</v>
      </c>
      <c r="BB38" s="19" t="e">
        <f t="shared" si="73"/>
        <v>#DIV/0!</v>
      </c>
      <c r="BC38" s="19">
        <f t="shared" si="74"/>
        <v>0</v>
      </c>
      <c r="BD38" s="19" t="e">
        <f t="shared" si="75"/>
        <v>#DIV/0!</v>
      </c>
    </row>
    <row r="39" spans="1:56">
      <c r="A39" s="17">
        <v>13</v>
      </c>
      <c r="B39" s="18" t="s">
        <v>42</v>
      </c>
      <c r="C39" s="19"/>
      <c r="D39" s="19"/>
      <c r="E39" s="19"/>
      <c r="F39" s="19"/>
      <c r="G39" s="19"/>
      <c r="H39" s="19"/>
      <c r="I39" s="19"/>
      <c r="J39" s="19"/>
      <c r="K39" s="19"/>
      <c r="L39" s="19">
        <v>172860</v>
      </c>
      <c r="M39" s="19"/>
      <c r="N39" s="19"/>
      <c r="O39" s="26"/>
      <c r="P39" s="17">
        <v>13</v>
      </c>
      <c r="Q39" s="18" t="s">
        <v>42</v>
      </c>
      <c r="R39" s="19"/>
      <c r="S39" s="19"/>
      <c r="T39" s="19"/>
      <c r="U39" s="19"/>
      <c r="V39" s="19"/>
      <c r="W39" s="19"/>
      <c r="X39" s="19"/>
      <c r="Y39" s="19"/>
      <c r="Z39" s="19"/>
      <c r="AA39" s="19">
        <v>172860</v>
      </c>
      <c r="AB39" s="19"/>
      <c r="AC39" s="19"/>
      <c r="AE39" s="17">
        <v>13</v>
      </c>
      <c r="AF39" s="18" t="s">
        <v>42</v>
      </c>
      <c r="AG39" s="19">
        <f t="shared" si="52"/>
        <v>0</v>
      </c>
      <c r="AH39" s="19" t="e">
        <f t="shared" si="53"/>
        <v>#DIV/0!</v>
      </c>
      <c r="AI39" s="19">
        <f t="shared" si="54"/>
        <v>0</v>
      </c>
      <c r="AJ39" s="19" t="e">
        <f t="shared" si="55"/>
        <v>#DIV/0!</v>
      </c>
      <c r="AK39" s="19">
        <f t="shared" si="56"/>
        <v>0</v>
      </c>
      <c r="AL39" s="19" t="e">
        <f t="shared" si="57"/>
        <v>#DIV/0!</v>
      </c>
      <c r="AM39" s="19">
        <f t="shared" si="58"/>
        <v>0</v>
      </c>
      <c r="AN39" s="19" t="e">
        <f t="shared" si="59"/>
        <v>#DIV/0!</v>
      </c>
      <c r="AO39" s="19">
        <f t="shared" si="60"/>
        <v>0</v>
      </c>
      <c r="AP39" s="19" t="e">
        <f t="shared" si="61"/>
        <v>#DIV/0!</v>
      </c>
      <c r="AQ39" s="19">
        <f t="shared" si="62"/>
        <v>0</v>
      </c>
      <c r="AR39" s="19" t="e">
        <f t="shared" si="63"/>
        <v>#DIV/0!</v>
      </c>
      <c r="AS39" s="19">
        <f t="shared" si="64"/>
        <v>0</v>
      </c>
      <c r="AT39" s="19" t="e">
        <f t="shared" si="65"/>
        <v>#DIV/0!</v>
      </c>
      <c r="AU39" s="19">
        <f t="shared" si="66"/>
        <v>0</v>
      </c>
      <c r="AV39" s="19" t="e">
        <f t="shared" si="67"/>
        <v>#DIV/0!</v>
      </c>
      <c r="AW39" s="19">
        <f t="shared" si="68"/>
        <v>0</v>
      </c>
      <c r="AX39" s="19" t="e">
        <f t="shared" si="69"/>
        <v>#DIV/0!</v>
      </c>
      <c r="AY39" s="19">
        <f t="shared" si="70"/>
        <v>0</v>
      </c>
      <c r="AZ39" s="19">
        <f t="shared" si="71"/>
        <v>0</v>
      </c>
      <c r="BA39" s="19">
        <f t="shared" si="72"/>
        <v>0</v>
      </c>
      <c r="BB39" s="19" t="e">
        <f t="shared" si="73"/>
        <v>#DIV/0!</v>
      </c>
      <c r="BC39" s="19">
        <f t="shared" si="74"/>
        <v>0</v>
      </c>
      <c r="BD39" s="19" t="e">
        <f t="shared" si="75"/>
        <v>#DIV/0!</v>
      </c>
    </row>
    <row r="40" spans="1:56">
      <c r="A40" s="17">
        <v>14</v>
      </c>
      <c r="B40" s="18" t="s">
        <v>44</v>
      </c>
      <c r="C40" s="19"/>
      <c r="D40" s="19"/>
      <c r="E40" s="19"/>
      <c r="F40" s="19"/>
      <c r="G40" s="19"/>
      <c r="H40" s="19"/>
      <c r="I40" s="19"/>
      <c r="J40" s="19"/>
      <c r="K40" s="19"/>
      <c r="L40" s="19">
        <v>21400</v>
      </c>
      <c r="M40" s="19"/>
      <c r="N40" s="19"/>
      <c r="O40" s="26"/>
      <c r="P40" s="17">
        <v>14</v>
      </c>
      <c r="Q40" s="18" t="s">
        <v>44</v>
      </c>
      <c r="R40" s="19"/>
      <c r="S40" s="19"/>
      <c r="T40" s="19"/>
      <c r="U40" s="19"/>
      <c r="V40" s="19"/>
      <c r="W40" s="19"/>
      <c r="X40" s="19"/>
      <c r="Y40" s="19"/>
      <c r="Z40" s="19"/>
      <c r="AA40" s="19">
        <v>21400</v>
      </c>
      <c r="AB40" s="19"/>
      <c r="AC40" s="19"/>
      <c r="AE40" s="17">
        <v>14</v>
      </c>
      <c r="AF40" s="18" t="s">
        <v>44</v>
      </c>
      <c r="AG40" s="19">
        <f t="shared" si="52"/>
        <v>0</v>
      </c>
      <c r="AH40" s="19" t="e">
        <f t="shared" si="53"/>
        <v>#DIV/0!</v>
      </c>
      <c r="AI40" s="19">
        <f t="shared" si="54"/>
        <v>0</v>
      </c>
      <c r="AJ40" s="19" t="e">
        <f t="shared" si="55"/>
        <v>#DIV/0!</v>
      </c>
      <c r="AK40" s="19">
        <f t="shared" si="56"/>
        <v>0</v>
      </c>
      <c r="AL40" s="19" t="e">
        <f t="shared" si="57"/>
        <v>#DIV/0!</v>
      </c>
      <c r="AM40" s="19">
        <f t="shared" si="58"/>
        <v>0</v>
      </c>
      <c r="AN40" s="19" t="e">
        <f t="shared" si="59"/>
        <v>#DIV/0!</v>
      </c>
      <c r="AO40" s="19">
        <f t="shared" si="60"/>
        <v>0</v>
      </c>
      <c r="AP40" s="19" t="e">
        <f t="shared" si="61"/>
        <v>#DIV/0!</v>
      </c>
      <c r="AQ40" s="19">
        <f t="shared" si="62"/>
        <v>0</v>
      </c>
      <c r="AR40" s="19" t="e">
        <f t="shared" si="63"/>
        <v>#DIV/0!</v>
      </c>
      <c r="AS40" s="19">
        <f t="shared" si="64"/>
        <v>0</v>
      </c>
      <c r="AT40" s="19" t="e">
        <f t="shared" si="65"/>
        <v>#DIV/0!</v>
      </c>
      <c r="AU40" s="19">
        <f t="shared" si="66"/>
        <v>0</v>
      </c>
      <c r="AV40" s="19" t="e">
        <f t="shared" si="67"/>
        <v>#DIV/0!</v>
      </c>
      <c r="AW40" s="19">
        <f t="shared" si="68"/>
        <v>0</v>
      </c>
      <c r="AX40" s="19" t="e">
        <f t="shared" si="69"/>
        <v>#DIV/0!</v>
      </c>
      <c r="AY40" s="19">
        <f t="shared" si="70"/>
        <v>0</v>
      </c>
      <c r="AZ40" s="19">
        <f t="shared" si="71"/>
        <v>0</v>
      </c>
      <c r="BA40" s="19">
        <f t="shared" si="72"/>
        <v>0</v>
      </c>
      <c r="BB40" s="19" t="e">
        <f t="shared" si="73"/>
        <v>#DIV/0!</v>
      </c>
      <c r="BC40" s="19">
        <f t="shared" si="74"/>
        <v>0</v>
      </c>
      <c r="BD40" s="19" t="e">
        <f t="shared" si="75"/>
        <v>#DIV/0!</v>
      </c>
    </row>
    <row r="41" spans="1:56" ht="25.2" thickBot="1">
      <c r="A41" s="17"/>
      <c r="B41" s="20" t="s">
        <v>17</v>
      </c>
      <c r="C41" s="27">
        <f>SUM(C27:C40)</f>
        <v>66719777</v>
      </c>
      <c r="D41" s="27">
        <f t="shared" ref="D41:N41" si="76">SUM(D27:D40)</f>
        <v>66719777</v>
      </c>
      <c r="E41" s="27">
        <f t="shared" si="76"/>
        <v>66719777</v>
      </c>
      <c r="F41" s="27">
        <f t="shared" si="76"/>
        <v>0</v>
      </c>
      <c r="G41" s="27">
        <f t="shared" si="76"/>
        <v>0</v>
      </c>
      <c r="H41" s="27">
        <f t="shared" si="76"/>
        <v>0</v>
      </c>
      <c r="I41" s="27">
        <f t="shared" si="76"/>
        <v>0</v>
      </c>
      <c r="J41" s="27">
        <f t="shared" si="76"/>
        <v>0</v>
      </c>
      <c r="K41" s="27">
        <f t="shared" si="76"/>
        <v>0</v>
      </c>
      <c r="L41" s="27">
        <f t="shared" si="76"/>
        <v>10615233</v>
      </c>
      <c r="M41" s="27">
        <f t="shared" si="76"/>
        <v>0</v>
      </c>
      <c r="N41" s="27">
        <f t="shared" si="76"/>
        <v>0</v>
      </c>
      <c r="P41" s="17"/>
      <c r="Q41" s="20" t="s">
        <v>17</v>
      </c>
      <c r="R41" s="27">
        <f>SUM(R27:R40)</f>
        <v>95648285</v>
      </c>
      <c r="S41" s="27">
        <f t="shared" ref="S41:AC41" si="77">SUM(S27:S40)</f>
        <v>95648285</v>
      </c>
      <c r="T41" s="27">
        <f t="shared" si="77"/>
        <v>95648285</v>
      </c>
      <c r="U41" s="27">
        <f t="shared" si="77"/>
        <v>0</v>
      </c>
      <c r="V41" s="27">
        <f t="shared" si="77"/>
        <v>0</v>
      </c>
      <c r="W41" s="27">
        <f t="shared" si="77"/>
        <v>0</v>
      </c>
      <c r="X41" s="27">
        <f t="shared" si="77"/>
        <v>0</v>
      </c>
      <c r="Y41" s="27">
        <f t="shared" si="77"/>
        <v>0</v>
      </c>
      <c r="Z41" s="27">
        <f t="shared" si="77"/>
        <v>0</v>
      </c>
      <c r="AA41" s="27">
        <f t="shared" si="77"/>
        <v>10615233</v>
      </c>
      <c r="AB41" s="27">
        <f t="shared" si="77"/>
        <v>0</v>
      </c>
      <c r="AC41" s="27">
        <f t="shared" si="77"/>
        <v>0</v>
      </c>
      <c r="AE41" s="17"/>
      <c r="AF41" s="20" t="s">
        <v>17</v>
      </c>
      <c r="AG41" s="23">
        <f t="shared" si="52"/>
        <v>-28928508</v>
      </c>
      <c r="AH41" s="23">
        <f t="shared" si="53"/>
        <v>-43.358220456881924</v>
      </c>
      <c r="AI41" s="23">
        <f t="shared" si="54"/>
        <v>-28928508</v>
      </c>
      <c r="AJ41" s="23">
        <f t="shared" si="55"/>
        <v>-43.358220456881924</v>
      </c>
      <c r="AK41" s="23">
        <f t="shared" si="56"/>
        <v>-28928508</v>
      </c>
      <c r="AL41" s="23">
        <f t="shared" si="57"/>
        <v>-43.358220456881924</v>
      </c>
      <c r="AM41" s="23">
        <f t="shared" si="58"/>
        <v>0</v>
      </c>
      <c r="AN41" s="23" t="e">
        <f t="shared" si="59"/>
        <v>#DIV/0!</v>
      </c>
      <c r="AO41" s="23">
        <f t="shared" si="60"/>
        <v>0</v>
      </c>
      <c r="AP41" s="23" t="e">
        <f t="shared" si="61"/>
        <v>#DIV/0!</v>
      </c>
      <c r="AQ41" s="23">
        <f t="shared" si="62"/>
        <v>0</v>
      </c>
      <c r="AR41" s="23" t="e">
        <f t="shared" si="63"/>
        <v>#DIV/0!</v>
      </c>
      <c r="AS41" s="23">
        <f t="shared" si="64"/>
        <v>0</v>
      </c>
      <c r="AT41" s="23" t="e">
        <f t="shared" si="65"/>
        <v>#DIV/0!</v>
      </c>
      <c r="AU41" s="23">
        <f t="shared" si="66"/>
        <v>0</v>
      </c>
      <c r="AV41" s="23" t="e">
        <f t="shared" si="67"/>
        <v>#DIV/0!</v>
      </c>
      <c r="AW41" s="23">
        <f t="shared" si="68"/>
        <v>0</v>
      </c>
      <c r="AX41" s="23" t="e">
        <f t="shared" si="69"/>
        <v>#DIV/0!</v>
      </c>
      <c r="AY41" s="23">
        <f t="shared" si="70"/>
        <v>0</v>
      </c>
      <c r="AZ41" s="23">
        <f t="shared" si="71"/>
        <v>0</v>
      </c>
      <c r="BA41" s="23">
        <f t="shared" si="72"/>
        <v>0</v>
      </c>
      <c r="BB41" s="23" t="e">
        <f t="shared" si="73"/>
        <v>#DIV/0!</v>
      </c>
      <c r="BC41" s="23">
        <f t="shared" si="74"/>
        <v>0</v>
      </c>
      <c r="BD41" s="23" t="e">
        <f t="shared" si="75"/>
        <v>#DIV/0!</v>
      </c>
    </row>
    <row r="42" spans="1:56" ht="25.2" thickTop="1"/>
    <row r="43" spans="1:56">
      <c r="A43" s="37" t="s">
        <v>48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P43" s="37" t="s">
        <v>52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E43" s="37" t="s">
        <v>89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1:56">
      <c r="A44" s="37" t="s">
        <v>1948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P44" s="37" t="s">
        <v>1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E44" s="37" t="s">
        <v>1</v>
      </c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</row>
    <row r="45" spans="1:56" s="15" customFormat="1">
      <c r="A45" s="35" t="s">
        <v>2</v>
      </c>
      <c r="B45" s="35" t="s">
        <v>3</v>
      </c>
      <c r="C45" s="38" t="s">
        <v>4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P45" s="35" t="s">
        <v>2</v>
      </c>
      <c r="Q45" s="35" t="s">
        <v>3</v>
      </c>
      <c r="R45" s="38" t="s">
        <v>5</v>
      </c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40"/>
      <c r="AE45" s="35" t="s">
        <v>2</v>
      </c>
      <c r="AF45" s="35" t="s">
        <v>3</v>
      </c>
      <c r="AG45" s="33">
        <v>25112</v>
      </c>
      <c r="AH45" s="34"/>
      <c r="AI45" s="33">
        <v>25143</v>
      </c>
      <c r="AJ45" s="34"/>
      <c r="AK45" s="33">
        <v>25173</v>
      </c>
      <c r="AL45" s="34"/>
      <c r="AM45" s="33">
        <v>25204</v>
      </c>
      <c r="AN45" s="34"/>
      <c r="AO45" s="33">
        <v>25235</v>
      </c>
      <c r="AP45" s="34"/>
      <c r="AQ45" s="33">
        <v>25263</v>
      </c>
      <c r="AR45" s="34"/>
      <c r="AS45" s="33">
        <v>25294</v>
      </c>
      <c r="AT45" s="34"/>
      <c r="AU45" s="33">
        <v>25324</v>
      </c>
      <c r="AV45" s="34"/>
      <c r="AW45" s="33">
        <v>25355</v>
      </c>
      <c r="AX45" s="34"/>
      <c r="AY45" s="33">
        <v>25385</v>
      </c>
      <c r="AZ45" s="34"/>
      <c r="BA45" s="33">
        <v>25416</v>
      </c>
      <c r="BB45" s="34"/>
      <c r="BC45" s="33">
        <v>25447</v>
      </c>
      <c r="BD45" s="34"/>
    </row>
    <row r="46" spans="1:56" s="15" customFormat="1">
      <c r="A46" s="36"/>
      <c r="B46" s="36"/>
      <c r="C46" s="16">
        <v>25112</v>
      </c>
      <c r="D46" s="16">
        <v>25143</v>
      </c>
      <c r="E46" s="16">
        <v>25173</v>
      </c>
      <c r="F46" s="16">
        <v>25204</v>
      </c>
      <c r="G46" s="16">
        <v>25235</v>
      </c>
      <c r="H46" s="16">
        <v>25263</v>
      </c>
      <c r="I46" s="16">
        <v>25294</v>
      </c>
      <c r="J46" s="16">
        <v>25324</v>
      </c>
      <c r="K46" s="16">
        <v>25355</v>
      </c>
      <c r="L46" s="16">
        <v>25385</v>
      </c>
      <c r="M46" s="16">
        <v>25416</v>
      </c>
      <c r="N46" s="16">
        <v>25447</v>
      </c>
      <c r="P46" s="36"/>
      <c r="Q46" s="36"/>
      <c r="R46" s="16">
        <v>25112</v>
      </c>
      <c r="S46" s="16">
        <v>25143</v>
      </c>
      <c r="T46" s="16">
        <v>25173</v>
      </c>
      <c r="U46" s="16">
        <v>25204</v>
      </c>
      <c r="V46" s="16">
        <v>25235</v>
      </c>
      <c r="W46" s="16">
        <v>25263</v>
      </c>
      <c r="X46" s="16">
        <v>25294</v>
      </c>
      <c r="Y46" s="16">
        <v>25324</v>
      </c>
      <c r="Z46" s="16">
        <v>25355</v>
      </c>
      <c r="AA46" s="16">
        <v>25385</v>
      </c>
      <c r="AB46" s="16">
        <v>25416</v>
      </c>
      <c r="AC46" s="16">
        <v>25447</v>
      </c>
      <c r="AE46" s="36"/>
      <c r="AF46" s="36"/>
      <c r="AG46" s="16" t="s">
        <v>85</v>
      </c>
      <c r="AH46" s="16" t="s">
        <v>86</v>
      </c>
      <c r="AI46" s="16" t="s">
        <v>85</v>
      </c>
      <c r="AJ46" s="16" t="s">
        <v>86</v>
      </c>
      <c r="AK46" s="16" t="s">
        <v>85</v>
      </c>
      <c r="AL46" s="16" t="s">
        <v>86</v>
      </c>
      <c r="AM46" s="16" t="s">
        <v>85</v>
      </c>
      <c r="AN46" s="16" t="s">
        <v>86</v>
      </c>
      <c r="AO46" s="16" t="s">
        <v>85</v>
      </c>
      <c r="AP46" s="16" t="s">
        <v>86</v>
      </c>
      <c r="AQ46" s="16" t="s">
        <v>85</v>
      </c>
      <c r="AR46" s="16" t="s">
        <v>86</v>
      </c>
      <c r="AS46" s="16" t="s">
        <v>85</v>
      </c>
      <c r="AT46" s="16" t="s">
        <v>86</v>
      </c>
      <c r="AU46" s="16" t="s">
        <v>85</v>
      </c>
      <c r="AV46" s="16" t="s">
        <v>86</v>
      </c>
      <c r="AW46" s="16" t="s">
        <v>85</v>
      </c>
      <c r="AX46" s="16" t="s">
        <v>86</v>
      </c>
      <c r="AY46" s="16" t="s">
        <v>85</v>
      </c>
      <c r="AZ46" s="16" t="s">
        <v>86</v>
      </c>
      <c r="BA46" s="16" t="s">
        <v>85</v>
      </c>
      <c r="BB46" s="16" t="s">
        <v>86</v>
      </c>
      <c r="BC46" s="16" t="s">
        <v>85</v>
      </c>
      <c r="BD46" s="16" t="s">
        <v>86</v>
      </c>
    </row>
    <row r="47" spans="1:56">
      <c r="A47" s="17">
        <v>1</v>
      </c>
      <c r="B47" s="18" t="s">
        <v>19</v>
      </c>
      <c r="C47" s="19">
        <v>1922330.43</v>
      </c>
      <c r="D47" s="19">
        <v>1984513.17</v>
      </c>
      <c r="E47" s="19">
        <v>2048768.81</v>
      </c>
      <c r="F47" s="19"/>
      <c r="G47" s="18"/>
      <c r="H47" s="18"/>
      <c r="I47" s="18"/>
      <c r="J47" s="18"/>
      <c r="K47" s="18"/>
      <c r="L47" s="18"/>
      <c r="M47" s="18"/>
      <c r="N47" s="18"/>
      <c r="P47" s="17">
        <v>1</v>
      </c>
      <c r="Q47" s="18" t="s">
        <v>19</v>
      </c>
      <c r="R47" s="19">
        <v>4542487.17</v>
      </c>
      <c r="S47" s="19">
        <v>4681234.9800000004</v>
      </c>
      <c r="T47" s="19">
        <v>4819982.79</v>
      </c>
      <c r="U47" s="19"/>
      <c r="V47" s="18"/>
      <c r="W47" s="18"/>
      <c r="X47" s="18"/>
      <c r="Y47" s="18"/>
      <c r="Z47" s="18"/>
      <c r="AA47" s="18"/>
      <c r="AB47" s="18"/>
      <c r="AC47" s="18"/>
      <c r="AE47" s="17">
        <v>1</v>
      </c>
      <c r="AF47" s="18" t="s">
        <v>19</v>
      </c>
      <c r="AG47" s="19">
        <f t="shared" ref="AG47:AG61" si="78">+C47-R47</f>
        <v>-2620156.7400000002</v>
      </c>
      <c r="AH47" s="19">
        <f t="shared" ref="AH47:AH61" si="79">+AG47/C47*100</f>
        <v>-136.30105933452867</v>
      </c>
      <c r="AI47" s="19">
        <f t="shared" ref="AI47:AI61" si="80">+D47-S47</f>
        <v>-2696721.8100000005</v>
      </c>
      <c r="AJ47" s="19">
        <f t="shared" ref="AJ47:AJ61" si="81">+AI47/D47*100</f>
        <v>-135.8883302346641</v>
      </c>
      <c r="AK47" s="19">
        <f t="shared" ref="AK47:AK61" si="82">+E47-T47</f>
        <v>-2771213.98</v>
      </c>
      <c r="AL47" s="19">
        <f t="shared" ref="AL47:AL61" si="83">+AK47/E47*100</f>
        <v>-135.26240571770515</v>
      </c>
      <c r="AM47" s="19">
        <f t="shared" ref="AM47:AM61" si="84">+F47-U47</f>
        <v>0</v>
      </c>
      <c r="AN47" s="19" t="e">
        <f t="shared" ref="AN47:AN61" si="85">+AM47/F47*100</f>
        <v>#DIV/0!</v>
      </c>
      <c r="AO47" s="19">
        <f t="shared" ref="AO47:AO61" si="86">+G47-V47</f>
        <v>0</v>
      </c>
      <c r="AP47" s="19" t="e">
        <f t="shared" ref="AP47:AP61" si="87">+AO47/G47*100</f>
        <v>#DIV/0!</v>
      </c>
      <c r="AQ47" s="19">
        <f t="shared" ref="AQ47:AQ61" si="88">+H47-W47</f>
        <v>0</v>
      </c>
      <c r="AR47" s="19" t="e">
        <f t="shared" ref="AR47:AR61" si="89">+AQ47/H47*100</f>
        <v>#DIV/0!</v>
      </c>
      <c r="AS47" s="19">
        <f t="shared" ref="AS47:AS61" si="90">+I47-X47</f>
        <v>0</v>
      </c>
      <c r="AT47" s="19" t="e">
        <f t="shared" ref="AT47:AT61" si="91">+AS47/I47*100</f>
        <v>#DIV/0!</v>
      </c>
      <c r="AU47" s="19">
        <f t="shared" ref="AU47:AU61" si="92">+J47-Y47</f>
        <v>0</v>
      </c>
      <c r="AV47" s="19" t="e">
        <f t="shared" ref="AV47:AV61" si="93">+AU47/J47*100</f>
        <v>#DIV/0!</v>
      </c>
      <c r="AW47" s="19">
        <f t="shared" ref="AW47:AW61" si="94">+K47-Z47</f>
        <v>0</v>
      </c>
      <c r="AX47" s="19" t="e">
        <f t="shared" ref="AX47:AX61" si="95">+AW47/K47*100</f>
        <v>#DIV/0!</v>
      </c>
      <c r="AY47" s="19">
        <f t="shared" ref="AY47:AY61" si="96">+L47-AA47</f>
        <v>0</v>
      </c>
      <c r="AZ47" s="19" t="e">
        <f t="shared" ref="AZ47:AZ61" si="97">+AY47/L47*100</f>
        <v>#DIV/0!</v>
      </c>
      <c r="BA47" s="19">
        <f t="shared" ref="BA47:BA61" si="98">+M47-AB47</f>
        <v>0</v>
      </c>
      <c r="BB47" s="19" t="e">
        <f t="shared" ref="BB47:BB61" si="99">+BA47/M47*100</f>
        <v>#DIV/0!</v>
      </c>
      <c r="BC47" s="19">
        <f t="shared" ref="BC47:BC61" si="100">+N47-AC47</f>
        <v>0</v>
      </c>
      <c r="BD47" s="19" t="e">
        <f t="shared" ref="BD47:BD61" si="101">+BC47/N47*100</f>
        <v>#DIV/0!</v>
      </c>
    </row>
    <row r="48" spans="1:56">
      <c r="A48" s="17">
        <v>2</v>
      </c>
      <c r="B48" s="18" t="s">
        <v>21</v>
      </c>
      <c r="C48" s="19">
        <v>3961634.49</v>
      </c>
      <c r="D48" s="19">
        <v>3999521.43</v>
      </c>
      <c r="E48" s="19">
        <v>4038671.27</v>
      </c>
      <c r="F48" s="19"/>
      <c r="G48" s="18"/>
      <c r="H48" s="18"/>
      <c r="I48" s="18"/>
      <c r="J48" s="18"/>
      <c r="K48" s="18"/>
      <c r="L48" s="18"/>
      <c r="M48" s="18"/>
      <c r="N48" s="18"/>
      <c r="P48" s="17">
        <v>2</v>
      </c>
      <c r="Q48" s="18" t="s">
        <v>21</v>
      </c>
      <c r="R48" s="19">
        <v>13921165.66</v>
      </c>
      <c r="S48" s="19">
        <v>13962828.99</v>
      </c>
      <c r="T48" s="19">
        <v>14004492.32</v>
      </c>
      <c r="U48" s="19"/>
      <c r="V48" s="18"/>
      <c r="W48" s="18"/>
      <c r="X48" s="18"/>
      <c r="Y48" s="18"/>
      <c r="Z48" s="18"/>
      <c r="AA48" s="18"/>
      <c r="AB48" s="18"/>
      <c r="AC48" s="18"/>
      <c r="AE48" s="17">
        <v>2</v>
      </c>
      <c r="AF48" s="18" t="s">
        <v>21</v>
      </c>
      <c r="AG48" s="19">
        <f t="shared" si="78"/>
        <v>-9959531.1699999999</v>
      </c>
      <c r="AH48" s="19">
        <f t="shared" si="79"/>
        <v>-251.39954721062617</v>
      </c>
      <c r="AI48" s="19">
        <f t="shared" si="80"/>
        <v>-9963307.5600000005</v>
      </c>
      <c r="AJ48" s="19">
        <f t="shared" si="81"/>
        <v>-249.11249344149661</v>
      </c>
      <c r="AK48" s="19">
        <f t="shared" si="82"/>
        <v>-9965821.0500000007</v>
      </c>
      <c r="AL48" s="19">
        <f t="shared" si="83"/>
        <v>-246.75989660332024</v>
      </c>
      <c r="AM48" s="19">
        <f t="shared" si="84"/>
        <v>0</v>
      </c>
      <c r="AN48" s="19" t="e">
        <f t="shared" si="85"/>
        <v>#DIV/0!</v>
      </c>
      <c r="AO48" s="19">
        <f t="shared" si="86"/>
        <v>0</v>
      </c>
      <c r="AP48" s="19" t="e">
        <f t="shared" si="87"/>
        <v>#DIV/0!</v>
      </c>
      <c r="AQ48" s="19">
        <f t="shared" si="88"/>
        <v>0</v>
      </c>
      <c r="AR48" s="19" t="e">
        <f t="shared" si="89"/>
        <v>#DIV/0!</v>
      </c>
      <c r="AS48" s="19">
        <f t="shared" si="90"/>
        <v>0</v>
      </c>
      <c r="AT48" s="19" t="e">
        <f t="shared" si="91"/>
        <v>#DIV/0!</v>
      </c>
      <c r="AU48" s="19">
        <f t="shared" si="92"/>
        <v>0</v>
      </c>
      <c r="AV48" s="19" t="e">
        <f t="shared" si="93"/>
        <v>#DIV/0!</v>
      </c>
      <c r="AW48" s="19">
        <f t="shared" si="94"/>
        <v>0</v>
      </c>
      <c r="AX48" s="19" t="e">
        <f t="shared" si="95"/>
        <v>#DIV/0!</v>
      </c>
      <c r="AY48" s="19">
        <f t="shared" si="96"/>
        <v>0</v>
      </c>
      <c r="AZ48" s="19" t="e">
        <f t="shared" si="97"/>
        <v>#DIV/0!</v>
      </c>
      <c r="BA48" s="19">
        <f t="shared" si="98"/>
        <v>0</v>
      </c>
      <c r="BB48" s="19" t="e">
        <f t="shared" si="99"/>
        <v>#DIV/0!</v>
      </c>
      <c r="BC48" s="19">
        <f t="shared" si="100"/>
        <v>0</v>
      </c>
      <c r="BD48" s="19" t="e">
        <f t="shared" si="101"/>
        <v>#DIV/0!</v>
      </c>
    </row>
    <row r="49" spans="1:56">
      <c r="A49" s="17">
        <v>3</v>
      </c>
      <c r="B49" s="18" t="s">
        <v>23</v>
      </c>
      <c r="C49" s="19"/>
      <c r="D49" s="19"/>
      <c r="E49" s="19"/>
      <c r="F49" s="19"/>
      <c r="G49" s="18"/>
      <c r="H49" s="18"/>
      <c r="I49" s="18"/>
      <c r="J49" s="18"/>
      <c r="K49" s="18"/>
      <c r="L49" s="18"/>
      <c r="M49" s="18"/>
      <c r="N49" s="18"/>
      <c r="P49" s="17">
        <v>3</v>
      </c>
      <c r="Q49" s="18" t="s">
        <v>23</v>
      </c>
      <c r="R49" s="19">
        <v>296666.67</v>
      </c>
      <c r="S49" s="19">
        <v>306555.56</v>
      </c>
      <c r="T49" s="19">
        <v>316444.45</v>
      </c>
      <c r="U49" s="19"/>
      <c r="V49" s="18"/>
      <c r="W49" s="18"/>
      <c r="X49" s="18"/>
      <c r="Y49" s="18"/>
      <c r="Z49" s="18"/>
      <c r="AA49" s="18"/>
      <c r="AB49" s="18"/>
      <c r="AC49" s="18"/>
      <c r="AE49" s="17">
        <v>3</v>
      </c>
      <c r="AF49" s="18" t="s">
        <v>23</v>
      </c>
      <c r="AG49" s="19">
        <f t="shared" si="78"/>
        <v>-296666.67</v>
      </c>
      <c r="AH49" s="19" t="e">
        <f t="shared" si="79"/>
        <v>#DIV/0!</v>
      </c>
      <c r="AI49" s="19">
        <f t="shared" si="80"/>
        <v>-306555.56</v>
      </c>
      <c r="AJ49" s="19" t="e">
        <f t="shared" si="81"/>
        <v>#DIV/0!</v>
      </c>
      <c r="AK49" s="19">
        <f t="shared" si="82"/>
        <v>-316444.45</v>
      </c>
      <c r="AL49" s="19" t="e">
        <f t="shared" si="83"/>
        <v>#DIV/0!</v>
      </c>
      <c r="AM49" s="19">
        <f t="shared" si="84"/>
        <v>0</v>
      </c>
      <c r="AN49" s="19" t="e">
        <f t="shared" si="85"/>
        <v>#DIV/0!</v>
      </c>
      <c r="AO49" s="19">
        <f t="shared" si="86"/>
        <v>0</v>
      </c>
      <c r="AP49" s="19" t="e">
        <f t="shared" si="87"/>
        <v>#DIV/0!</v>
      </c>
      <c r="AQ49" s="19">
        <f t="shared" si="88"/>
        <v>0</v>
      </c>
      <c r="AR49" s="19" t="e">
        <f t="shared" si="89"/>
        <v>#DIV/0!</v>
      </c>
      <c r="AS49" s="19">
        <f t="shared" si="90"/>
        <v>0</v>
      </c>
      <c r="AT49" s="19" t="e">
        <f t="shared" si="91"/>
        <v>#DIV/0!</v>
      </c>
      <c r="AU49" s="19">
        <f t="shared" si="92"/>
        <v>0</v>
      </c>
      <c r="AV49" s="19" t="e">
        <f t="shared" si="93"/>
        <v>#DIV/0!</v>
      </c>
      <c r="AW49" s="19">
        <f t="shared" si="94"/>
        <v>0</v>
      </c>
      <c r="AX49" s="19" t="e">
        <f t="shared" si="95"/>
        <v>#DIV/0!</v>
      </c>
      <c r="AY49" s="19">
        <f t="shared" si="96"/>
        <v>0</v>
      </c>
      <c r="AZ49" s="19" t="e">
        <f t="shared" si="97"/>
        <v>#DIV/0!</v>
      </c>
      <c r="BA49" s="19">
        <f t="shared" si="98"/>
        <v>0</v>
      </c>
      <c r="BB49" s="19" t="e">
        <f t="shared" si="99"/>
        <v>#DIV/0!</v>
      </c>
      <c r="BC49" s="19">
        <f t="shared" si="100"/>
        <v>0</v>
      </c>
      <c r="BD49" s="19" t="e">
        <f t="shared" si="101"/>
        <v>#DIV/0!</v>
      </c>
    </row>
    <row r="50" spans="1:56">
      <c r="A50" s="17">
        <v>4</v>
      </c>
      <c r="B50" s="18" t="s">
        <v>25</v>
      </c>
      <c r="C50" s="19"/>
      <c r="D50" s="19"/>
      <c r="E50" s="19"/>
      <c r="F50" s="19"/>
      <c r="G50" s="18"/>
      <c r="H50" s="18"/>
      <c r="I50" s="18"/>
      <c r="J50" s="18"/>
      <c r="K50" s="18"/>
      <c r="L50" s="18"/>
      <c r="M50" s="18"/>
      <c r="N50" s="18"/>
      <c r="P50" s="17">
        <v>4</v>
      </c>
      <c r="Q50" s="18" t="s">
        <v>25</v>
      </c>
      <c r="R50" s="19">
        <v>85917</v>
      </c>
      <c r="S50" s="19">
        <v>86987</v>
      </c>
      <c r="T50" s="19">
        <v>88057</v>
      </c>
      <c r="U50" s="19"/>
      <c r="V50" s="18"/>
      <c r="W50" s="18"/>
      <c r="X50" s="18"/>
      <c r="Y50" s="18"/>
      <c r="Z50" s="18"/>
      <c r="AA50" s="18"/>
      <c r="AB50" s="18"/>
      <c r="AC50" s="18"/>
      <c r="AE50" s="17">
        <v>4</v>
      </c>
      <c r="AF50" s="18" t="s">
        <v>25</v>
      </c>
      <c r="AG50" s="19">
        <f t="shared" si="78"/>
        <v>-85917</v>
      </c>
      <c r="AH50" s="19" t="e">
        <f t="shared" si="79"/>
        <v>#DIV/0!</v>
      </c>
      <c r="AI50" s="19">
        <f t="shared" si="80"/>
        <v>-86987</v>
      </c>
      <c r="AJ50" s="19" t="e">
        <f t="shared" si="81"/>
        <v>#DIV/0!</v>
      </c>
      <c r="AK50" s="19">
        <f t="shared" si="82"/>
        <v>-88057</v>
      </c>
      <c r="AL50" s="19" t="e">
        <f t="shared" si="83"/>
        <v>#DIV/0!</v>
      </c>
      <c r="AM50" s="19">
        <f t="shared" si="84"/>
        <v>0</v>
      </c>
      <c r="AN50" s="19" t="e">
        <f t="shared" si="85"/>
        <v>#DIV/0!</v>
      </c>
      <c r="AO50" s="19">
        <f t="shared" si="86"/>
        <v>0</v>
      </c>
      <c r="AP50" s="19" t="e">
        <f t="shared" si="87"/>
        <v>#DIV/0!</v>
      </c>
      <c r="AQ50" s="19">
        <f t="shared" si="88"/>
        <v>0</v>
      </c>
      <c r="AR50" s="19" t="e">
        <f t="shared" si="89"/>
        <v>#DIV/0!</v>
      </c>
      <c r="AS50" s="19">
        <f t="shared" si="90"/>
        <v>0</v>
      </c>
      <c r="AT50" s="19" t="e">
        <f t="shared" si="91"/>
        <v>#DIV/0!</v>
      </c>
      <c r="AU50" s="19">
        <f t="shared" si="92"/>
        <v>0</v>
      </c>
      <c r="AV50" s="19" t="e">
        <f t="shared" si="93"/>
        <v>#DIV/0!</v>
      </c>
      <c r="AW50" s="19">
        <f t="shared" si="94"/>
        <v>0</v>
      </c>
      <c r="AX50" s="19" t="e">
        <f t="shared" si="95"/>
        <v>#DIV/0!</v>
      </c>
      <c r="AY50" s="19">
        <f t="shared" si="96"/>
        <v>0</v>
      </c>
      <c r="AZ50" s="19" t="e">
        <f t="shared" si="97"/>
        <v>#DIV/0!</v>
      </c>
      <c r="BA50" s="19">
        <f t="shared" si="98"/>
        <v>0</v>
      </c>
      <c r="BB50" s="19" t="e">
        <f t="shared" si="99"/>
        <v>#DIV/0!</v>
      </c>
      <c r="BC50" s="19">
        <f t="shared" si="100"/>
        <v>0</v>
      </c>
      <c r="BD50" s="19" t="e">
        <f t="shared" si="101"/>
        <v>#DIV/0!</v>
      </c>
    </row>
    <row r="51" spans="1:56">
      <c r="A51" s="17">
        <v>5</v>
      </c>
      <c r="B51" s="18" t="s">
        <v>27</v>
      </c>
      <c r="C51" s="19"/>
      <c r="D51" s="19"/>
      <c r="E51" s="19"/>
      <c r="F51" s="19"/>
      <c r="G51" s="18"/>
      <c r="H51" s="18"/>
      <c r="I51" s="18"/>
      <c r="J51" s="18"/>
      <c r="K51" s="18"/>
      <c r="L51" s="18"/>
      <c r="M51" s="18"/>
      <c r="N51" s="18"/>
      <c r="P51" s="17">
        <v>5</v>
      </c>
      <c r="Q51" s="18" t="s">
        <v>27</v>
      </c>
      <c r="R51" s="19"/>
      <c r="S51" s="19"/>
      <c r="T51" s="19"/>
      <c r="U51" s="19"/>
      <c r="V51" s="18"/>
      <c r="W51" s="18"/>
      <c r="X51" s="18"/>
      <c r="Y51" s="18"/>
      <c r="Z51" s="18"/>
      <c r="AA51" s="18"/>
      <c r="AB51" s="18"/>
      <c r="AC51" s="18"/>
      <c r="AE51" s="17">
        <v>5</v>
      </c>
      <c r="AF51" s="18" t="s">
        <v>27</v>
      </c>
      <c r="AG51" s="19">
        <f t="shared" si="78"/>
        <v>0</v>
      </c>
      <c r="AH51" s="19" t="e">
        <f t="shared" si="79"/>
        <v>#DIV/0!</v>
      </c>
      <c r="AI51" s="19">
        <f t="shared" si="80"/>
        <v>0</v>
      </c>
      <c r="AJ51" s="19" t="e">
        <f t="shared" si="81"/>
        <v>#DIV/0!</v>
      </c>
      <c r="AK51" s="19">
        <f t="shared" si="82"/>
        <v>0</v>
      </c>
      <c r="AL51" s="19" t="e">
        <f t="shared" si="83"/>
        <v>#DIV/0!</v>
      </c>
      <c r="AM51" s="19">
        <f t="shared" si="84"/>
        <v>0</v>
      </c>
      <c r="AN51" s="19" t="e">
        <f t="shared" si="85"/>
        <v>#DIV/0!</v>
      </c>
      <c r="AO51" s="19">
        <f t="shared" si="86"/>
        <v>0</v>
      </c>
      <c r="AP51" s="19" t="e">
        <f t="shared" si="87"/>
        <v>#DIV/0!</v>
      </c>
      <c r="AQ51" s="19">
        <f t="shared" si="88"/>
        <v>0</v>
      </c>
      <c r="AR51" s="19" t="e">
        <f t="shared" si="89"/>
        <v>#DIV/0!</v>
      </c>
      <c r="AS51" s="19">
        <f t="shared" si="90"/>
        <v>0</v>
      </c>
      <c r="AT51" s="19" t="e">
        <f t="shared" si="91"/>
        <v>#DIV/0!</v>
      </c>
      <c r="AU51" s="19">
        <f t="shared" si="92"/>
        <v>0</v>
      </c>
      <c r="AV51" s="19" t="e">
        <f t="shared" si="93"/>
        <v>#DIV/0!</v>
      </c>
      <c r="AW51" s="19">
        <f t="shared" si="94"/>
        <v>0</v>
      </c>
      <c r="AX51" s="19" t="e">
        <f t="shared" si="95"/>
        <v>#DIV/0!</v>
      </c>
      <c r="AY51" s="19">
        <f t="shared" si="96"/>
        <v>0</v>
      </c>
      <c r="AZ51" s="19" t="e">
        <f t="shared" si="97"/>
        <v>#DIV/0!</v>
      </c>
      <c r="BA51" s="19">
        <f t="shared" si="98"/>
        <v>0</v>
      </c>
      <c r="BB51" s="19" t="e">
        <f t="shared" si="99"/>
        <v>#DIV/0!</v>
      </c>
      <c r="BC51" s="19">
        <f t="shared" si="100"/>
        <v>0</v>
      </c>
      <c r="BD51" s="19" t="e">
        <f t="shared" si="101"/>
        <v>#DIV/0!</v>
      </c>
    </row>
    <row r="52" spans="1:56">
      <c r="A52" s="17">
        <v>6</v>
      </c>
      <c r="B52" s="18" t="s">
        <v>29</v>
      </c>
      <c r="C52" s="19">
        <v>32319540.219999999</v>
      </c>
      <c r="D52" s="19">
        <v>33096748.16</v>
      </c>
      <c r="E52" s="19">
        <v>33899863.079999998</v>
      </c>
      <c r="F52" s="19"/>
      <c r="G52" s="18"/>
      <c r="H52" s="18"/>
      <c r="I52" s="18"/>
      <c r="J52" s="18"/>
      <c r="K52" s="18"/>
      <c r="L52" s="18"/>
      <c r="M52" s="18"/>
      <c r="N52" s="18"/>
      <c r="P52" s="17">
        <v>6</v>
      </c>
      <c r="Q52" s="18" t="s">
        <v>29</v>
      </c>
      <c r="R52" s="19">
        <v>41351212.479999997</v>
      </c>
      <c r="S52" s="19">
        <v>42280368.850000001</v>
      </c>
      <c r="T52" s="19">
        <v>43209525.219999999</v>
      </c>
      <c r="U52" s="19"/>
      <c r="V52" s="18"/>
      <c r="W52" s="18"/>
      <c r="X52" s="18"/>
      <c r="Y52" s="18"/>
      <c r="Z52" s="18"/>
      <c r="AA52" s="18"/>
      <c r="AB52" s="18"/>
      <c r="AC52" s="18"/>
      <c r="AE52" s="17">
        <v>6</v>
      </c>
      <c r="AF52" s="18" t="s">
        <v>29</v>
      </c>
      <c r="AG52" s="19">
        <f t="shared" si="78"/>
        <v>-9031672.2599999979</v>
      </c>
      <c r="AH52" s="19">
        <f t="shared" si="79"/>
        <v>-27.944928048236939</v>
      </c>
      <c r="AI52" s="19">
        <f t="shared" si="80"/>
        <v>-9183620.6900000013</v>
      </c>
      <c r="AJ52" s="19">
        <f t="shared" si="81"/>
        <v>-27.747803637999468</v>
      </c>
      <c r="AK52" s="19">
        <f t="shared" si="82"/>
        <v>-9309662.1400000006</v>
      </c>
      <c r="AL52" s="19">
        <f t="shared" si="83"/>
        <v>-27.46224112478038</v>
      </c>
      <c r="AM52" s="19">
        <f t="shared" si="84"/>
        <v>0</v>
      </c>
      <c r="AN52" s="19" t="e">
        <f t="shared" si="85"/>
        <v>#DIV/0!</v>
      </c>
      <c r="AO52" s="19">
        <f t="shared" si="86"/>
        <v>0</v>
      </c>
      <c r="AP52" s="19" t="e">
        <f t="shared" si="87"/>
        <v>#DIV/0!</v>
      </c>
      <c r="AQ52" s="19">
        <f t="shared" si="88"/>
        <v>0</v>
      </c>
      <c r="AR52" s="19" t="e">
        <f t="shared" si="89"/>
        <v>#DIV/0!</v>
      </c>
      <c r="AS52" s="19">
        <f t="shared" si="90"/>
        <v>0</v>
      </c>
      <c r="AT52" s="19" t="e">
        <f t="shared" si="91"/>
        <v>#DIV/0!</v>
      </c>
      <c r="AU52" s="19">
        <f t="shared" si="92"/>
        <v>0</v>
      </c>
      <c r="AV52" s="19" t="e">
        <f t="shared" si="93"/>
        <v>#DIV/0!</v>
      </c>
      <c r="AW52" s="19">
        <f t="shared" si="94"/>
        <v>0</v>
      </c>
      <c r="AX52" s="19" t="e">
        <f t="shared" si="95"/>
        <v>#DIV/0!</v>
      </c>
      <c r="AY52" s="19">
        <f t="shared" si="96"/>
        <v>0</v>
      </c>
      <c r="AZ52" s="19" t="e">
        <f t="shared" si="97"/>
        <v>#DIV/0!</v>
      </c>
      <c r="BA52" s="19">
        <f t="shared" si="98"/>
        <v>0</v>
      </c>
      <c r="BB52" s="19" t="e">
        <f t="shared" si="99"/>
        <v>#DIV/0!</v>
      </c>
      <c r="BC52" s="19">
        <f t="shared" si="100"/>
        <v>0</v>
      </c>
      <c r="BD52" s="19" t="e">
        <f t="shared" si="101"/>
        <v>#DIV/0!</v>
      </c>
    </row>
    <row r="53" spans="1:56">
      <c r="A53" s="17">
        <v>7</v>
      </c>
      <c r="B53" s="18" t="s">
        <v>31</v>
      </c>
      <c r="C53" s="19"/>
      <c r="D53" s="19"/>
      <c r="E53" s="19"/>
      <c r="F53" s="19"/>
      <c r="G53" s="18"/>
      <c r="H53" s="18"/>
      <c r="I53" s="18"/>
      <c r="J53" s="18"/>
      <c r="K53" s="18"/>
      <c r="L53" s="18"/>
      <c r="M53" s="18"/>
      <c r="N53" s="18"/>
      <c r="P53" s="17">
        <v>7</v>
      </c>
      <c r="Q53" s="18" t="s">
        <v>31</v>
      </c>
      <c r="R53" s="19">
        <v>628485.06999999995</v>
      </c>
      <c r="S53" s="19">
        <v>641665.62</v>
      </c>
      <c r="T53" s="19">
        <v>654846.17000000004</v>
      </c>
      <c r="U53" s="19"/>
      <c r="V53" s="18"/>
      <c r="W53" s="18"/>
      <c r="X53" s="18"/>
      <c r="Y53" s="18"/>
      <c r="Z53" s="18"/>
      <c r="AA53" s="18"/>
      <c r="AB53" s="18"/>
      <c r="AC53" s="18"/>
      <c r="AE53" s="17">
        <v>7</v>
      </c>
      <c r="AF53" s="18" t="s">
        <v>31</v>
      </c>
      <c r="AG53" s="19">
        <f t="shared" si="78"/>
        <v>-628485.06999999995</v>
      </c>
      <c r="AH53" s="19" t="e">
        <f t="shared" si="79"/>
        <v>#DIV/0!</v>
      </c>
      <c r="AI53" s="19">
        <f t="shared" si="80"/>
        <v>-641665.62</v>
      </c>
      <c r="AJ53" s="19" t="e">
        <f t="shared" si="81"/>
        <v>#DIV/0!</v>
      </c>
      <c r="AK53" s="19">
        <f t="shared" si="82"/>
        <v>-654846.17000000004</v>
      </c>
      <c r="AL53" s="19" t="e">
        <f t="shared" si="83"/>
        <v>#DIV/0!</v>
      </c>
      <c r="AM53" s="19">
        <f t="shared" si="84"/>
        <v>0</v>
      </c>
      <c r="AN53" s="19" t="e">
        <f t="shared" si="85"/>
        <v>#DIV/0!</v>
      </c>
      <c r="AO53" s="19">
        <f t="shared" si="86"/>
        <v>0</v>
      </c>
      <c r="AP53" s="19" t="e">
        <f t="shared" si="87"/>
        <v>#DIV/0!</v>
      </c>
      <c r="AQ53" s="19">
        <f t="shared" si="88"/>
        <v>0</v>
      </c>
      <c r="AR53" s="19" t="e">
        <f t="shared" si="89"/>
        <v>#DIV/0!</v>
      </c>
      <c r="AS53" s="19">
        <f t="shared" si="90"/>
        <v>0</v>
      </c>
      <c r="AT53" s="19" t="e">
        <f t="shared" si="91"/>
        <v>#DIV/0!</v>
      </c>
      <c r="AU53" s="19">
        <f t="shared" si="92"/>
        <v>0</v>
      </c>
      <c r="AV53" s="19" t="e">
        <f t="shared" si="93"/>
        <v>#DIV/0!</v>
      </c>
      <c r="AW53" s="19">
        <f t="shared" si="94"/>
        <v>0</v>
      </c>
      <c r="AX53" s="19" t="e">
        <f t="shared" si="95"/>
        <v>#DIV/0!</v>
      </c>
      <c r="AY53" s="19">
        <f t="shared" si="96"/>
        <v>0</v>
      </c>
      <c r="AZ53" s="19" t="e">
        <f t="shared" si="97"/>
        <v>#DIV/0!</v>
      </c>
      <c r="BA53" s="19">
        <f t="shared" si="98"/>
        <v>0</v>
      </c>
      <c r="BB53" s="19" t="e">
        <f t="shared" si="99"/>
        <v>#DIV/0!</v>
      </c>
      <c r="BC53" s="19">
        <f t="shared" si="100"/>
        <v>0</v>
      </c>
      <c r="BD53" s="19" t="e">
        <f t="shared" si="101"/>
        <v>#DIV/0!</v>
      </c>
    </row>
    <row r="54" spans="1:56">
      <c r="A54" s="17">
        <v>8</v>
      </c>
      <c r="B54" s="18" t="s">
        <v>33</v>
      </c>
      <c r="C54" s="19"/>
      <c r="D54" s="19"/>
      <c r="E54" s="19"/>
      <c r="F54" s="19"/>
      <c r="G54" s="18"/>
      <c r="H54" s="18"/>
      <c r="I54" s="18"/>
      <c r="J54" s="18"/>
      <c r="K54" s="18"/>
      <c r="L54" s="18"/>
      <c r="M54" s="18"/>
      <c r="N54" s="18"/>
      <c r="P54" s="17">
        <v>8</v>
      </c>
      <c r="Q54" s="18" t="s">
        <v>33</v>
      </c>
      <c r="R54" s="19">
        <v>1371397</v>
      </c>
      <c r="S54" s="19">
        <v>1371397</v>
      </c>
      <c r="T54" s="19">
        <v>1371397</v>
      </c>
      <c r="U54" s="19"/>
      <c r="V54" s="18"/>
      <c r="W54" s="18"/>
      <c r="X54" s="18"/>
      <c r="Y54" s="18"/>
      <c r="Z54" s="18"/>
      <c r="AA54" s="18"/>
      <c r="AB54" s="18"/>
      <c r="AC54" s="18"/>
      <c r="AE54" s="17">
        <v>8</v>
      </c>
      <c r="AF54" s="18" t="s">
        <v>33</v>
      </c>
      <c r="AG54" s="19">
        <f t="shared" si="78"/>
        <v>-1371397</v>
      </c>
      <c r="AH54" s="19" t="e">
        <f t="shared" si="79"/>
        <v>#DIV/0!</v>
      </c>
      <c r="AI54" s="19">
        <f t="shared" si="80"/>
        <v>-1371397</v>
      </c>
      <c r="AJ54" s="19" t="e">
        <f t="shared" si="81"/>
        <v>#DIV/0!</v>
      </c>
      <c r="AK54" s="19">
        <f t="shared" si="82"/>
        <v>-1371397</v>
      </c>
      <c r="AL54" s="19" t="e">
        <f t="shared" si="83"/>
        <v>#DIV/0!</v>
      </c>
      <c r="AM54" s="19">
        <f t="shared" si="84"/>
        <v>0</v>
      </c>
      <c r="AN54" s="19" t="e">
        <f t="shared" si="85"/>
        <v>#DIV/0!</v>
      </c>
      <c r="AO54" s="19">
        <f t="shared" si="86"/>
        <v>0</v>
      </c>
      <c r="AP54" s="19" t="e">
        <f t="shared" si="87"/>
        <v>#DIV/0!</v>
      </c>
      <c r="AQ54" s="19">
        <f t="shared" si="88"/>
        <v>0</v>
      </c>
      <c r="AR54" s="19" t="e">
        <f t="shared" si="89"/>
        <v>#DIV/0!</v>
      </c>
      <c r="AS54" s="19">
        <f t="shared" si="90"/>
        <v>0</v>
      </c>
      <c r="AT54" s="19" t="e">
        <f t="shared" si="91"/>
        <v>#DIV/0!</v>
      </c>
      <c r="AU54" s="19">
        <f t="shared" si="92"/>
        <v>0</v>
      </c>
      <c r="AV54" s="19" t="e">
        <f t="shared" si="93"/>
        <v>#DIV/0!</v>
      </c>
      <c r="AW54" s="19">
        <f t="shared" si="94"/>
        <v>0</v>
      </c>
      <c r="AX54" s="19" t="e">
        <f t="shared" si="95"/>
        <v>#DIV/0!</v>
      </c>
      <c r="AY54" s="19">
        <f t="shared" si="96"/>
        <v>0</v>
      </c>
      <c r="AZ54" s="19" t="e">
        <f t="shared" si="97"/>
        <v>#DIV/0!</v>
      </c>
      <c r="BA54" s="19">
        <f t="shared" si="98"/>
        <v>0</v>
      </c>
      <c r="BB54" s="19" t="e">
        <f t="shared" si="99"/>
        <v>#DIV/0!</v>
      </c>
      <c r="BC54" s="19">
        <f t="shared" si="100"/>
        <v>0</v>
      </c>
      <c r="BD54" s="19" t="e">
        <f t="shared" si="101"/>
        <v>#DIV/0!</v>
      </c>
    </row>
    <row r="55" spans="1:56">
      <c r="A55" s="17">
        <v>9</v>
      </c>
      <c r="B55" s="18" t="s">
        <v>35</v>
      </c>
      <c r="C55" s="19"/>
      <c r="D55" s="19"/>
      <c r="E55" s="19"/>
      <c r="F55" s="19"/>
      <c r="G55" s="18"/>
      <c r="H55" s="18"/>
      <c r="I55" s="18"/>
      <c r="J55" s="18"/>
      <c r="K55" s="18"/>
      <c r="L55" s="18"/>
      <c r="M55" s="18"/>
      <c r="N55" s="18"/>
      <c r="P55" s="17">
        <v>9</v>
      </c>
      <c r="Q55" s="18" t="s">
        <v>35</v>
      </c>
      <c r="R55" s="19"/>
      <c r="S55" s="19"/>
      <c r="T55" s="19"/>
      <c r="U55" s="19"/>
      <c r="V55" s="18"/>
      <c r="W55" s="18"/>
      <c r="X55" s="18"/>
      <c r="Y55" s="18"/>
      <c r="Z55" s="18"/>
      <c r="AA55" s="18"/>
      <c r="AB55" s="18"/>
      <c r="AC55" s="18"/>
      <c r="AE55" s="17">
        <v>9</v>
      </c>
      <c r="AF55" s="18" t="s">
        <v>35</v>
      </c>
      <c r="AG55" s="19">
        <f t="shared" si="78"/>
        <v>0</v>
      </c>
      <c r="AH55" s="19" t="e">
        <f t="shared" si="79"/>
        <v>#DIV/0!</v>
      </c>
      <c r="AI55" s="19">
        <f t="shared" si="80"/>
        <v>0</v>
      </c>
      <c r="AJ55" s="19" t="e">
        <f t="shared" si="81"/>
        <v>#DIV/0!</v>
      </c>
      <c r="AK55" s="19">
        <f t="shared" si="82"/>
        <v>0</v>
      </c>
      <c r="AL55" s="19" t="e">
        <f t="shared" si="83"/>
        <v>#DIV/0!</v>
      </c>
      <c r="AM55" s="19">
        <f t="shared" si="84"/>
        <v>0</v>
      </c>
      <c r="AN55" s="19" t="e">
        <f t="shared" si="85"/>
        <v>#DIV/0!</v>
      </c>
      <c r="AO55" s="19">
        <f t="shared" si="86"/>
        <v>0</v>
      </c>
      <c r="AP55" s="19" t="e">
        <f t="shared" si="87"/>
        <v>#DIV/0!</v>
      </c>
      <c r="AQ55" s="19">
        <f t="shared" si="88"/>
        <v>0</v>
      </c>
      <c r="AR55" s="19" t="e">
        <f t="shared" si="89"/>
        <v>#DIV/0!</v>
      </c>
      <c r="AS55" s="19">
        <f t="shared" si="90"/>
        <v>0</v>
      </c>
      <c r="AT55" s="19" t="e">
        <f t="shared" si="91"/>
        <v>#DIV/0!</v>
      </c>
      <c r="AU55" s="19">
        <f t="shared" si="92"/>
        <v>0</v>
      </c>
      <c r="AV55" s="19" t="e">
        <f t="shared" si="93"/>
        <v>#DIV/0!</v>
      </c>
      <c r="AW55" s="19">
        <f t="shared" si="94"/>
        <v>0</v>
      </c>
      <c r="AX55" s="19" t="e">
        <f t="shared" si="95"/>
        <v>#DIV/0!</v>
      </c>
      <c r="AY55" s="19">
        <f t="shared" si="96"/>
        <v>0</v>
      </c>
      <c r="AZ55" s="19" t="e">
        <f t="shared" si="97"/>
        <v>#DIV/0!</v>
      </c>
      <c r="BA55" s="19">
        <f t="shared" si="98"/>
        <v>0</v>
      </c>
      <c r="BB55" s="19" t="e">
        <f t="shared" si="99"/>
        <v>#DIV/0!</v>
      </c>
      <c r="BC55" s="19">
        <f t="shared" si="100"/>
        <v>0</v>
      </c>
      <c r="BD55" s="19" t="e">
        <f t="shared" si="101"/>
        <v>#DIV/0!</v>
      </c>
    </row>
    <row r="56" spans="1:56">
      <c r="A56" s="17">
        <v>10</v>
      </c>
      <c r="B56" s="18" t="s">
        <v>37</v>
      </c>
      <c r="C56" s="19"/>
      <c r="D56" s="19"/>
      <c r="E56" s="19"/>
      <c r="F56" s="19"/>
      <c r="G56" s="18"/>
      <c r="H56" s="18"/>
      <c r="I56" s="18"/>
      <c r="J56" s="18"/>
      <c r="K56" s="18"/>
      <c r="L56" s="18"/>
      <c r="M56" s="18"/>
      <c r="N56" s="18"/>
      <c r="P56" s="17">
        <v>10</v>
      </c>
      <c r="Q56" s="18" t="s">
        <v>37</v>
      </c>
      <c r="R56" s="19"/>
      <c r="S56" s="19"/>
      <c r="T56" s="19"/>
      <c r="U56" s="19"/>
      <c r="V56" s="18"/>
      <c r="W56" s="18"/>
      <c r="X56" s="18"/>
      <c r="Y56" s="18"/>
      <c r="Z56" s="18"/>
      <c r="AA56" s="18"/>
      <c r="AB56" s="18"/>
      <c r="AC56" s="18"/>
      <c r="AE56" s="17">
        <v>10</v>
      </c>
      <c r="AF56" s="18" t="s">
        <v>37</v>
      </c>
      <c r="AG56" s="19">
        <f t="shared" si="78"/>
        <v>0</v>
      </c>
      <c r="AH56" s="19" t="e">
        <f t="shared" si="79"/>
        <v>#DIV/0!</v>
      </c>
      <c r="AI56" s="19">
        <f t="shared" si="80"/>
        <v>0</v>
      </c>
      <c r="AJ56" s="19" t="e">
        <f t="shared" si="81"/>
        <v>#DIV/0!</v>
      </c>
      <c r="AK56" s="19">
        <f t="shared" si="82"/>
        <v>0</v>
      </c>
      <c r="AL56" s="19" t="e">
        <f t="shared" si="83"/>
        <v>#DIV/0!</v>
      </c>
      <c r="AM56" s="19">
        <f t="shared" si="84"/>
        <v>0</v>
      </c>
      <c r="AN56" s="19" t="e">
        <f t="shared" si="85"/>
        <v>#DIV/0!</v>
      </c>
      <c r="AO56" s="19">
        <f t="shared" si="86"/>
        <v>0</v>
      </c>
      <c r="AP56" s="19" t="e">
        <f t="shared" si="87"/>
        <v>#DIV/0!</v>
      </c>
      <c r="AQ56" s="19">
        <f t="shared" si="88"/>
        <v>0</v>
      </c>
      <c r="AR56" s="19" t="e">
        <f t="shared" si="89"/>
        <v>#DIV/0!</v>
      </c>
      <c r="AS56" s="19">
        <f t="shared" si="90"/>
        <v>0</v>
      </c>
      <c r="AT56" s="19" t="e">
        <f t="shared" si="91"/>
        <v>#DIV/0!</v>
      </c>
      <c r="AU56" s="19">
        <f t="shared" si="92"/>
        <v>0</v>
      </c>
      <c r="AV56" s="19" t="e">
        <f t="shared" si="93"/>
        <v>#DIV/0!</v>
      </c>
      <c r="AW56" s="19">
        <f t="shared" si="94"/>
        <v>0</v>
      </c>
      <c r="AX56" s="19" t="e">
        <f t="shared" si="95"/>
        <v>#DIV/0!</v>
      </c>
      <c r="AY56" s="19">
        <f t="shared" si="96"/>
        <v>0</v>
      </c>
      <c r="AZ56" s="19" t="e">
        <f t="shared" si="97"/>
        <v>#DIV/0!</v>
      </c>
      <c r="BA56" s="19">
        <f t="shared" si="98"/>
        <v>0</v>
      </c>
      <c r="BB56" s="19" t="e">
        <f t="shared" si="99"/>
        <v>#DIV/0!</v>
      </c>
      <c r="BC56" s="19">
        <f t="shared" si="100"/>
        <v>0</v>
      </c>
      <c r="BD56" s="19" t="e">
        <f t="shared" si="101"/>
        <v>#DIV/0!</v>
      </c>
    </row>
    <row r="57" spans="1:56">
      <c r="A57" s="17">
        <v>11</v>
      </c>
      <c r="B57" s="18" t="s">
        <v>39</v>
      </c>
      <c r="C57" s="19"/>
      <c r="D57" s="19"/>
      <c r="E57" s="19"/>
      <c r="F57" s="19"/>
      <c r="G57" s="18"/>
      <c r="H57" s="18"/>
      <c r="I57" s="18"/>
      <c r="J57" s="18"/>
      <c r="K57" s="18"/>
      <c r="L57" s="18"/>
      <c r="M57" s="18"/>
      <c r="N57" s="18"/>
      <c r="P57" s="17">
        <v>11</v>
      </c>
      <c r="Q57" s="18" t="s">
        <v>39</v>
      </c>
      <c r="R57" s="19"/>
      <c r="S57" s="19"/>
      <c r="T57" s="19"/>
      <c r="U57" s="19"/>
      <c r="V57" s="18"/>
      <c r="W57" s="18"/>
      <c r="X57" s="18"/>
      <c r="Y57" s="18"/>
      <c r="Z57" s="18"/>
      <c r="AA57" s="18"/>
      <c r="AB57" s="18"/>
      <c r="AC57" s="18"/>
      <c r="AE57" s="17">
        <v>11</v>
      </c>
      <c r="AF57" s="18" t="s">
        <v>39</v>
      </c>
      <c r="AG57" s="19">
        <f t="shared" si="78"/>
        <v>0</v>
      </c>
      <c r="AH57" s="19" t="e">
        <f t="shared" si="79"/>
        <v>#DIV/0!</v>
      </c>
      <c r="AI57" s="19">
        <f t="shared" si="80"/>
        <v>0</v>
      </c>
      <c r="AJ57" s="19" t="e">
        <f t="shared" si="81"/>
        <v>#DIV/0!</v>
      </c>
      <c r="AK57" s="19">
        <f t="shared" si="82"/>
        <v>0</v>
      </c>
      <c r="AL57" s="19" t="e">
        <f t="shared" si="83"/>
        <v>#DIV/0!</v>
      </c>
      <c r="AM57" s="19">
        <f t="shared" si="84"/>
        <v>0</v>
      </c>
      <c r="AN57" s="19" t="e">
        <f t="shared" si="85"/>
        <v>#DIV/0!</v>
      </c>
      <c r="AO57" s="19">
        <f t="shared" si="86"/>
        <v>0</v>
      </c>
      <c r="AP57" s="19" t="e">
        <f t="shared" si="87"/>
        <v>#DIV/0!</v>
      </c>
      <c r="AQ57" s="19">
        <f t="shared" si="88"/>
        <v>0</v>
      </c>
      <c r="AR57" s="19" t="e">
        <f t="shared" si="89"/>
        <v>#DIV/0!</v>
      </c>
      <c r="AS57" s="19">
        <f t="shared" si="90"/>
        <v>0</v>
      </c>
      <c r="AT57" s="19" t="e">
        <f t="shared" si="91"/>
        <v>#DIV/0!</v>
      </c>
      <c r="AU57" s="19">
        <f t="shared" si="92"/>
        <v>0</v>
      </c>
      <c r="AV57" s="19" t="e">
        <f t="shared" si="93"/>
        <v>#DIV/0!</v>
      </c>
      <c r="AW57" s="19">
        <f t="shared" si="94"/>
        <v>0</v>
      </c>
      <c r="AX57" s="19" t="e">
        <f t="shared" si="95"/>
        <v>#DIV/0!</v>
      </c>
      <c r="AY57" s="19">
        <f t="shared" si="96"/>
        <v>0</v>
      </c>
      <c r="AZ57" s="19" t="e">
        <f t="shared" si="97"/>
        <v>#DIV/0!</v>
      </c>
      <c r="BA57" s="19">
        <f t="shared" si="98"/>
        <v>0</v>
      </c>
      <c r="BB57" s="19" t="e">
        <f t="shared" si="99"/>
        <v>#DIV/0!</v>
      </c>
      <c r="BC57" s="19">
        <f t="shared" si="100"/>
        <v>0</v>
      </c>
      <c r="BD57" s="19" t="e">
        <f t="shared" si="101"/>
        <v>#DIV/0!</v>
      </c>
    </row>
    <row r="58" spans="1:56">
      <c r="A58" s="17">
        <v>12</v>
      </c>
      <c r="B58" s="18" t="s">
        <v>41</v>
      </c>
      <c r="C58" s="19"/>
      <c r="D58" s="19"/>
      <c r="E58" s="19"/>
      <c r="F58" s="19"/>
      <c r="G58" s="18"/>
      <c r="H58" s="18"/>
      <c r="I58" s="18"/>
      <c r="J58" s="18"/>
      <c r="K58" s="18"/>
      <c r="L58" s="18"/>
      <c r="M58" s="18"/>
      <c r="N58" s="18"/>
      <c r="P58" s="17">
        <v>12</v>
      </c>
      <c r="Q58" s="18" t="s">
        <v>41</v>
      </c>
      <c r="R58" s="19"/>
      <c r="S58" s="19"/>
      <c r="T58" s="19"/>
      <c r="U58" s="19"/>
      <c r="V58" s="18"/>
      <c r="W58" s="18"/>
      <c r="X58" s="18"/>
      <c r="Y58" s="18"/>
      <c r="Z58" s="18"/>
      <c r="AA58" s="18"/>
      <c r="AB58" s="18"/>
      <c r="AC58" s="18"/>
      <c r="AE58" s="17">
        <v>12</v>
      </c>
      <c r="AF58" s="18" t="s">
        <v>41</v>
      </c>
      <c r="AG58" s="19">
        <f t="shared" si="78"/>
        <v>0</v>
      </c>
      <c r="AH58" s="19" t="e">
        <f t="shared" si="79"/>
        <v>#DIV/0!</v>
      </c>
      <c r="AI58" s="19">
        <f t="shared" si="80"/>
        <v>0</v>
      </c>
      <c r="AJ58" s="19" t="e">
        <f t="shared" si="81"/>
        <v>#DIV/0!</v>
      </c>
      <c r="AK58" s="19">
        <f t="shared" si="82"/>
        <v>0</v>
      </c>
      <c r="AL58" s="19" t="e">
        <f t="shared" si="83"/>
        <v>#DIV/0!</v>
      </c>
      <c r="AM58" s="19">
        <f t="shared" si="84"/>
        <v>0</v>
      </c>
      <c r="AN58" s="19" t="e">
        <f t="shared" si="85"/>
        <v>#DIV/0!</v>
      </c>
      <c r="AO58" s="19">
        <f t="shared" si="86"/>
        <v>0</v>
      </c>
      <c r="AP58" s="19" t="e">
        <f t="shared" si="87"/>
        <v>#DIV/0!</v>
      </c>
      <c r="AQ58" s="19">
        <f t="shared" si="88"/>
        <v>0</v>
      </c>
      <c r="AR58" s="19" t="e">
        <f t="shared" si="89"/>
        <v>#DIV/0!</v>
      </c>
      <c r="AS58" s="19">
        <f t="shared" si="90"/>
        <v>0</v>
      </c>
      <c r="AT58" s="19" t="e">
        <f t="shared" si="91"/>
        <v>#DIV/0!</v>
      </c>
      <c r="AU58" s="19">
        <f t="shared" si="92"/>
        <v>0</v>
      </c>
      <c r="AV58" s="19" t="e">
        <f t="shared" si="93"/>
        <v>#DIV/0!</v>
      </c>
      <c r="AW58" s="19">
        <f t="shared" si="94"/>
        <v>0</v>
      </c>
      <c r="AX58" s="19" t="e">
        <f t="shared" si="95"/>
        <v>#DIV/0!</v>
      </c>
      <c r="AY58" s="19">
        <f t="shared" si="96"/>
        <v>0</v>
      </c>
      <c r="AZ58" s="19" t="e">
        <f t="shared" si="97"/>
        <v>#DIV/0!</v>
      </c>
      <c r="BA58" s="19">
        <f t="shared" si="98"/>
        <v>0</v>
      </c>
      <c r="BB58" s="19" t="e">
        <f t="shared" si="99"/>
        <v>#DIV/0!</v>
      </c>
      <c r="BC58" s="19">
        <f t="shared" si="100"/>
        <v>0</v>
      </c>
      <c r="BD58" s="19" t="e">
        <f t="shared" si="101"/>
        <v>#DIV/0!</v>
      </c>
    </row>
    <row r="59" spans="1:56">
      <c r="A59" s="17">
        <v>13</v>
      </c>
      <c r="B59" s="18" t="s">
        <v>43</v>
      </c>
      <c r="C59" s="19"/>
      <c r="D59" s="19"/>
      <c r="E59" s="19"/>
      <c r="F59" s="19"/>
      <c r="G59" s="18"/>
      <c r="H59" s="18"/>
      <c r="I59" s="18"/>
      <c r="J59" s="18"/>
      <c r="K59" s="18"/>
      <c r="L59" s="18"/>
      <c r="M59" s="18"/>
      <c r="N59" s="18"/>
      <c r="P59" s="17">
        <v>13</v>
      </c>
      <c r="Q59" s="18" t="s">
        <v>43</v>
      </c>
      <c r="R59" s="19"/>
      <c r="S59" s="19"/>
      <c r="T59" s="19"/>
      <c r="U59" s="19"/>
      <c r="V59" s="18"/>
      <c r="W59" s="18"/>
      <c r="X59" s="18"/>
      <c r="Y59" s="18"/>
      <c r="Z59" s="18"/>
      <c r="AA59" s="18"/>
      <c r="AB59" s="18"/>
      <c r="AC59" s="18"/>
      <c r="AE59" s="17">
        <v>13</v>
      </c>
      <c r="AF59" s="18" t="s">
        <v>43</v>
      </c>
      <c r="AG59" s="19">
        <f t="shared" si="78"/>
        <v>0</v>
      </c>
      <c r="AH59" s="19" t="e">
        <f t="shared" si="79"/>
        <v>#DIV/0!</v>
      </c>
      <c r="AI59" s="19">
        <f t="shared" si="80"/>
        <v>0</v>
      </c>
      <c r="AJ59" s="19" t="e">
        <f t="shared" si="81"/>
        <v>#DIV/0!</v>
      </c>
      <c r="AK59" s="19">
        <f t="shared" si="82"/>
        <v>0</v>
      </c>
      <c r="AL59" s="19" t="e">
        <f t="shared" si="83"/>
        <v>#DIV/0!</v>
      </c>
      <c r="AM59" s="19">
        <f t="shared" si="84"/>
        <v>0</v>
      </c>
      <c r="AN59" s="19" t="e">
        <f t="shared" si="85"/>
        <v>#DIV/0!</v>
      </c>
      <c r="AO59" s="19">
        <f t="shared" si="86"/>
        <v>0</v>
      </c>
      <c r="AP59" s="19" t="e">
        <f t="shared" si="87"/>
        <v>#DIV/0!</v>
      </c>
      <c r="AQ59" s="19">
        <f t="shared" si="88"/>
        <v>0</v>
      </c>
      <c r="AR59" s="19" t="e">
        <f t="shared" si="89"/>
        <v>#DIV/0!</v>
      </c>
      <c r="AS59" s="19">
        <f t="shared" si="90"/>
        <v>0</v>
      </c>
      <c r="AT59" s="19" t="e">
        <f t="shared" si="91"/>
        <v>#DIV/0!</v>
      </c>
      <c r="AU59" s="19">
        <f t="shared" si="92"/>
        <v>0</v>
      </c>
      <c r="AV59" s="19" t="e">
        <f t="shared" si="93"/>
        <v>#DIV/0!</v>
      </c>
      <c r="AW59" s="19">
        <f t="shared" si="94"/>
        <v>0</v>
      </c>
      <c r="AX59" s="19" t="e">
        <f t="shared" si="95"/>
        <v>#DIV/0!</v>
      </c>
      <c r="AY59" s="19">
        <f t="shared" si="96"/>
        <v>0</v>
      </c>
      <c r="AZ59" s="19" t="e">
        <f t="shared" si="97"/>
        <v>#DIV/0!</v>
      </c>
      <c r="BA59" s="19">
        <f t="shared" si="98"/>
        <v>0</v>
      </c>
      <c r="BB59" s="19" t="e">
        <f t="shared" si="99"/>
        <v>#DIV/0!</v>
      </c>
      <c r="BC59" s="19">
        <f t="shared" si="100"/>
        <v>0</v>
      </c>
      <c r="BD59" s="19" t="e">
        <f t="shared" si="101"/>
        <v>#DIV/0!</v>
      </c>
    </row>
    <row r="60" spans="1:56">
      <c r="A60" s="17">
        <v>14</v>
      </c>
      <c r="B60" s="18" t="s">
        <v>44</v>
      </c>
      <c r="C60" s="19"/>
      <c r="D60" s="19"/>
      <c r="E60" s="19"/>
      <c r="F60" s="19"/>
      <c r="G60" s="18"/>
      <c r="H60" s="18"/>
      <c r="I60" s="18"/>
      <c r="J60" s="18"/>
      <c r="K60" s="18"/>
      <c r="L60" s="18"/>
      <c r="M60" s="18"/>
      <c r="N60" s="18"/>
      <c r="P60" s="17">
        <v>14</v>
      </c>
      <c r="Q60" s="18" t="s">
        <v>44</v>
      </c>
      <c r="R60" s="19"/>
      <c r="S60" s="19"/>
      <c r="T60" s="19"/>
      <c r="U60" s="19"/>
      <c r="V60" s="18"/>
      <c r="W60" s="18"/>
      <c r="X60" s="18"/>
      <c r="Y60" s="18"/>
      <c r="Z60" s="18"/>
      <c r="AA60" s="18"/>
      <c r="AB60" s="18"/>
      <c r="AC60" s="18"/>
      <c r="AE60" s="17">
        <v>14</v>
      </c>
      <c r="AF60" s="18" t="s">
        <v>44</v>
      </c>
      <c r="AG60" s="19">
        <f t="shared" si="78"/>
        <v>0</v>
      </c>
      <c r="AH60" s="19" t="e">
        <f t="shared" si="79"/>
        <v>#DIV/0!</v>
      </c>
      <c r="AI60" s="19">
        <f t="shared" si="80"/>
        <v>0</v>
      </c>
      <c r="AJ60" s="19" t="e">
        <f t="shared" si="81"/>
        <v>#DIV/0!</v>
      </c>
      <c r="AK60" s="19">
        <f t="shared" si="82"/>
        <v>0</v>
      </c>
      <c r="AL60" s="19" t="e">
        <f t="shared" si="83"/>
        <v>#DIV/0!</v>
      </c>
      <c r="AM60" s="19">
        <f t="shared" si="84"/>
        <v>0</v>
      </c>
      <c r="AN60" s="19" t="e">
        <f t="shared" si="85"/>
        <v>#DIV/0!</v>
      </c>
      <c r="AO60" s="19">
        <f t="shared" si="86"/>
        <v>0</v>
      </c>
      <c r="AP60" s="19" t="e">
        <f t="shared" si="87"/>
        <v>#DIV/0!</v>
      </c>
      <c r="AQ60" s="19">
        <f t="shared" si="88"/>
        <v>0</v>
      </c>
      <c r="AR60" s="19" t="e">
        <f t="shared" si="89"/>
        <v>#DIV/0!</v>
      </c>
      <c r="AS60" s="19">
        <f t="shared" si="90"/>
        <v>0</v>
      </c>
      <c r="AT60" s="19" t="e">
        <f t="shared" si="91"/>
        <v>#DIV/0!</v>
      </c>
      <c r="AU60" s="19">
        <f t="shared" si="92"/>
        <v>0</v>
      </c>
      <c r="AV60" s="19" t="e">
        <f t="shared" si="93"/>
        <v>#DIV/0!</v>
      </c>
      <c r="AW60" s="19">
        <f t="shared" si="94"/>
        <v>0</v>
      </c>
      <c r="AX60" s="19" t="e">
        <f t="shared" si="95"/>
        <v>#DIV/0!</v>
      </c>
      <c r="AY60" s="19">
        <f t="shared" si="96"/>
        <v>0</v>
      </c>
      <c r="AZ60" s="19" t="e">
        <f t="shared" si="97"/>
        <v>#DIV/0!</v>
      </c>
      <c r="BA60" s="19">
        <f t="shared" si="98"/>
        <v>0</v>
      </c>
      <c r="BB60" s="19" t="e">
        <f t="shared" si="99"/>
        <v>#DIV/0!</v>
      </c>
      <c r="BC60" s="19">
        <f t="shared" si="100"/>
        <v>0</v>
      </c>
      <c r="BD60" s="19" t="e">
        <f t="shared" si="101"/>
        <v>#DIV/0!</v>
      </c>
    </row>
    <row r="61" spans="1:56" ht="25.2" thickBot="1">
      <c r="A61" s="17"/>
      <c r="B61" s="20" t="s">
        <v>17</v>
      </c>
      <c r="C61" s="27">
        <f>SUM(C47:C60)</f>
        <v>38203505.140000001</v>
      </c>
      <c r="D61" s="27">
        <f t="shared" ref="D61:N61" si="102">SUM(D47:D60)</f>
        <v>39080782.759999998</v>
      </c>
      <c r="E61" s="27">
        <f t="shared" si="102"/>
        <v>39987303.159999996</v>
      </c>
      <c r="F61" s="27">
        <f t="shared" si="102"/>
        <v>0</v>
      </c>
      <c r="G61" s="27">
        <f t="shared" si="102"/>
        <v>0</v>
      </c>
      <c r="H61" s="27">
        <f t="shared" si="102"/>
        <v>0</v>
      </c>
      <c r="I61" s="27">
        <f t="shared" si="102"/>
        <v>0</v>
      </c>
      <c r="J61" s="27">
        <f t="shared" si="102"/>
        <v>0</v>
      </c>
      <c r="K61" s="27">
        <f t="shared" si="102"/>
        <v>0</v>
      </c>
      <c r="L61" s="27">
        <f t="shared" si="102"/>
        <v>0</v>
      </c>
      <c r="M61" s="27">
        <f t="shared" si="102"/>
        <v>0</v>
      </c>
      <c r="N61" s="27">
        <f t="shared" si="102"/>
        <v>0</v>
      </c>
      <c r="P61" s="17"/>
      <c r="Q61" s="20" t="s">
        <v>17</v>
      </c>
      <c r="R61" s="27">
        <f>SUM(R47:R60)</f>
        <v>62197331.049999997</v>
      </c>
      <c r="S61" s="27">
        <f t="shared" ref="S61:AC61" si="103">SUM(S47:S60)</f>
        <v>63331037.999999993</v>
      </c>
      <c r="T61" s="27">
        <f t="shared" si="103"/>
        <v>64464744.950000003</v>
      </c>
      <c r="U61" s="27">
        <f t="shared" si="103"/>
        <v>0</v>
      </c>
      <c r="V61" s="27">
        <f t="shared" si="103"/>
        <v>0</v>
      </c>
      <c r="W61" s="27">
        <f t="shared" si="103"/>
        <v>0</v>
      </c>
      <c r="X61" s="27">
        <f t="shared" si="103"/>
        <v>0</v>
      </c>
      <c r="Y61" s="27">
        <f t="shared" si="103"/>
        <v>0</v>
      </c>
      <c r="Z61" s="27">
        <f t="shared" si="103"/>
        <v>0</v>
      </c>
      <c r="AA61" s="27">
        <f t="shared" si="103"/>
        <v>0</v>
      </c>
      <c r="AB61" s="27">
        <f t="shared" si="103"/>
        <v>0</v>
      </c>
      <c r="AC61" s="27">
        <f t="shared" si="103"/>
        <v>0</v>
      </c>
      <c r="AE61" s="17"/>
      <c r="AF61" s="20" t="s">
        <v>17</v>
      </c>
      <c r="AG61" s="23">
        <f t="shared" si="78"/>
        <v>-23993825.909999996</v>
      </c>
      <c r="AH61" s="23">
        <f t="shared" si="79"/>
        <v>-62.805299728578767</v>
      </c>
      <c r="AI61" s="23">
        <f t="shared" si="80"/>
        <v>-24250255.239999995</v>
      </c>
      <c r="AJ61" s="23">
        <f t="shared" si="81"/>
        <v>-62.051610861849568</v>
      </c>
      <c r="AK61" s="23">
        <f t="shared" si="82"/>
        <v>-24477441.790000007</v>
      </c>
      <c r="AL61" s="23">
        <f t="shared" si="83"/>
        <v>-61.213034777712195</v>
      </c>
      <c r="AM61" s="23">
        <f t="shared" si="84"/>
        <v>0</v>
      </c>
      <c r="AN61" s="23" t="e">
        <f t="shared" si="85"/>
        <v>#DIV/0!</v>
      </c>
      <c r="AO61" s="23">
        <f t="shared" si="86"/>
        <v>0</v>
      </c>
      <c r="AP61" s="23" t="e">
        <f t="shared" si="87"/>
        <v>#DIV/0!</v>
      </c>
      <c r="AQ61" s="23">
        <f t="shared" si="88"/>
        <v>0</v>
      </c>
      <c r="AR61" s="23" t="e">
        <f t="shared" si="89"/>
        <v>#DIV/0!</v>
      </c>
      <c r="AS61" s="23">
        <f t="shared" si="90"/>
        <v>0</v>
      </c>
      <c r="AT61" s="23" t="e">
        <f t="shared" si="91"/>
        <v>#DIV/0!</v>
      </c>
      <c r="AU61" s="23">
        <f t="shared" si="92"/>
        <v>0</v>
      </c>
      <c r="AV61" s="23" t="e">
        <f t="shared" si="93"/>
        <v>#DIV/0!</v>
      </c>
      <c r="AW61" s="23">
        <f t="shared" si="94"/>
        <v>0</v>
      </c>
      <c r="AX61" s="23" t="e">
        <f t="shared" si="95"/>
        <v>#DIV/0!</v>
      </c>
      <c r="AY61" s="23">
        <f t="shared" si="96"/>
        <v>0</v>
      </c>
      <c r="AZ61" s="23" t="e">
        <f t="shared" si="97"/>
        <v>#DIV/0!</v>
      </c>
      <c r="BA61" s="23">
        <f t="shared" si="98"/>
        <v>0</v>
      </c>
      <c r="BB61" s="23" t="e">
        <f t="shared" si="99"/>
        <v>#DIV/0!</v>
      </c>
      <c r="BC61" s="23">
        <f t="shared" si="100"/>
        <v>0</v>
      </c>
      <c r="BD61" s="23" t="e">
        <f t="shared" si="101"/>
        <v>#DIV/0!</v>
      </c>
    </row>
    <row r="62" spans="1:56" ht="25.2" thickTop="1"/>
    <row r="63" spans="1:56">
      <c r="A63" s="32" t="s">
        <v>1942</v>
      </c>
      <c r="B63" s="32"/>
      <c r="C63" s="32"/>
      <c r="D63" s="32"/>
      <c r="E63" s="32"/>
      <c r="F63" s="32"/>
      <c r="G63" s="32"/>
      <c r="H63" s="32"/>
      <c r="I63" s="32"/>
    </row>
    <row r="64" spans="1:56" customFormat="1" ht="21">
      <c r="A64" s="28" t="s">
        <v>659</v>
      </c>
      <c r="B64" s="28" t="s">
        <v>660</v>
      </c>
      <c r="C64" s="28" t="s">
        <v>661</v>
      </c>
      <c r="D64" s="28" t="s">
        <v>662</v>
      </c>
      <c r="E64" s="28" t="s">
        <v>663</v>
      </c>
      <c r="F64" s="28" t="s">
        <v>664</v>
      </c>
      <c r="G64" s="28" t="s">
        <v>665</v>
      </c>
    </row>
    <row r="65" spans="1:9" customFormat="1" ht="21">
      <c r="A65" s="28" t="s">
        <v>338</v>
      </c>
      <c r="B65" s="28" t="s">
        <v>91</v>
      </c>
      <c r="C65" s="28" t="s">
        <v>92</v>
      </c>
      <c r="D65" s="28" t="s">
        <v>339</v>
      </c>
      <c r="E65" s="29">
        <v>51840</v>
      </c>
      <c r="F65" s="29">
        <v>-51839</v>
      </c>
      <c r="G65" s="29">
        <v>1</v>
      </c>
      <c r="H65" t="s">
        <v>1494</v>
      </c>
      <c r="I65" t="s">
        <v>11</v>
      </c>
    </row>
    <row r="66" spans="1:9" customFormat="1" ht="21">
      <c r="A66" s="28" t="s">
        <v>340</v>
      </c>
      <c r="B66" s="28" t="s">
        <v>91</v>
      </c>
      <c r="C66" s="28" t="s">
        <v>92</v>
      </c>
      <c r="D66" s="28" t="s">
        <v>341</v>
      </c>
      <c r="E66" s="29">
        <v>184800</v>
      </c>
      <c r="F66" s="29">
        <v>-184799</v>
      </c>
      <c r="G66" s="29">
        <v>1</v>
      </c>
      <c r="H66" t="s">
        <v>1494</v>
      </c>
      <c r="I66" t="s">
        <v>11</v>
      </c>
    </row>
    <row r="67" spans="1:9" customFormat="1" ht="21">
      <c r="A67" s="28" t="s">
        <v>342</v>
      </c>
      <c r="B67" s="28" t="s">
        <v>91</v>
      </c>
      <c r="C67" s="28" t="s">
        <v>92</v>
      </c>
      <c r="D67" s="28" t="s">
        <v>343</v>
      </c>
      <c r="E67" s="29">
        <v>184800</v>
      </c>
      <c r="F67" s="29">
        <v>-184799</v>
      </c>
      <c r="G67" s="29">
        <v>1</v>
      </c>
      <c r="H67" t="s">
        <v>1494</v>
      </c>
      <c r="I67" t="s">
        <v>11</v>
      </c>
    </row>
    <row r="68" spans="1:9" customFormat="1" ht="21">
      <c r="A68" s="28" t="s">
        <v>344</v>
      </c>
      <c r="B68" s="28" t="s">
        <v>91</v>
      </c>
      <c r="C68" s="28" t="s">
        <v>92</v>
      </c>
      <c r="D68" s="28" t="s">
        <v>341</v>
      </c>
      <c r="E68" s="29">
        <v>184800</v>
      </c>
      <c r="F68" s="29">
        <v>-184799</v>
      </c>
      <c r="G68" s="29">
        <v>1</v>
      </c>
      <c r="H68" t="s">
        <v>1494</v>
      </c>
      <c r="I68" t="s">
        <v>11</v>
      </c>
    </row>
    <row r="69" spans="1:9" customFormat="1" ht="21">
      <c r="A69" s="28" t="s">
        <v>345</v>
      </c>
      <c r="B69" s="28" t="s">
        <v>91</v>
      </c>
      <c r="C69" s="28" t="s">
        <v>92</v>
      </c>
      <c r="D69" s="28" t="s">
        <v>341</v>
      </c>
      <c r="E69" s="29">
        <v>184800</v>
      </c>
      <c r="F69" s="29">
        <v>-184799</v>
      </c>
      <c r="G69" s="29">
        <v>1</v>
      </c>
      <c r="H69" t="s">
        <v>1494</v>
      </c>
      <c r="I69" t="s">
        <v>11</v>
      </c>
    </row>
    <row r="70" spans="1:9" customFormat="1" ht="21">
      <c r="A70" s="28" t="s">
        <v>346</v>
      </c>
      <c r="B70" s="28" t="s">
        <v>91</v>
      </c>
      <c r="C70" s="28" t="s">
        <v>92</v>
      </c>
      <c r="D70" s="28" t="s">
        <v>341</v>
      </c>
      <c r="E70" s="29">
        <v>184800</v>
      </c>
      <c r="F70" s="29">
        <v>-184799</v>
      </c>
      <c r="G70" s="29">
        <v>1</v>
      </c>
      <c r="H70" t="s">
        <v>1494</v>
      </c>
      <c r="I70" t="s">
        <v>11</v>
      </c>
    </row>
    <row r="71" spans="1:9" customFormat="1" ht="21">
      <c r="A71" s="28" t="s">
        <v>347</v>
      </c>
      <c r="B71" s="28" t="s">
        <v>91</v>
      </c>
      <c r="C71" s="28" t="s">
        <v>92</v>
      </c>
      <c r="D71" s="28" t="s">
        <v>341</v>
      </c>
      <c r="E71" s="29">
        <v>129360</v>
      </c>
      <c r="F71" s="29">
        <v>-129359</v>
      </c>
      <c r="G71" s="29">
        <v>1</v>
      </c>
      <c r="H71" t="s">
        <v>1494</v>
      </c>
      <c r="I71" t="s">
        <v>11</v>
      </c>
    </row>
    <row r="72" spans="1:9" customFormat="1" ht="21">
      <c r="A72" s="28" t="s">
        <v>348</v>
      </c>
      <c r="B72" s="28" t="s">
        <v>91</v>
      </c>
      <c r="C72" s="28" t="s">
        <v>92</v>
      </c>
      <c r="D72" s="28" t="s">
        <v>341</v>
      </c>
      <c r="E72" s="29">
        <v>129360</v>
      </c>
      <c r="F72" s="29">
        <v>-129359</v>
      </c>
      <c r="G72" s="29">
        <v>1</v>
      </c>
      <c r="H72" t="s">
        <v>1494</v>
      </c>
      <c r="I72" t="s">
        <v>11</v>
      </c>
    </row>
    <row r="73" spans="1:9" customFormat="1" ht="21">
      <c r="A73" s="28" t="s">
        <v>349</v>
      </c>
      <c r="B73" s="28" t="s">
        <v>91</v>
      </c>
      <c r="C73" s="28" t="s">
        <v>92</v>
      </c>
      <c r="D73" s="28" t="s">
        <v>350</v>
      </c>
      <c r="E73" s="29">
        <v>344000</v>
      </c>
      <c r="F73" s="29">
        <v>-343999</v>
      </c>
      <c r="G73" s="29">
        <v>1</v>
      </c>
      <c r="H73" t="s">
        <v>1494</v>
      </c>
      <c r="I73" t="s">
        <v>11</v>
      </c>
    </row>
    <row r="74" spans="1:9" customFormat="1" ht="21">
      <c r="A74" s="28" t="s">
        <v>351</v>
      </c>
      <c r="B74" s="28" t="s">
        <v>91</v>
      </c>
      <c r="C74" s="28" t="s">
        <v>92</v>
      </c>
      <c r="D74" s="28" t="s">
        <v>352</v>
      </c>
      <c r="E74" s="29">
        <v>344000</v>
      </c>
      <c r="F74" s="29">
        <v>-343999</v>
      </c>
      <c r="G74" s="29">
        <v>1</v>
      </c>
      <c r="H74" t="s">
        <v>1494</v>
      </c>
      <c r="I74" t="s">
        <v>11</v>
      </c>
    </row>
    <row r="75" spans="1:9" customFormat="1" ht="21">
      <c r="A75" s="28" t="s">
        <v>353</v>
      </c>
      <c r="B75" s="28" t="s">
        <v>91</v>
      </c>
      <c r="C75" s="28" t="s">
        <v>92</v>
      </c>
      <c r="D75" s="28" t="s">
        <v>354</v>
      </c>
      <c r="E75" s="29">
        <v>344000</v>
      </c>
      <c r="F75" s="29">
        <v>-343999</v>
      </c>
      <c r="G75" s="29">
        <v>1</v>
      </c>
      <c r="H75" t="s">
        <v>1494</v>
      </c>
      <c r="I75" t="s">
        <v>11</v>
      </c>
    </row>
    <row r="76" spans="1:9" customFormat="1" ht="21">
      <c r="A76" s="28" t="s">
        <v>355</v>
      </c>
      <c r="B76" s="28" t="s">
        <v>91</v>
      </c>
      <c r="C76" s="28" t="s">
        <v>92</v>
      </c>
      <c r="D76" s="28" t="s">
        <v>356</v>
      </c>
      <c r="E76" s="29">
        <v>446845</v>
      </c>
      <c r="F76" s="29">
        <v>-446844</v>
      </c>
      <c r="G76" s="29">
        <v>1</v>
      </c>
      <c r="H76" t="s">
        <v>1494</v>
      </c>
      <c r="I76" t="s">
        <v>11</v>
      </c>
    </row>
    <row r="77" spans="1:9" customFormat="1" ht="21">
      <c r="A77" s="28" t="s">
        <v>357</v>
      </c>
      <c r="B77" s="28" t="s">
        <v>91</v>
      </c>
      <c r="C77" s="28" t="s">
        <v>92</v>
      </c>
      <c r="D77" s="28" t="s">
        <v>356</v>
      </c>
      <c r="E77" s="29">
        <v>446845</v>
      </c>
      <c r="F77" s="29">
        <v>-446844</v>
      </c>
      <c r="G77" s="29">
        <v>1</v>
      </c>
      <c r="H77" t="s">
        <v>1494</v>
      </c>
      <c r="I77" t="s">
        <v>11</v>
      </c>
    </row>
    <row r="78" spans="1:9" customFormat="1" ht="21">
      <c r="A78" s="28" t="s">
        <v>358</v>
      </c>
      <c r="B78" s="28" t="s">
        <v>91</v>
      </c>
      <c r="C78" s="28" t="s">
        <v>92</v>
      </c>
      <c r="D78" s="28" t="s">
        <v>356</v>
      </c>
      <c r="E78" s="29">
        <v>446845</v>
      </c>
      <c r="F78" s="29">
        <v>-446844</v>
      </c>
      <c r="G78" s="29">
        <v>1</v>
      </c>
      <c r="H78" t="s">
        <v>1494</v>
      </c>
      <c r="I78" t="s">
        <v>11</v>
      </c>
    </row>
    <row r="79" spans="1:9" customFormat="1" ht="21">
      <c r="A79" s="28" t="s">
        <v>359</v>
      </c>
      <c r="B79" s="28" t="s">
        <v>91</v>
      </c>
      <c r="C79" s="28" t="s">
        <v>360</v>
      </c>
      <c r="D79" s="28" t="s">
        <v>361</v>
      </c>
      <c r="E79" s="29">
        <v>3781000</v>
      </c>
      <c r="F79" s="29">
        <v>-3780999</v>
      </c>
      <c r="G79" s="29">
        <v>1</v>
      </c>
      <c r="H79" t="s">
        <v>1494</v>
      </c>
      <c r="I79" t="s">
        <v>11</v>
      </c>
    </row>
    <row r="80" spans="1:9" customFormat="1" ht="21">
      <c r="A80" s="28" t="s">
        <v>362</v>
      </c>
      <c r="B80" s="28" t="s">
        <v>91</v>
      </c>
      <c r="C80" s="28" t="s">
        <v>92</v>
      </c>
      <c r="D80" s="28" t="s">
        <v>363</v>
      </c>
      <c r="E80" s="29">
        <v>1459200</v>
      </c>
      <c r="F80" s="29">
        <v>-327465.36</v>
      </c>
      <c r="G80" s="29">
        <v>1131734.6399999999</v>
      </c>
      <c r="H80" t="s">
        <v>1494</v>
      </c>
      <c r="I80" t="s">
        <v>11</v>
      </c>
    </row>
    <row r="81" spans="1:9" customFormat="1" ht="21">
      <c r="A81" s="28" t="s">
        <v>362</v>
      </c>
      <c r="B81" s="28" t="s">
        <v>108</v>
      </c>
      <c r="C81" s="28" t="s">
        <v>92</v>
      </c>
      <c r="D81" s="28" t="s">
        <v>363</v>
      </c>
      <c r="E81" s="29">
        <v>4012800</v>
      </c>
      <c r="F81" s="29">
        <v>-4012799</v>
      </c>
      <c r="G81" s="29">
        <v>1</v>
      </c>
      <c r="H81" t="s">
        <v>1494</v>
      </c>
      <c r="I81" t="s">
        <v>11</v>
      </c>
    </row>
    <row r="82" spans="1:9" customFormat="1" ht="21">
      <c r="A82" s="28" t="s">
        <v>364</v>
      </c>
      <c r="B82" s="28" t="s">
        <v>91</v>
      </c>
      <c r="C82" s="28" t="s">
        <v>92</v>
      </c>
      <c r="D82" s="28" t="s">
        <v>365</v>
      </c>
      <c r="E82" s="29">
        <v>446845</v>
      </c>
      <c r="F82" s="29">
        <v>-446844</v>
      </c>
      <c r="G82" s="29">
        <v>1</v>
      </c>
      <c r="H82" t="s">
        <v>1494</v>
      </c>
      <c r="I82" t="s">
        <v>11</v>
      </c>
    </row>
    <row r="83" spans="1:9" customFormat="1" ht="21">
      <c r="A83" s="28" t="s">
        <v>366</v>
      </c>
      <c r="B83" s="28" t="s">
        <v>91</v>
      </c>
      <c r="C83" s="28" t="s">
        <v>92</v>
      </c>
      <c r="D83" s="28" t="s">
        <v>367</v>
      </c>
      <c r="E83" s="29">
        <v>446845</v>
      </c>
      <c r="F83" s="29">
        <v>-446844</v>
      </c>
      <c r="G83" s="29">
        <v>1</v>
      </c>
      <c r="H83" t="s">
        <v>1494</v>
      </c>
      <c r="I83" t="s">
        <v>11</v>
      </c>
    </row>
    <row r="84" spans="1:9" customFormat="1" ht="21">
      <c r="A84" s="28" t="s">
        <v>368</v>
      </c>
      <c r="B84" s="28" t="s">
        <v>91</v>
      </c>
      <c r="C84" s="28" t="s">
        <v>92</v>
      </c>
      <c r="D84" s="28" t="s">
        <v>369</v>
      </c>
      <c r="E84" s="29">
        <v>366600</v>
      </c>
      <c r="F84" s="29">
        <v>-366599</v>
      </c>
      <c r="G84" s="29">
        <v>1</v>
      </c>
      <c r="H84" t="s">
        <v>1494</v>
      </c>
      <c r="I84" t="s">
        <v>11</v>
      </c>
    </row>
    <row r="85" spans="1:9" customFormat="1" ht="21">
      <c r="A85" s="28" t="s">
        <v>370</v>
      </c>
      <c r="B85" s="28" t="s">
        <v>91</v>
      </c>
      <c r="C85" s="28" t="s">
        <v>92</v>
      </c>
      <c r="D85" s="28" t="s">
        <v>371</v>
      </c>
      <c r="E85" s="29">
        <v>572800</v>
      </c>
      <c r="F85" s="29">
        <v>-572799</v>
      </c>
      <c r="G85" s="29">
        <v>1</v>
      </c>
      <c r="H85" t="s">
        <v>1494</v>
      </c>
      <c r="I85" t="s">
        <v>11</v>
      </c>
    </row>
    <row r="86" spans="1:9" customFormat="1" ht="21">
      <c r="A86" s="28" t="s">
        <v>372</v>
      </c>
      <c r="B86" s="28" t="s">
        <v>91</v>
      </c>
      <c r="C86" s="28" t="s">
        <v>92</v>
      </c>
      <c r="D86" s="28" t="s">
        <v>373</v>
      </c>
      <c r="E86" s="29">
        <v>51840</v>
      </c>
      <c r="F86" s="29">
        <v>-51839</v>
      </c>
      <c r="G86" s="29">
        <v>1</v>
      </c>
      <c r="H86" t="s">
        <v>1494</v>
      </c>
      <c r="I86" t="s">
        <v>11</v>
      </c>
    </row>
    <row r="87" spans="1:9" customFormat="1" ht="21">
      <c r="A87" s="28" t="s">
        <v>374</v>
      </c>
      <c r="B87" s="28" t="s">
        <v>91</v>
      </c>
      <c r="C87" s="28" t="s">
        <v>92</v>
      </c>
      <c r="D87" s="28" t="s">
        <v>341</v>
      </c>
      <c r="E87" s="29">
        <v>148500</v>
      </c>
      <c r="F87" s="29">
        <v>-148499</v>
      </c>
      <c r="G87" s="29">
        <v>1</v>
      </c>
      <c r="H87" t="s">
        <v>1494</v>
      </c>
      <c r="I87" t="s">
        <v>11</v>
      </c>
    </row>
    <row r="88" spans="1:9" customFormat="1" ht="21">
      <c r="A88" s="28" t="s">
        <v>375</v>
      </c>
      <c r="B88" s="28" t="s">
        <v>91</v>
      </c>
      <c r="C88" s="28" t="s">
        <v>92</v>
      </c>
      <c r="D88" s="28" t="s">
        <v>376</v>
      </c>
      <c r="E88" s="29">
        <v>60480</v>
      </c>
      <c r="F88" s="29">
        <v>-60479</v>
      </c>
      <c r="G88" s="29">
        <v>1</v>
      </c>
      <c r="H88" t="s">
        <v>1494</v>
      </c>
      <c r="I88" t="s">
        <v>11</v>
      </c>
    </row>
    <row r="89" spans="1:9" customFormat="1" ht="21">
      <c r="A89" s="28" t="s">
        <v>377</v>
      </c>
      <c r="B89" s="28" t="s">
        <v>91</v>
      </c>
      <c r="C89" s="28" t="s">
        <v>92</v>
      </c>
      <c r="D89" s="28" t="s">
        <v>378</v>
      </c>
      <c r="E89" s="29">
        <v>60480</v>
      </c>
      <c r="F89" s="29">
        <v>-60479</v>
      </c>
      <c r="G89" s="29">
        <v>1</v>
      </c>
      <c r="H89" t="s">
        <v>1494</v>
      </c>
      <c r="I89" t="s">
        <v>11</v>
      </c>
    </row>
    <row r="90" spans="1:9" customFormat="1" ht="21">
      <c r="A90" s="28" t="s">
        <v>379</v>
      </c>
      <c r="B90" s="28" t="s">
        <v>91</v>
      </c>
      <c r="C90" s="28" t="s">
        <v>92</v>
      </c>
      <c r="D90" s="28" t="s">
        <v>380</v>
      </c>
      <c r="E90" s="29">
        <v>60480</v>
      </c>
      <c r="F90" s="29">
        <v>-60479</v>
      </c>
      <c r="G90" s="29">
        <v>1</v>
      </c>
      <c r="H90" t="s">
        <v>1494</v>
      </c>
      <c r="I90" t="s">
        <v>11</v>
      </c>
    </row>
    <row r="91" spans="1:9" customFormat="1" ht="21">
      <c r="A91" s="28" t="s">
        <v>381</v>
      </c>
      <c r="B91" s="28" t="s">
        <v>91</v>
      </c>
      <c r="C91" s="28" t="s">
        <v>92</v>
      </c>
      <c r="D91" s="28" t="s">
        <v>378</v>
      </c>
      <c r="E91" s="29">
        <v>60480</v>
      </c>
      <c r="F91" s="29">
        <v>-60479</v>
      </c>
      <c r="G91" s="29">
        <v>1</v>
      </c>
      <c r="H91" t="s">
        <v>1494</v>
      </c>
      <c r="I91" t="s">
        <v>11</v>
      </c>
    </row>
    <row r="92" spans="1:9" customFormat="1" ht="21">
      <c r="A92" s="28" t="s">
        <v>382</v>
      </c>
      <c r="B92" s="28" t="s">
        <v>91</v>
      </c>
      <c r="C92" s="28" t="s">
        <v>92</v>
      </c>
      <c r="D92" s="28" t="s">
        <v>378</v>
      </c>
      <c r="E92" s="29">
        <v>60480</v>
      </c>
      <c r="F92" s="29">
        <v>-60479</v>
      </c>
      <c r="G92" s="29">
        <v>1</v>
      </c>
      <c r="H92" t="s">
        <v>1494</v>
      </c>
      <c r="I92" t="s">
        <v>11</v>
      </c>
    </row>
    <row r="93" spans="1:9" customFormat="1" ht="21">
      <c r="A93" s="28" t="s">
        <v>383</v>
      </c>
      <c r="B93" s="28" t="s">
        <v>91</v>
      </c>
      <c r="C93" s="28" t="s">
        <v>92</v>
      </c>
      <c r="D93" s="28" t="s">
        <v>341</v>
      </c>
      <c r="E93" s="29">
        <v>115200</v>
      </c>
      <c r="F93" s="29">
        <v>-115199</v>
      </c>
      <c r="G93" s="29">
        <v>1</v>
      </c>
      <c r="H93" t="s">
        <v>1494</v>
      </c>
      <c r="I93" t="s">
        <v>11</v>
      </c>
    </row>
    <row r="94" spans="1:9" customFormat="1" ht="21">
      <c r="A94" s="28" t="s">
        <v>562</v>
      </c>
      <c r="B94" s="28" t="s">
        <v>91</v>
      </c>
      <c r="C94" s="28" t="s">
        <v>92</v>
      </c>
      <c r="D94" s="28" t="s">
        <v>563</v>
      </c>
      <c r="E94" s="29">
        <v>90801666.670000002</v>
      </c>
      <c r="F94" s="29">
        <v>-9005941.8800000008</v>
      </c>
      <c r="G94" s="29">
        <v>81795724.790000007</v>
      </c>
      <c r="H94" t="s">
        <v>1494</v>
      </c>
      <c r="I94" t="s">
        <v>9</v>
      </c>
    </row>
    <row r="95" spans="1:9" customFormat="1" ht="21">
      <c r="A95" s="28" t="s">
        <v>562</v>
      </c>
      <c r="B95" s="28" t="s">
        <v>108</v>
      </c>
      <c r="C95" s="28" t="s">
        <v>92</v>
      </c>
      <c r="D95" s="28" t="s">
        <v>563</v>
      </c>
      <c r="E95" s="29">
        <v>59698333.329999998</v>
      </c>
      <c r="F95" s="29">
        <v>-59698332.329999998</v>
      </c>
      <c r="G95" s="29">
        <v>1</v>
      </c>
      <c r="H95" t="s">
        <v>1494</v>
      </c>
      <c r="I95" t="s">
        <v>9</v>
      </c>
    </row>
    <row r="96" spans="1:9" customFormat="1" ht="21">
      <c r="A96" s="28" t="s">
        <v>564</v>
      </c>
      <c r="B96" s="28" t="s">
        <v>91</v>
      </c>
      <c r="C96" s="28" t="s">
        <v>92</v>
      </c>
      <c r="D96" s="28" t="s">
        <v>565</v>
      </c>
      <c r="E96" s="29">
        <v>2332400</v>
      </c>
      <c r="F96" s="29">
        <v>-2332399</v>
      </c>
      <c r="G96" s="29">
        <v>1</v>
      </c>
      <c r="H96" t="s">
        <v>1494</v>
      </c>
      <c r="I96" t="s">
        <v>9</v>
      </c>
    </row>
    <row r="97" spans="1:9" customFormat="1" ht="21">
      <c r="A97" s="28" t="s">
        <v>566</v>
      </c>
      <c r="B97" s="28" t="s">
        <v>91</v>
      </c>
      <c r="C97" s="28" t="s">
        <v>92</v>
      </c>
      <c r="D97" s="28" t="s">
        <v>567</v>
      </c>
      <c r="E97" s="29">
        <v>714875</v>
      </c>
      <c r="F97" s="29">
        <v>-714874</v>
      </c>
      <c r="G97" s="29">
        <v>1</v>
      </c>
      <c r="H97" t="s">
        <v>1494</v>
      </c>
      <c r="I97" t="s">
        <v>9</v>
      </c>
    </row>
    <row r="98" spans="1:9" customFormat="1" ht="21">
      <c r="A98" s="28" t="s">
        <v>568</v>
      </c>
      <c r="B98" s="28" t="s">
        <v>91</v>
      </c>
      <c r="C98" s="28" t="s">
        <v>92</v>
      </c>
      <c r="D98" s="28" t="s">
        <v>569</v>
      </c>
      <c r="E98" s="29">
        <v>7729600</v>
      </c>
      <c r="F98" s="29">
        <v>-7729599</v>
      </c>
      <c r="G98" s="29">
        <v>1</v>
      </c>
      <c r="H98" t="s">
        <v>1494</v>
      </c>
      <c r="I98" t="s">
        <v>9</v>
      </c>
    </row>
    <row r="99" spans="1:9" customFormat="1" ht="21">
      <c r="A99" s="28" t="s">
        <v>570</v>
      </c>
      <c r="B99" s="28" t="s">
        <v>91</v>
      </c>
      <c r="C99" s="28" t="s">
        <v>92</v>
      </c>
      <c r="D99" s="28" t="s">
        <v>571</v>
      </c>
      <c r="E99" s="29">
        <v>4524000</v>
      </c>
      <c r="F99" s="29">
        <v>-4523999</v>
      </c>
      <c r="G99" s="29">
        <v>1</v>
      </c>
      <c r="H99" t="s">
        <v>1494</v>
      </c>
      <c r="I99" t="s">
        <v>9</v>
      </c>
    </row>
    <row r="100" spans="1:9" customFormat="1" ht="21">
      <c r="A100" s="28" t="s">
        <v>572</v>
      </c>
      <c r="B100" s="28" t="s">
        <v>91</v>
      </c>
      <c r="C100" s="28" t="s">
        <v>92</v>
      </c>
      <c r="D100" s="28" t="s">
        <v>573</v>
      </c>
      <c r="E100" s="29">
        <v>114439052</v>
      </c>
      <c r="F100" s="29">
        <v>-7336353.46</v>
      </c>
      <c r="G100" s="29">
        <v>107102698.54000001</v>
      </c>
      <c r="H100" t="s">
        <v>1494</v>
      </c>
      <c r="I100" t="s">
        <v>9</v>
      </c>
    </row>
    <row r="101" spans="1:9" customFormat="1" ht="21">
      <c r="A101" s="28" t="s">
        <v>572</v>
      </c>
      <c r="B101" s="28" t="s">
        <v>108</v>
      </c>
      <c r="C101" s="28" t="s">
        <v>92</v>
      </c>
      <c r="D101" s="28" t="s">
        <v>574</v>
      </c>
      <c r="E101" s="29">
        <v>8174218</v>
      </c>
      <c r="F101" s="29">
        <v>-8174217</v>
      </c>
      <c r="G101" s="29">
        <v>1</v>
      </c>
      <c r="H101" t="s">
        <v>1494</v>
      </c>
      <c r="I101" t="s">
        <v>9</v>
      </c>
    </row>
    <row r="102" spans="1:9" customFormat="1" ht="21">
      <c r="A102" s="28" t="s">
        <v>572</v>
      </c>
      <c r="B102" s="28" t="s">
        <v>480</v>
      </c>
      <c r="C102" s="28" t="s">
        <v>92</v>
      </c>
      <c r="D102" s="28" t="s">
        <v>575</v>
      </c>
      <c r="E102" s="29">
        <v>2557333.33</v>
      </c>
      <c r="F102" s="29">
        <v>-163943.18</v>
      </c>
      <c r="G102" s="29">
        <v>2393390.15</v>
      </c>
      <c r="H102" t="s">
        <v>1494</v>
      </c>
      <c r="I102" t="s">
        <v>9</v>
      </c>
    </row>
    <row r="103" spans="1:9" customFormat="1" ht="21">
      <c r="A103" s="28" t="s">
        <v>572</v>
      </c>
      <c r="B103" s="28" t="s">
        <v>482</v>
      </c>
      <c r="C103" s="28" t="s">
        <v>92</v>
      </c>
      <c r="D103" s="28" t="s">
        <v>575</v>
      </c>
      <c r="E103" s="29">
        <v>182666.67</v>
      </c>
      <c r="F103" s="29">
        <v>-182665.67</v>
      </c>
      <c r="G103" s="29">
        <v>1</v>
      </c>
      <c r="H103" t="s">
        <v>1494</v>
      </c>
      <c r="I103" t="s">
        <v>9</v>
      </c>
    </row>
    <row r="104" spans="1:9" customFormat="1" ht="21">
      <c r="A104" s="28" t="s">
        <v>572</v>
      </c>
      <c r="B104" s="28" t="s">
        <v>541</v>
      </c>
      <c r="C104" s="28" t="s">
        <v>92</v>
      </c>
      <c r="D104" s="28" t="s">
        <v>575</v>
      </c>
      <c r="E104" s="29">
        <v>2557333.33</v>
      </c>
      <c r="F104" s="29">
        <v>-163943.18</v>
      </c>
      <c r="G104" s="29">
        <v>2393390.15</v>
      </c>
      <c r="H104" t="s">
        <v>1494</v>
      </c>
      <c r="I104" t="s">
        <v>9</v>
      </c>
    </row>
    <row r="105" spans="1:9" customFormat="1" ht="21">
      <c r="A105" s="28" t="s">
        <v>572</v>
      </c>
      <c r="B105" s="28" t="s">
        <v>543</v>
      </c>
      <c r="C105" s="28" t="s">
        <v>92</v>
      </c>
      <c r="D105" s="28" t="s">
        <v>575</v>
      </c>
      <c r="E105" s="29">
        <v>182666.67</v>
      </c>
      <c r="F105" s="29">
        <v>-182665.67</v>
      </c>
      <c r="G105" s="29">
        <v>1</v>
      </c>
      <c r="H105" t="s">
        <v>1494</v>
      </c>
      <c r="I105" t="s">
        <v>9</v>
      </c>
    </row>
    <row r="106" spans="1:9" customFormat="1" ht="21">
      <c r="A106" s="28" t="s">
        <v>572</v>
      </c>
      <c r="B106" s="28" t="s">
        <v>576</v>
      </c>
      <c r="C106" s="28" t="s">
        <v>92</v>
      </c>
      <c r="D106" s="28" t="s">
        <v>575</v>
      </c>
      <c r="E106" s="29">
        <v>2412666.67</v>
      </c>
      <c r="F106" s="29">
        <v>-154669.01999999999</v>
      </c>
      <c r="G106" s="29">
        <v>2257997.65</v>
      </c>
      <c r="H106" t="s">
        <v>1494</v>
      </c>
      <c r="I106" t="s">
        <v>9</v>
      </c>
    </row>
    <row r="107" spans="1:9" customFormat="1" ht="21">
      <c r="A107" s="28" t="s">
        <v>572</v>
      </c>
      <c r="B107" s="28" t="s">
        <v>577</v>
      </c>
      <c r="C107" s="28" t="s">
        <v>92</v>
      </c>
      <c r="D107" s="28" t="s">
        <v>575</v>
      </c>
      <c r="E107" s="29">
        <v>172333.33</v>
      </c>
      <c r="F107" s="29">
        <v>-172332.33</v>
      </c>
      <c r="G107" s="29">
        <v>1</v>
      </c>
      <c r="H107" t="s">
        <v>1494</v>
      </c>
      <c r="I107" t="s">
        <v>9</v>
      </c>
    </row>
    <row r="108" spans="1:9" customFormat="1" ht="21">
      <c r="A108" s="28" t="s">
        <v>1495</v>
      </c>
      <c r="B108" s="28" t="s">
        <v>91</v>
      </c>
      <c r="C108" s="28" t="s">
        <v>92</v>
      </c>
      <c r="D108" s="28" t="s">
        <v>1496</v>
      </c>
      <c r="E108" s="29">
        <v>600000</v>
      </c>
      <c r="F108" s="29">
        <v>-599999</v>
      </c>
      <c r="G108" s="29">
        <v>1</v>
      </c>
      <c r="H108" t="s">
        <v>1494</v>
      </c>
      <c r="I108" t="s">
        <v>13</v>
      </c>
    </row>
    <row r="109" spans="1:9" customFormat="1" ht="21">
      <c r="A109" s="28" t="s">
        <v>1497</v>
      </c>
      <c r="B109" s="28" t="s">
        <v>91</v>
      </c>
      <c r="C109" s="28" t="s">
        <v>92</v>
      </c>
      <c r="D109" s="28" t="s">
        <v>1496</v>
      </c>
      <c r="E109" s="29">
        <v>160000</v>
      </c>
      <c r="F109" s="29">
        <v>-159999</v>
      </c>
      <c r="G109" s="29">
        <v>1</v>
      </c>
      <c r="H109" t="s">
        <v>1494</v>
      </c>
      <c r="I109" t="s">
        <v>13</v>
      </c>
    </row>
    <row r="110" spans="1:9" customFormat="1" ht="21">
      <c r="A110" s="28" t="s">
        <v>1498</v>
      </c>
      <c r="B110" s="28" t="s">
        <v>91</v>
      </c>
      <c r="C110" s="28" t="s">
        <v>92</v>
      </c>
      <c r="D110" s="28" t="s">
        <v>1499</v>
      </c>
      <c r="E110" s="29">
        <v>370000</v>
      </c>
      <c r="F110" s="29">
        <v>-369999</v>
      </c>
      <c r="G110" s="29">
        <v>1</v>
      </c>
      <c r="H110" t="s">
        <v>1494</v>
      </c>
      <c r="I110" t="s">
        <v>13</v>
      </c>
    </row>
    <row r="111" spans="1:9" customFormat="1" ht="21">
      <c r="A111" s="28" t="s">
        <v>1500</v>
      </c>
      <c r="B111" s="28" t="s">
        <v>91</v>
      </c>
      <c r="C111" s="28" t="s">
        <v>92</v>
      </c>
      <c r="D111" s="28" t="s">
        <v>1501</v>
      </c>
      <c r="E111" s="29">
        <v>762400</v>
      </c>
      <c r="F111" s="29">
        <v>-762399</v>
      </c>
      <c r="G111" s="29">
        <v>1</v>
      </c>
      <c r="H111" t="s">
        <v>1494</v>
      </c>
      <c r="I111" t="s">
        <v>13</v>
      </c>
    </row>
    <row r="112" spans="1:9" customFormat="1" ht="21">
      <c r="A112" s="28" t="s">
        <v>1502</v>
      </c>
      <c r="B112" s="28" t="s">
        <v>91</v>
      </c>
      <c r="C112" s="28" t="s">
        <v>92</v>
      </c>
      <c r="D112" s="28" t="s">
        <v>1503</v>
      </c>
      <c r="E112" s="29">
        <v>630000</v>
      </c>
      <c r="F112" s="29">
        <v>-629999</v>
      </c>
      <c r="G112" s="29">
        <v>1</v>
      </c>
      <c r="H112" t="s">
        <v>1494</v>
      </c>
      <c r="I112" t="s">
        <v>13</v>
      </c>
    </row>
    <row r="113" spans="1:9" customFormat="1" ht="21">
      <c r="A113" s="28" t="s">
        <v>1504</v>
      </c>
      <c r="B113" s="28" t="s">
        <v>91</v>
      </c>
      <c r="C113" s="28" t="s">
        <v>92</v>
      </c>
      <c r="D113" s="28" t="s">
        <v>1505</v>
      </c>
      <c r="E113" s="29">
        <v>289535</v>
      </c>
      <c r="F113" s="29">
        <v>-289534</v>
      </c>
      <c r="G113" s="29">
        <v>1</v>
      </c>
      <c r="H113" t="s">
        <v>1494</v>
      </c>
      <c r="I113" t="s">
        <v>13</v>
      </c>
    </row>
    <row r="114" spans="1:9" customFormat="1" ht="21">
      <c r="A114" s="28" t="s">
        <v>1506</v>
      </c>
      <c r="B114" s="28" t="s">
        <v>91</v>
      </c>
      <c r="C114" s="28" t="s">
        <v>92</v>
      </c>
      <c r="D114" s="28" t="s">
        <v>1507</v>
      </c>
      <c r="E114" s="29">
        <v>1017346</v>
      </c>
      <c r="F114" s="29">
        <v>-1017345</v>
      </c>
      <c r="G114" s="29">
        <v>1</v>
      </c>
      <c r="H114" t="s">
        <v>1494</v>
      </c>
      <c r="I114" t="s">
        <v>13</v>
      </c>
    </row>
    <row r="115" spans="1:9" customFormat="1" ht="21">
      <c r="A115" s="28" t="s">
        <v>1508</v>
      </c>
      <c r="B115" s="28" t="s">
        <v>91</v>
      </c>
      <c r="C115" s="28" t="s">
        <v>92</v>
      </c>
      <c r="D115" s="28" t="s">
        <v>1509</v>
      </c>
      <c r="E115" s="29">
        <v>7875</v>
      </c>
      <c r="F115" s="29">
        <v>-7874</v>
      </c>
      <c r="G115" s="29">
        <v>1</v>
      </c>
      <c r="H115" t="s">
        <v>1494</v>
      </c>
      <c r="I115" t="s">
        <v>15</v>
      </c>
    </row>
    <row r="116" spans="1:9" customFormat="1" ht="21">
      <c r="A116" s="28" t="s">
        <v>1510</v>
      </c>
      <c r="B116" s="28" t="s">
        <v>91</v>
      </c>
      <c r="C116" s="28" t="s">
        <v>92</v>
      </c>
      <c r="D116" s="28" t="s">
        <v>1511</v>
      </c>
      <c r="E116" s="29">
        <v>6634747.5300000003</v>
      </c>
      <c r="F116" s="29">
        <v>-6634746.5300000003</v>
      </c>
      <c r="G116" s="29">
        <v>1</v>
      </c>
      <c r="H116" t="s">
        <v>1494</v>
      </c>
      <c r="I116" t="s">
        <v>15</v>
      </c>
    </row>
    <row r="117" spans="1:9" customFormat="1" ht="21">
      <c r="A117" s="28" t="s">
        <v>1512</v>
      </c>
      <c r="B117" s="28" t="s">
        <v>91</v>
      </c>
      <c r="C117" s="28" t="s">
        <v>92</v>
      </c>
      <c r="D117" s="28" t="s">
        <v>1513</v>
      </c>
      <c r="E117" s="29">
        <v>1046700</v>
      </c>
      <c r="F117" s="29">
        <v>-1046699</v>
      </c>
      <c r="G117" s="29">
        <v>1</v>
      </c>
      <c r="H117" t="s">
        <v>1494</v>
      </c>
      <c r="I117" t="s">
        <v>15</v>
      </c>
    </row>
    <row r="118" spans="1:9" customFormat="1" ht="21">
      <c r="A118" s="28" t="s">
        <v>1514</v>
      </c>
      <c r="B118" s="28" t="s">
        <v>91</v>
      </c>
      <c r="C118" s="28" t="s">
        <v>92</v>
      </c>
      <c r="D118" s="28" t="s">
        <v>1515</v>
      </c>
      <c r="E118" s="29">
        <v>13555.56</v>
      </c>
      <c r="F118" s="29">
        <v>-13554.56</v>
      </c>
      <c r="G118" s="29">
        <v>1</v>
      </c>
      <c r="H118" t="s">
        <v>1494</v>
      </c>
      <c r="I118" t="s">
        <v>18</v>
      </c>
    </row>
    <row r="119" spans="1:9" customFormat="1" ht="21">
      <c r="A119" s="28" t="s">
        <v>1514</v>
      </c>
      <c r="B119" s="28" t="s">
        <v>108</v>
      </c>
      <c r="C119" s="28" t="s">
        <v>92</v>
      </c>
      <c r="D119" s="28" t="s">
        <v>1515</v>
      </c>
      <c r="E119" s="29">
        <v>16944.439999999999</v>
      </c>
      <c r="F119" s="29">
        <v>-16943.439999999999</v>
      </c>
      <c r="G119" s="29">
        <v>1</v>
      </c>
      <c r="H119" t="s">
        <v>1494</v>
      </c>
      <c r="I119" t="s">
        <v>18</v>
      </c>
    </row>
    <row r="120" spans="1:9" customFormat="1" ht="21">
      <c r="A120" s="28" t="s">
        <v>1516</v>
      </c>
      <c r="B120" s="28" t="s">
        <v>91</v>
      </c>
      <c r="C120" s="28" t="s">
        <v>92</v>
      </c>
      <c r="D120" s="28" t="s">
        <v>1517</v>
      </c>
      <c r="E120" s="29">
        <v>13555.56</v>
      </c>
      <c r="F120" s="29">
        <v>-13554.56</v>
      </c>
      <c r="G120" s="29">
        <v>1</v>
      </c>
      <c r="H120" t="s">
        <v>1494</v>
      </c>
      <c r="I120" t="s">
        <v>18</v>
      </c>
    </row>
    <row r="121" spans="1:9" customFormat="1" ht="21">
      <c r="A121" s="28" t="s">
        <v>1516</v>
      </c>
      <c r="B121" s="28" t="s">
        <v>108</v>
      </c>
      <c r="C121" s="28" t="s">
        <v>92</v>
      </c>
      <c r="D121" s="28" t="s">
        <v>1517</v>
      </c>
      <c r="E121" s="29">
        <v>16944.439999999999</v>
      </c>
      <c r="F121" s="29">
        <v>-16943.439999999999</v>
      </c>
      <c r="G121" s="29">
        <v>1</v>
      </c>
      <c r="H121" t="s">
        <v>1494</v>
      </c>
      <c r="I121" t="s">
        <v>18</v>
      </c>
    </row>
    <row r="122" spans="1:9" customFormat="1" ht="21">
      <c r="A122" s="28" t="s">
        <v>1518</v>
      </c>
      <c r="B122" s="28" t="s">
        <v>91</v>
      </c>
      <c r="C122" s="28" t="s">
        <v>92</v>
      </c>
      <c r="D122" s="28" t="s">
        <v>1519</v>
      </c>
      <c r="E122" s="29">
        <v>13555.56</v>
      </c>
      <c r="F122" s="29">
        <v>-13554.56</v>
      </c>
      <c r="G122" s="29">
        <v>1</v>
      </c>
      <c r="H122" t="s">
        <v>1494</v>
      </c>
      <c r="I122" t="s">
        <v>18</v>
      </c>
    </row>
    <row r="123" spans="1:9" customFormat="1" ht="21">
      <c r="A123" s="28" t="s">
        <v>1518</v>
      </c>
      <c r="B123" s="28" t="s">
        <v>108</v>
      </c>
      <c r="C123" s="28" t="s">
        <v>92</v>
      </c>
      <c r="D123" s="28" t="s">
        <v>1519</v>
      </c>
      <c r="E123" s="29">
        <v>16944.439999999999</v>
      </c>
      <c r="F123" s="29">
        <v>-16943.439999999999</v>
      </c>
      <c r="G123" s="29">
        <v>1</v>
      </c>
      <c r="H123" t="s">
        <v>1494</v>
      </c>
      <c r="I123" t="s">
        <v>18</v>
      </c>
    </row>
    <row r="124" spans="1:9" customFormat="1" ht="21">
      <c r="A124" s="28" t="s">
        <v>1520</v>
      </c>
      <c r="B124" s="28" t="s">
        <v>91</v>
      </c>
      <c r="C124" s="28" t="s">
        <v>92</v>
      </c>
      <c r="D124" s="28" t="s">
        <v>1519</v>
      </c>
      <c r="E124" s="29">
        <v>13555.56</v>
      </c>
      <c r="F124" s="29">
        <v>-13554.56</v>
      </c>
      <c r="G124" s="29">
        <v>1</v>
      </c>
      <c r="H124" t="s">
        <v>1494</v>
      </c>
      <c r="I124" t="s">
        <v>18</v>
      </c>
    </row>
    <row r="125" spans="1:9" customFormat="1" ht="21">
      <c r="A125" s="28" t="s">
        <v>1520</v>
      </c>
      <c r="B125" s="28" t="s">
        <v>108</v>
      </c>
      <c r="C125" s="28" t="s">
        <v>92</v>
      </c>
      <c r="D125" s="28" t="s">
        <v>1519</v>
      </c>
      <c r="E125" s="29">
        <v>16944.439999999999</v>
      </c>
      <c r="F125" s="29">
        <v>-16943.439999999999</v>
      </c>
      <c r="G125" s="29">
        <v>1</v>
      </c>
      <c r="H125" t="s">
        <v>1494</v>
      </c>
      <c r="I125" t="s">
        <v>18</v>
      </c>
    </row>
    <row r="126" spans="1:9" customFormat="1" ht="21">
      <c r="A126" s="28" t="s">
        <v>1521</v>
      </c>
      <c r="B126" s="28" t="s">
        <v>91</v>
      </c>
      <c r="C126" s="28" t="s">
        <v>92</v>
      </c>
      <c r="D126" s="28" t="s">
        <v>1522</v>
      </c>
      <c r="E126" s="29">
        <v>13555.56</v>
      </c>
      <c r="F126" s="29">
        <v>-13554.56</v>
      </c>
      <c r="G126" s="29">
        <v>1</v>
      </c>
      <c r="H126" t="s">
        <v>1494</v>
      </c>
      <c r="I126" t="s">
        <v>18</v>
      </c>
    </row>
    <row r="127" spans="1:9" customFormat="1" ht="21">
      <c r="A127" s="28" t="s">
        <v>1521</v>
      </c>
      <c r="B127" s="28" t="s">
        <v>108</v>
      </c>
      <c r="C127" s="28" t="s">
        <v>92</v>
      </c>
      <c r="D127" s="28" t="s">
        <v>1522</v>
      </c>
      <c r="E127" s="29">
        <v>16944.439999999999</v>
      </c>
      <c r="F127" s="29">
        <v>-16943.439999999999</v>
      </c>
      <c r="G127" s="29">
        <v>1</v>
      </c>
      <c r="H127" t="s">
        <v>1494</v>
      </c>
      <c r="I127" t="s">
        <v>18</v>
      </c>
    </row>
    <row r="128" spans="1:9" customFormat="1" ht="21">
      <c r="A128" s="28" t="s">
        <v>1523</v>
      </c>
      <c r="B128" s="28" t="s">
        <v>91</v>
      </c>
      <c r="C128" s="28" t="s">
        <v>92</v>
      </c>
      <c r="D128" s="28" t="s">
        <v>1522</v>
      </c>
      <c r="E128" s="29">
        <v>13555.56</v>
      </c>
      <c r="F128" s="29">
        <v>-13554.56</v>
      </c>
      <c r="G128" s="29">
        <v>1</v>
      </c>
      <c r="H128" t="s">
        <v>1494</v>
      </c>
      <c r="I128" t="s">
        <v>18</v>
      </c>
    </row>
    <row r="129" spans="1:9" customFormat="1" ht="21">
      <c r="A129" s="28" t="s">
        <v>1523</v>
      </c>
      <c r="B129" s="28" t="s">
        <v>108</v>
      </c>
      <c r="C129" s="28" t="s">
        <v>92</v>
      </c>
      <c r="D129" s="28" t="s">
        <v>1522</v>
      </c>
      <c r="E129" s="29">
        <v>16944.439999999999</v>
      </c>
      <c r="F129" s="29">
        <v>-16943.439999999999</v>
      </c>
      <c r="G129" s="29">
        <v>1</v>
      </c>
      <c r="H129" t="s">
        <v>1494</v>
      </c>
      <c r="I129" t="s">
        <v>18</v>
      </c>
    </row>
    <row r="130" spans="1:9" customFormat="1" ht="21">
      <c r="A130" s="28" t="s">
        <v>1524</v>
      </c>
      <c r="B130" s="28" t="s">
        <v>91</v>
      </c>
      <c r="C130" s="28" t="s">
        <v>92</v>
      </c>
      <c r="D130" s="28" t="s">
        <v>1522</v>
      </c>
      <c r="E130" s="29">
        <v>13555.56</v>
      </c>
      <c r="F130" s="29">
        <v>-13554.56</v>
      </c>
      <c r="G130" s="29">
        <v>1</v>
      </c>
      <c r="H130" t="s">
        <v>1494</v>
      </c>
      <c r="I130" t="s">
        <v>18</v>
      </c>
    </row>
    <row r="131" spans="1:9" customFormat="1" ht="21">
      <c r="A131" s="28" t="s">
        <v>1524</v>
      </c>
      <c r="B131" s="28" t="s">
        <v>108</v>
      </c>
      <c r="C131" s="28" t="s">
        <v>92</v>
      </c>
      <c r="D131" s="28" t="s">
        <v>1522</v>
      </c>
      <c r="E131" s="29">
        <v>16944.439999999999</v>
      </c>
      <c r="F131" s="29">
        <v>-16943.439999999999</v>
      </c>
      <c r="G131" s="29">
        <v>1</v>
      </c>
      <c r="H131" t="s">
        <v>1494</v>
      </c>
      <c r="I131" t="s">
        <v>18</v>
      </c>
    </row>
    <row r="132" spans="1:9" customFormat="1" ht="21">
      <c r="A132" s="28" t="s">
        <v>1525</v>
      </c>
      <c r="B132" s="28" t="s">
        <v>91</v>
      </c>
      <c r="C132" s="28" t="s">
        <v>92</v>
      </c>
      <c r="D132" s="28" t="s">
        <v>1522</v>
      </c>
      <c r="E132" s="29">
        <v>13555.56</v>
      </c>
      <c r="F132" s="29">
        <v>-13554.56</v>
      </c>
      <c r="G132" s="29">
        <v>1</v>
      </c>
      <c r="H132" t="s">
        <v>1494</v>
      </c>
      <c r="I132" t="s">
        <v>18</v>
      </c>
    </row>
    <row r="133" spans="1:9" customFormat="1" ht="21">
      <c r="A133" s="28" t="s">
        <v>1525</v>
      </c>
      <c r="B133" s="28" t="s">
        <v>108</v>
      </c>
      <c r="C133" s="28" t="s">
        <v>92</v>
      </c>
      <c r="D133" s="28" t="s">
        <v>1522</v>
      </c>
      <c r="E133" s="29">
        <v>16944.439999999999</v>
      </c>
      <c r="F133" s="29">
        <v>-16943.439999999999</v>
      </c>
      <c r="G133" s="29">
        <v>1</v>
      </c>
      <c r="H133" t="s">
        <v>1494</v>
      </c>
      <c r="I133" t="s">
        <v>18</v>
      </c>
    </row>
    <row r="134" spans="1:9" customFormat="1" ht="21">
      <c r="A134" s="28" t="s">
        <v>1526</v>
      </c>
      <c r="B134" s="28" t="s">
        <v>91</v>
      </c>
      <c r="C134" s="28" t="s">
        <v>92</v>
      </c>
      <c r="D134" s="28" t="s">
        <v>1522</v>
      </c>
      <c r="E134" s="29">
        <v>13555.56</v>
      </c>
      <c r="F134" s="29">
        <v>-13554.56</v>
      </c>
      <c r="G134" s="29">
        <v>1</v>
      </c>
      <c r="H134" t="s">
        <v>1494</v>
      </c>
      <c r="I134" t="s">
        <v>18</v>
      </c>
    </row>
    <row r="135" spans="1:9" customFormat="1" ht="21">
      <c r="A135" s="28" t="s">
        <v>1526</v>
      </c>
      <c r="B135" s="28" t="s">
        <v>108</v>
      </c>
      <c r="C135" s="28" t="s">
        <v>92</v>
      </c>
      <c r="D135" s="28" t="s">
        <v>1522</v>
      </c>
      <c r="E135" s="29">
        <v>16944.439999999999</v>
      </c>
      <c r="F135" s="29">
        <v>-16943.439999999999</v>
      </c>
      <c r="G135" s="29">
        <v>1</v>
      </c>
      <c r="H135" t="s">
        <v>1494</v>
      </c>
      <c r="I135" t="s">
        <v>18</v>
      </c>
    </row>
    <row r="136" spans="1:9" customFormat="1" ht="21">
      <c r="A136" s="28" t="s">
        <v>1527</v>
      </c>
      <c r="B136" s="28" t="s">
        <v>91</v>
      </c>
      <c r="C136" s="28" t="s">
        <v>92</v>
      </c>
      <c r="D136" s="28" t="s">
        <v>1522</v>
      </c>
      <c r="E136" s="29">
        <v>13555.56</v>
      </c>
      <c r="F136" s="29">
        <v>-13554.56</v>
      </c>
      <c r="G136" s="29">
        <v>1</v>
      </c>
      <c r="H136" t="s">
        <v>1494</v>
      </c>
      <c r="I136" t="s">
        <v>18</v>
      </c>
    </row>
    <row r="137" spans="1:9" customFormat="1" ht="21">
      <c r="A137" s="28" t="s">
        <v>1527</v>
      </c>
      <c r="B137" s="28" t="s">
        <v>108</v>
      </c>
      <c r="C137" s="28" t="s">
        <v>92</v>
      </c>
      <c r="D137" s="28" t="s">
        <v>1522</v>
      </c>
      <c r="E137" s="29">
        <v>16944.439999999999</v>
      </c>
      <c r="F137" s="29">
        <v>-16943.439999999999</v>
      </c>
      <c r="G137" s="29">
        <v>1</v>
      </c>
      <c r="H137" t="s">
        <v>1494</v>
      </c>
      <c r="I137" t="s">
        <v>18</v>
      </c>
    </row>
    <row r="138" spans="1:9" customFormat="1" ht="21">
      <c r="A138" s="28" t="s">
        <v>1528</v>
      </c>
      <c r="B138" s="28" t="s">
        <v>91</v>
      </c>
      <c r="C138" s="28" t="s">
        <v>92</v>
      </c>
      <c r="D138" s="28" t="s">
        <v>1529</v>
      </c>
      <c r="E138" s="29">
        <v>13555.56</v>
      </c>
      <c r="F138" s="29">
        <v>-13554.56</v>
      </c>
      <c r="G138" s="29">
        <v>1</v>
      </c>
      <c r="H138" t="s">
        <v>1494</v>
      </c>
      <c r="I138" t="s">
        <v>18</v>
      </c>
    </row>
    <row r="139" spans="1:9" customFormat="1" ht="21">
      <c r="A139" s="28" t="s">
        <v>1528</v>
      </c>
      <c r="B139" s="28" t="s">
        <v>108</v>
      </c>
      <c r="C139" s="28" t="s">
        <v>92</v>
      </c>
      <c r="D139" s="28" t="s">
        <v>1529</v>
      </c>
      <c r="E139" s="29">
        <v>16944.439999999999</v>
      </c>
      <c r="F139" s="29">
        <v>-16943.439999999999</v>
      </c>
      <c r="G139" s="29">
        <v>1</v>
      </c>
      <c r="H139" t="s">
        <v>1494</v>
      </c>
      <c r="I139" t="s">
        <v>18</v>
      </c>
    </row>
    <row r="140" spans="1:9" customFormat="1" ht="21">
      <c r="A140" s="28" t="s">
        <v>1530</v>
      </c>
      <c r="B140" s="28" t="s">
        <v>91</v>
      </c>
      <c r="C140" s="28" t="s">
        <v>92</v>
      </c>
      <c r="D140" s="28" t="s">
        <v>1529</v>
      </c>
      <c r="E140" s="29">
        <v>13555.56</v>
      </c>
      <c r="F140" s="29">
        <v>-13554.56</v>
      </c>
      <c r="G140" s="29">
        <v>1</v>
      </c>
      <c r="H140" t="s">
        <v>1494</v>
      </c>
      <c r="I140" t="s">
        <v>18</v>
      </c>
    </row>
    <row r="141" spans="1:9" customFormat="1" ht="21">
      <c r="A141" s="28" t="s">
        <v>1530</v>
      </c>
      <c r="B141" s="28" t="s">
        <v>108</v>
      </c>
      <c r="C141" s="28" t="s">
        <v>92</v>
      </c>
      <c r="D141" s="28" t="s">
        <v>1529</v>
      </c>
      <c r="E141" s="29">
        <v>16944.439999999999</v>
      </c>
      <c r="F141" s="29">
        <v>-16943.439999999999</v>
      </c>
      <c r="G141" s="29">
        <v>1</v>
      </c>
      <c r="H141" t="s">
        <v>1494</v>
      </c>
      <c r="I141" t="s">
        <v>18</v>
      </c>
    </row>
    <row r="142" spans="1:9" customFormat="1" ht="21">
      <c r="A142" s="28" t="s">
        <v>1531</v>
      </c>
      <c r="B142" s="28" t="s">
        <v>91</v>
      </c>
      <c r="C142" s="28" t="s">
        <v>92</v>
      </c>
      <c r="D142" s="28" t="s">
        <v>1529</v>
      </c>
      <c r="E142" s="29">
        <v>13555.56</v>
      </c>
      <c r="F142" s="29">
        <v>-13554.56</v>
      </c>
      <c r="G142" s="29">
        <v>1</v>
      </c>
      <c r="H142" t="s">
        <v>1494</v>
      </c>
      <c r="I142" t="s">
        <v>18</v>
      </c>
    </row>
    <row r="143" spans="1:9" customFormat="1" ht="21">
      <c r="A143" s="28" t="s">
        <v>1531</v>
      </c>
      <c r="B143" s="28" t="s">
        <v>108</v>
      </c>
      <c r="C143" s="28" t="s">
        <v>92</v>
      </c>
      <c r="D143" s="28" t="s">
        <v>1529</v>
      </c>
      <c r="E143" s="29">
        <v>16944.439999999999</v>
      </c>
      <c r="F143" s="29">
        <v>-16943.439999999999</v>
      </c>
      <c r="G143" s="29">
        <v>1</v>
      </c>
      <c r="H143" t="s">
        <v>1494</v>
      </c>
      <c r="I143" t="s">
        <v>18</v>
      </c>
    </row>
    <row r="144" spans="1:9" customFormat="1" ht="21">
      <c r="A144" s="28" t="s">
        <v>1532</v>
      </c>
      <c r="B144" s="28" t="s">
        <v>91</v>
      </c>
      <c r="C144" s="28" t="s">
        <v>92</v>
      </c>
      <c r="D144" s="28" t="s">
        <v>1529</v>
      </c>
      <c r="E144" s="29">
        <v>13555.56</v>
      </c>
      <c r="F144" s="29">
        <v>-13554.56</v>
      </c>
      <c r="G144" s="29">
        <v>1</v>
      </c>
      <c r="H144" t="s">
        <v>1494</v>
      </c>
      <c r="I144" t="s">
        <v>18</v>
      </c>
    </row>
    <row r="145" spans="1:9" customFormat="1" ht="21">
      <c r="A145" s="28" t="s">
        <v>1532</v>
      </c>
      <c r="B145" s="28" t="s">
        <v>108</v>
      </c>
      <c r="C145" s="28" t="s">
        <v>92</v>
      </c>
      <c r="D145" s="28" t="s">
        <v>1529</v>
      </c>
      <c r="E145" s="29">
        <v>16944.439999999999</v>
      </c>
      <c r="F145" s="29">
        <v>-16943.439999999999</v>
      </c>
      <c r="G145" s="29">
        <v>1</v>
      </c>
      <c r="H145" t="s">
        <v>1494</v>
      </c>
      <c r="I145" t="s">
        <v>18</v>
      </c>
    </row>
    <row r="146" spans="1:9" customFormat="1" ht="21">
      <c r="A146" s="28" t="s">
        <v>1533</v>
      </c>
      <c r="B146" s="28" t="s">
        <v>91</v>
      </c>
      <c r="C146" s="28" t="s">
        <v>92</v>
      </c>
      <c r="D146" s="28" t="s">
        <v>1529</v>
      </c>
      <c r="E146" s="29">
        <v>13555.56</v>
      </c>
      <c r="F146" s="29">
        <v>-13554.56</v>
      </c>
      <c r="G146" s="29">
        <v>1</v>
      </c>
      <c r="H146" t="s">
        <v>1494</v>
      </c>
      <c r="I146" t="s">
        <v>18</v>
      </c>
    </row>
    <row r="147" spans="1:9" customFormat="1" ht="21">
      <c r="A147" s="28" t="s">
        <v>1533</v>
      </c>
      <c r="B147" s="28" t="s">
        <v>108</v>
      </c>
      <c r="C147" s="28" t="s">
        <v>92</v>
      </c>
      <c r="D147" s="28" t="s">
        <v>1529</v>
      </c>
      <c r="E147" s="29">
        <v>16944.439999999999</v>
      </c>
      <c r="F147" s="29">
        <v>-16943.439999999999</v>
      </c>
      <c r="G147" s="29">
        <v>1</v>
      </c>
      <c r="H147" t="s">
        <v>1494</v>
      </c>
      <c r="I147" t="s">
        <v>18</v>
      </c>
    </row>
    <row r="148" spans="1:9" customFormat="1" ht="21">
      <c r="A148" s="28" t="s">
        <v>1534</v>
      </c>
      <c r="B148" s="28" t="s">
        <v>91</v>
      </c>
      <c r="C148" s="28" t="s">
        <v>92</v>
      </c>
      <c r="D148" s="28" t="s">
        <v>1529</v>
      </c>
      <c r="E148" s="29">
        <v>13555.56</v>
      </c>
      <c r="F148" s="29">
        <v>-13554.56</v>
      </c>
      <c r="G148" s="29">
        <v>1</v>
      </c>
      <c r="H148" t="s">
        <v>1494</v>
      </c>
      <c r="I148" t="s">
        <v>18</v>
      </c>
    </row>
    <row r="149" spans="1:9" customFormat="1" ht="21">
      <c r="A149" s="28" t="s">
        <v>1534</v>
      </c>
      <c r="B149" s="28" t="s">
        <v>108</v>
      </c>
      <c r="C149" s="28" t="s">
        <v>92</v>
      </c>
      <c r="D149" s="28" t="s">
        <v>1529</v>
      </c>
      <c r="E149" s="29">
        <v>16944.439999999999</v>
      </c>
      <c r="F149" s="29">
        <v>-16943.439999999999</v>
      </c>
      <c r="G149" s="29">
        <v>1</v>
      </c>
      <c r="H149" t="s">
        <v>1494</v>
      </c>
      <c r="I149" t="s">
        <v>18</v>
      </c>
    </row>
    <row r="150" spans="1:9" customFormat="1" ht="21">
      <c r="A150" s="28" t="s">
        <v>1535</v>
      </c>
      <c r="B150" s="28" t="s">
        <v>91</v>
      </c>
      <c r="C150" s="28" t="s">
        <v>92</v>
      </c>
      <c r="D150" s="28" t="s">
        <v>1529</v>
      </c>
      <c r="E150" s="29">
        <v>13555.56</v>
      </c>
      <c r="F150" s="29">
        <v>-13554.56</v>
      </c>
      <c r="G150" s="29">
        <v>1</v>
      </c>
      <c r="H150" t="s">
        <v>1494</v>
      </c>
      <c r="I150" t="s">
        <v>18</v>
      </c>
    </row>
    <row r="151" spans="1:9" customFormat="1" ht="21">
      <c r="A151" s="28" t="s">
        <v>1535</v>
      </c>
      <c r="B151" s="28" t="s">
        <v>108</v>
      </c>
      <c r="C151" s="28" t="s">
        <v>92</v>
      </c>
      <c r="D151" s="28" t="s">
        <v>1529</v>
      </c>
      <c r="E151" s="29">
        <v>16944.439999999999</v>
      </c>
      <c r="F151" s="29">
        <v>-16943.439999999999</v>
      </c>
      <c r="G151" s="29">
        <v>1</v>
      </c>
      <c r="H151" t="s">
        <v>1494</v>
      </c>
      <c r="I151" t="s">
        <v>18</v>
      </c>
    </row>
    <row r="152" spans="1:9" customFormat="1" ht="21">
      <c r="A152" s="28" t="s">
        <v>1536</v>
      </c>
      <c r="B152" s="28" t="s">
        <v>91</v>
      </c>
      <c r="C152" s="28" t="s">
        <v>92</v>
      </c>
      <c r="D152" s="28" t="s">
        <v>1529</v>
      </c>
      <c r="E152" s="29">
        <v>13555.56</v>
      </c>
      <c r="F152" s="29">
        <v>-13554.56</v>
      </c>
      <c r="G152" s="29">
        <v>1</v>
      </c>
      <c r="H152" t="s">
        <v>1494</v>
      </c>
      <c r="I152" t="s">
        <v>18</v>
      </c>
    </row>
    <row r="153" spans="1:9" customFormat="1" ht="21">
      <c r="A153" s="28" t="s">
        <v>1536</v>
      </c>
      <c r="B153" s="28" t="s">
        <v>108</v>
      </c>
      <c r="C153" s="28" t="s">
        <v>92</v>
      </c>
      <c r="D153" s="28" t="s">
        <v>1529</v>
      </c>
      <c r="E153" s="29">
        <v>16944.439999999999</v>
      </c>
      <c r="F153" s="29">
        <v>-16943.439999999999</v>
      </c>
      <c r="G153" s="29">
        <v>1</v>
      </c>
      <c r="H153" t="s">
        <v>1494</v>
      </c>
      <c r="I153" t="s">
        <v>18</v>
      </c>
    </row>
    <row r="154" spans="1:9" customFormat="1" ht="21">
      <c r="A154" s="28" t="s">
        <v>1537</v>
      </c>
      <c r="B154" s="28" t="s">
        <v>91</v>
      </c>
      <c r="C154" s="28" t="s">
        <v>92</v>
      </c>
      <c r="D154" s="28" t="s">
        <v>1529</v>
      </c>
      <c r="E154" s="29">
        <v>13555.56</v>
      </c>
      <c r="F154" s="29">
        <v>-13554.56</v>
      </c>
      <c r="G154" s="29">
        <v>1</v>
      </c>
      <c r="H154" t="s">
        <v>1494</v>
      </c>
      <c r="I154" t="s">
        <v>18</v>
      </c>
    </row>
    <row r="155" spans="1:9" customFormat="1" ht="21">
      <c r="A155" s="28" t="s">
        <v>1537</v>
      </c>
      <c r="B155" s="28" t="s">
        <v>108</v>
      </c>
      <c r="C155" s="28" t="s">
        <v>92</v>
      </c>
      <c r="D155" s="28" t="s">
        <v>1529</v>
      </c>
      <c r="E155" s="29">
        <v>16944.439999999999</v>
      </c>
      <c r="F155" s="29">
        <v>-16943.439999999999</v>
      </c>
      <c r="G155" s="29">
        <v>1</v>
      </c>
      <c r="H155" t="s">
        <v>1494</v>
      </c>
      <c r="I155" t="s">
        <v>18</v>
      </c>
    </row>
    <row r="156" spans="1:9" customFormat="1" ht="21">
      <c r="A156" s="28" t="s">
        <v>1538</v>
      </c>
      <c r="B156" s="28" t="s">
        <v>91</v>
      </c>
      <c r="C156" s="28" t="s">
        <v>92</v>
      </c>
      <c r="D156" s="28" t="s">
        <v>1529</v>
      </c>
      <c r="E156" s="29">
        <v>13555.56</v>
      </c>
      <c r="F156" s="29">
        <v>-13554.56</v>
      </c>
      <c r="G156" s="29">
        <v>1</v>
      </c>
      <c r="H156" t="s">
        <v>1494</v>
      </c>
      <c r="I156" t="s">
        <v>18</v>
      </c>
    </row>
    <row r="157" spans="1:9" customFormat="1" ht="21">
      <c r="A157" s="28" t="s">
        <v>1538</v>
      </c>
      <c r="B157" s="28" t="s">
        <v>108</v>
      </c>
      <c r="C157" s="28" t="s">
        <v>92</v>
      </c>
      <c r="D157" s="28" t="s">
        <v>1529</v>
      </c>
      <c r="E157" s="29">
        <v>16944.439999999999</v>
      </c>
      <c r="F157" s="29">
        <v>-16943.439999999999</v>
      </c>
      <c r="G157" s="29">
        <v>1</v>
      </c>
      <c r="H157" t="s">
        <v>1494</v>
      </c>
      <c r="I157" t="s">
        <v>18</v>
      </c>
    </row>
    <row r="158" spans="1:9" customFormat="1" ht="21">
      <c r="A158" s="28" t="s">
        <v>1539</v>
      </c>
      <c r="B158" s="28" t="s">
        <v>91</v>
      </c>
      <c r="C158" s="28" t="s">
        <v>92</v>
      </c>
      <c r="D158" s="28" t="s">
        <v>1529</v>
      </c>
      <c r="E158" s="29">
        <v>13555.56</v>
      </c>
      <c r="F158" s="29">
        <v>-13554.56</v>
      </c>
      <c r="G158" s="29">
        <v>1</v>
      </c>
      <c r="H158" t="s">
        <v>1494</v>
      </c>
      <c r="I158" t="s">
        <v>18</v>
      </c>
    </row>
    <row r="159" spans="1:9" customFormat="1" ht="21">
      <c r="A159" s="28" t="s">
        <v>1539</v>
      </c>
      <c r="B159" s="28" t="s">
        <v>108</v>
      </c>
      <c r="C159" s="28" t="s">
        <v>92</v>
      </c>
      <c r="D159" s="28" t="s">
        <v>1529</v>
      </c>
      <c r="E159" s="29">
        <v>16944.439999999999</v>
      </c>
      <c r="F159" s="29">
        <v>-16943.439999999999</v>
      </c>
      <c r="G159" s="29">
        <v>1</v>
      </c>
      <c r="H159" t="s">
        <v>1494</v>
      </c>
      <c r="I159" t="s">
        <v>18</v>
      </c>
    </row>
    <row r="160" spans="1:9" customFormat="1" ht="21">
      <c r="A160" s="28" t="s">
        <v>1540</v>
      </c>
      <c r="B160" s="28" t="s">
        <v>91</v>
      </c>
      <c r="C160" s="28" t="s">
        <v>92</v>
      </c>
      <c r="D160" s="28" t="s">
        <v>1529</v>
      </c>
      <c r="E160" s="29">
        <v>13555.56</v>
      </c>
      <c r="F160" s="29">
        <v>-13554.56</v>
      </c>
      <c r="G160" s="29">
        <v>1</v>
      </c>
      <c r="H160" t="s">
        <v>1494</v>
      </c>
      <c r="I160" t="s">
        <v>18</v>
      </c>
    </row>
    <row r="161" spans="1:9" customFormat="1" ht="21">
      <c r="A161" s="28" t="s">
        <v>1540</v>
      </c>
      <c r="B161" s="28" t="s">
        <v>108</v>
      </c>
      <c r="C161" s="28" t="s">
        <v>92</v>
      </c>
      <c r="D161" s="28" t="s">
        <v>1529</v>
      </c>
      <c r="E161" s="29">
        <v>16944.439999999999</v>
      </c>
      <c r="F161" s="29">
        <v>-16943.439999999999</v>
      </c>
      <c r="G161" s="29">
        <v>1</v>
      </c>
      <c r="H161" t="s">
        <v>1494</v>
      </c>
      <c r="I161" t="s">
        <v>18</v>
      </c>
    </row>
    <row r="162" spans="1:9" customFormat="1" ht="21">
      <c r="A162" s="28" t="s">
        <v>1541</v>
      </c>
      <c r="B162" s="28" t="s">
        <v>91</v>
      </c>
      <c r="C162" s="28" t="s">
        <v>92</v>
      </c>
      <c r="D162" s="28" t="s">
        <v>1529</v>
      </c>
      <c r="E162" s="29">
        <v>13555.56</v>
      </c>
      <c r="F162" s="29">
        <v>-13554.56</v>
      </c>
      <c r="G162" s="29">
        <v>1</v>
      </c>
      <c r="H162" t="s">
        <v>1494</v>
      </c>
      <c r="I162" t="s">
        <v>18</v>
      </c>
    </row>
    <row r="163" spans="1:9" customFormat="1" ht="21">
      <c r="A163" s="28" t="s">
        <v>1541</v>
      </c>
      <c r="B163" s="28" t="s">
        <v>108</v>
      </c>
      <c r="C163" s="28" t="s">
        <v>92</v>
      </c>
      <c r="D163" s="28" t="s">
        <v>1529</v>
      </c>
      <c r="E163" s="29">
        <v>16944.439999999999</v>
      </c>
      <c r="F163" s="29">
        <v>-16943.439999999999</v>
      </c>
      <c r="G163" s="29">
        <v>1</v>
      </c>
      <c r="H163" t="s">
        <v>1494</v>
      </c>
      <c r="I163" t="s">
        <v>18</v>
      </c>
    </row>
    <row r="164" spans="1:9" customFormat="1" ht="21">
      <c r="A164" s="28" t="s">
        <v>1542</v>
      </c>
      <c r="B164" s="28" t="s">
        <v>91</v>
      </c>
      <c r="C164" s="28" t="s">
        <v>92</v>
      </c>
      <c r="D164" s="28" t="s">
        <v>1529</v>
      </c>
      <c r="E164" s="29">
        <v>13555.56</v>
      </c>
      <c r="F164" s="29">
        <v>-13554.56</v>
      </c>
      <c r="G164" s="29">
        <v>1</v>
      </c>
      <c r="H164" t="s">
        <v>1494</v>
      </c>
      <c r="I164" t="s">
        <v>18</v>
      </c>
    </row>
    <row r="165" spans="1:9" customFormat="1" ht="21">
      <c r="A165" s="28" t="s">
        <v>1542</v>
      </c>
      <c r="B165" s="28" t="s">
        <v>108</v>
      </c>
      <c r="C165" s="28" t="s">
        <v>92</v>
      </c>
      <c r="D165" s="28" t="s">
        <v>1529</v>
      </c>
      <c r="E165" s="29">
        <v>16944.439999999999</v>
      </c>
      <c r="F165" s="29">
        <v>-16943.439999999999</v>
      </c>
      <c r="G165" s="29">
        <v>1</v>
      </c>
      <c r="H165" t="s">
        <v>1494</v>
      </c>
      <c r="I165" t="s">
        <v>18</v>
      </c>
    </row>
    <row r="166" spans="1:9" customFormat="1" ht="21">
      <c r="A166" s="28" t="s">
        <v>1543</v>
      </c>
      <c r="B166" s="28" t="s">
        <v>91</v>
      </c>
      <c r="C166" s="28" t="s">
        <v>92</v>
      </c>
      <c r="D166" s="28" t="s">
        <v>1529</v>
      </c>
      <c r="E166" s="29">
        <v>13555.56</v>
      </c>
      <c r="F166" s="29">
        <v>-13554.56</v>
      </c>
      <c r="G166" s="29">
        <v>1</v>
      </c>
      <c r="H166" t="s">
        <v>1494</v>
      </c>
      <c r="I166" t="s">
        <v>18</v>
      </c>
    </row>
    <row r="167" spans="1:9" customFormat="1" ht="21">
      <c r="A167" s="28" t="s">
        <v>1543</v>
      </c>
      <c r="B167" s="28" t="s">
        <v>108</v>
      </c>
      <c r="C167" s="28" t="s">
        <v>92</v>
      </c>
      <c r="D167" s="28" t="s">
        <v>1529</v>
      </c>
      <c r="E167" s="29">
        <v>16944.439999999999</v>
      </c>
      <c r="F167" s="29">
        <v>-16943.439999999999</v>
      </c>
      <c r="G167" s="29">
        <v>1</v>
      </c>
      <c r="H167" t="s">
        <v>1494</v>
      </c>
      <c r="I167" t="s">
        <v>18</v>
      </c>
    </row>
    <row r="168" spans="1:9" customFormat="1" ht="21">
      <c r="A168" s="28" t="s">
        <v>1544</v>
      </c>
      <c r="B168" s="28" t="s">
        <v>91</v>
      </c>
      <c r="C168" s="28" t="s">
        <v>92</v>
      </c>
      <c r="D168" s="28" t="s">
        <v>1529</v>
      </c>
      <c r="E168" s="29">
        <v>13555.56</v>
      </c>
      <c r="F168" s="29">
        <v>-13554.56</v>
      </c>
      <c r="G168" s="29">
        <v>1</v>
      </c>
      <c r="H168" t="s">
        <v>1494</v>
      </c>
      <c r="I168" t="s">
        <v>18</v>
      </c>
    </row>
    <row r="169" spans="1:9" customFormat="1" ht="21">
      <c r="A169" s="28" t="s">
        <v>1544</v>
      </c>
      <c r="B169" s="28" t="s">
        <v>108</v>
      </c>
      <c r="C169" s="28" t="s">
        <v>92</v>
      </c>
      <c r="D169" s="28" t="s">
        <v>1529</v>
      </c>
      <c r="E169" s="29">
        <v>16944.439999999999</v>
      </c>
      <c r="F169" s="29">
        <v>-16943.439999999999</v>
      </c>
      <c r="G169" s="29">
        <v>1</v>
      </c>
      <c r="H169" t="s">
        <v>1494</v>
      </c>
      <c r="I169" t="s">
        <v>18</v>
      </c>
    </row>
    <row r="170" spans="1:9" customFormat="1" ht="21">
      <c r="A170" s="28" t="s">
        <v>1545</v>
      </c>
      <c r="B170" s="28" t="s">
        <v>91</v>
      </c>
      <c r="C170" s="28" t="s">
        <v>92</v>
      </c>
      <c r="D170" s="28" t="s">
        <v>1529</v>
      </c>
      <c r="E170" s="29">
        <v>13555.56</v>
      </c>
      <c r="F170" s="29">
        <v>-13554.56</v>
      </c>
      <c r="G170" s="29">
        <v>1</v>
      </c>
      <c r="H170" t="s">
        <v>1494</v>
      </c>
      <c r="I170" t="s">
        <v>18</v>
      </c>
    </row>
    <row r="171" spans="1:9" customFormat="1" ht="21">
      <c r="A171" s="28" t="s">
        <v>1545</v>
      </c>
      <c r="B171" s="28" t="s">
        <v>108</v>
      </c>
      <c r="C171" s="28" t="s">
        <v>92</v>
      </c>
      <c r="D171" s="28" t="s">
        <v>1529</v>
      </c>
      <c r="E171" s="29">
        <v>16944.439999999999</v>
      </c>
      <c r="F171" s="29">
        <v>-16943.439999999999</v>
      </c>
      <c r="G171" s="29">
        <v>1</v>
      </c>
      <c r="H171" t="s">
        <v>1494</v>
      </c>
      <c r="I171" t="s">
        <v>18</v>
      </c>
    </row>
    <row r="172" spans="1:9" customFormat="1" ht="21">
      <c r="A172" s="28" t="s">
        <v>1546</v>
      </c>
      <c r="B172" s="28" t="s">
        <v>91</v>
      </c>
      <c r="C172" s="28" t="s">
        <v>92</v>
      </c>
      <c r="D172" s="28" t="s">
        <v>1529</v>
      </c>
      <c r="E172" s="29">
        <v>13555.56</v>
      </c>
      <c r="F172" s="29">
        <v>-13554.56</v>
      </c>
      <c r="G172" s="29">
        <v>1</v>
      </c>
      <c r="H172" t="s">
        <v>1494</v>
      </c>
      <c r="I172" t="s">
        <v>18</v>
      </c>
    </row>
    <row r="173" spans="1:9" customFormat="1" ht="21">
      <c r="A173" s="28" t="s">
        <v>1546</v>
      </c>
      <c r="B173" s="28" t="s">
        <v>108</v>
      </c>
      <c r="C173" s="28" t="s">
        <v>92</v>
      </c>
      <c r="D173" s="28" t="s">
        <v>1529</v>
      </c>
      <c r="E173" s="29">
        <v>16944.439999999999</v>
      </c>
      <c r="F173" s="29">
        <v>-16943.439999999999</v>
      </c>
      <c r="G173" s="29">
        <v>1</v>
      </c>
      <c r="H173" t="s">
        <v>1494</v>
      </c>
      <c r="I173" t="s">
        <v>18</v>
      </c>
    </row>
    <row r="174" spans="1:9" customFormat="1" ht="21">
      <c r="A174" s="28" t="s">
        <v>1547</v>
      </c>
      <c r="B174" s="28" t="s">
        <v>91</v>
      </c>
      <c r="C174" s="28" t="s">
        <v>92</v>
      </c>
      <c r="D174" s="28" t="s">
        <v>1529</v>
      </c>
      <c r="E174" s="29">
        <v>13555.56</v>
      </c>
      <c r="F174" s="29">
        <v>-13554.56</v>
      </c>
      <c r="G174" s="29">
        <v>1</v>
      </c>
      <c r="H174" t="s">
        <v>1494</v>
      </c>
      <c r="I174" t="s">
        <v>18</v>
      </c>
    </row>
    <row r="175" spans="1:9" customFormat="1" ht="21">
      <c r="A175" s="28" t="s">
        <v>1547</v>
      </c>
      <c r="B175" s="28" t="s">
        <v>108</v>
      </c>
      <c r="C175" s="28" t="s">
        <v>92</v>
      </c>
      <c r="D175" s="28" t="s">
        <v>1529</v>
      </c>
      <c r="E175" s="29">
        <v>16944.439999999999</v>
      </c>
      <c r="F175" s="29">
        <v>-16943.439999999999</v>
      </c>
      <c r="G175" s="29">
        <v>1</v>
      </c>
      <c r="H175" t="s">
        <v>1494</v>
      </c>
      <c r="I175" t="s">
        <v>18</v>
      </c>
    </row>
    <row r="176" spans="1:9" customFormat="1" ht="21">
      <c r="A176" s="28" t="s">
        <v>1548</v>
      </c>
      <c r="B176" s="28" t="s">
        <v>91</v>
      </c>
      <c r="C176" s="28" t="s">
        <v>92</v>
      </c>
      <c r="D176" s="28" t="s">
        <v>1529</v>
      </c>
      <c r="E176" s="29">
        <v>13555.56</v>
      </c>
      <c r="F176" s="29">
        <v>-13554.56</v>
      </c>
      <c r="G176" s="29">
        <v>1</v>
      </c>
      <c r="H176" t="s">
        <v>1494</v>
      </c>
      <c r="I176" t="s">
        <v>18</v>
      </c>
    </row>
    <row r="177" spans="1:9" customFormat="1" ht="21">
      <c r="A177" s="28" t="s">
        <v>1548</v>
      </c>
      <c r="B177" s="28" t="s">
        <v>108</v>
      </c>
      <c r="C177" s="28" t="s">
        <v>92</v>
      </c>
      <c r="D177" s="28" t="s">
        <v>1529</v>
      </c>
      <c r="E177" s="29">
        <v>16944.439999999999</v>
      </c>
      <c r="F177" s="29">
        <v>-16943.439999999999</v>
      </c>
      <c r="G177" s="29">
        <v>1</v>
      </c>
      <c r="H177" t="s">
        <v>1494</v>
      </c>
      <c r="I177" t="s">
        <v>18</v>
      </c>
    </row>
    <row r="178" spans="1:9" customFormat="1" ht="21">
      <c r="A178" s="28" t="s">
        <v>1549</v>
      </c>
      <c r="B178" s="28" t="s">
        <v>91</v>
      </c>
      <c r="C178" s="28" t="s">
        <v>92</v>
      </c>
      <c r="D178" s="28" t="s">
        <v>1529</v>
      </c>
      <c r="E178" s="29">
        <v>13555.56</v>
      </c>
      <c r="F178" s="29">
        <v>-13554.56</v>
      </c>
      <c r="G178" s="29">
        <v>1</v>
      </c>
      <c r="H178" t="s">
        <v>1494</v>
      </c>
      <c r="I178" t="s">
        <v>18</v>
      </c>
    </row>
    <row r="179" spans="1:9" customFormat="1" ht="21">
      <c r="A179" s="28" t="s">
        <v>1549</v>
      </c>
      <c r="B179" s="28" t="s">
        <v>108</v>
      </c>
      <c r="C179" s="28" t="s">
        <v>92</v>
      </c>
      <c r="D179" s="28" t="s">
        <v>1529</v>
      </c>
      <c r="E179" s="29">
        <v>16944.439999999999</v>
      </c>
      <c r="F179" s="29">
        <v>-16943.439999999999</v>
      </c>
      <c r="G179" s="29">
        <v>1</v>
      </c>
      <c r="H179" t="s">
        <v>1494</v>
      </c>
      <c r="I179" t="s">
        <v>18</v>
      </c>
    </row>
    <row r="180" spans="1:9" customFormat="1" ht="21">
      <c r="A180" s="28" t="s">
        <v>1550</v>
      </c>
      <c r="B180" s="28" t="s">
        <v>91</v>
      </c>
      <c r="C180" s="28" t="s">
        <v>92</v>
      </c>
      <c r="D180" s="28" t="s">
        <v>1529</v>
      </c>
      <c r="E180" s="29">
        <v>13555.56</v>
      </c>
      <c r="F180" s="29">
        <v>-13554.56</v>
      </c>
      <c r="G180" s="29">
        <v>1</v>
      </c>
      <c r="H180" t="s">
        <v>1494</v>
      </c>
      <c r="I180" t="s">
        <v>18</v>
      </c>
    </row>
    <row r="181" spans="1:9" customFormat="1" ht="21">
      <c r="A181" s="28" t="s">
        <v>1550</v>
      </c>
      <c r="B181" s="28" t="s">
        <v>108</v>
      </c>
      <c r="C181" s="28" t="s">
        <v>92</v>
      </c>
      <c r="D181" s="28" t="s">
        <v>1529</v>
      </c>
      <c r="E181" s="29">
        <v>16944.439999999999</v>
      </c>
      <c r="F181" s="29">
        <v>-16943.439999999999</v>
      </c>
      <c r="G181" s="29">
        <v>1</v>
      </c>
      <c r="H181" t="s">
        <v>1494</v>
      </c>
      <c r="I181" t="s">
        <v>18</v>
      </c>
    </row>
    <row r="182" spans="1:9" customFormat="1" ht="21">
      <c r="A182" s="28" t="s">
        <v>1551</v>
      </c>
      <c r="B182" s="28" t="s">
        <v>91</v>
      </c>
      <c r="C182" s="28" t="s">
        <v>92</v>
      </c>
      <c r="D182" s="28" t="s">
        <v>1529</v>
      </c>
      <c r="E182" s="29">
        <v>13555.56</v>
      </c>
      <c r="F182" s="29">
        <v>-13554.56</v>
      </c>
      <c r="G182" s="29">
        <v>1</v>
      </c>
      <c r="H182" t="s">
        <v>1494</v>
      </c>
      <c r="I182" t="s">
        <v>18</v>
      </c>
    </row>
    <row r="183" spans="1:9" customFormat="1" ht="21">
      <c r="A183" s="28" t="s">
        <v>1551</v>
      </c>
      <c r="B183" s="28" t="s">
        <v>108</v>
      </c>
      <c r="C183" s="28" t="s">
        <v>92</v>
      </c>
      <c r="D183" s="28" t="s">
        <v>1529</v>
      </c>
      <c r="E183" s="29">
        <v>16944.439999999999</v>
      </c>
      <c r="F183" s="29">
        <v>-16943.439999999999</v>
      </c>
      <c r="G183" s="29">
        <v>1</v>
      </c>
      <c r="H183" t="s">
        <v>1494</v>
      </c>
      <c r="I183" t="s">
        <v>18</v>
      </c>
    </row>
    <row r="184" spans="1:9" customFormat="1" ht="21">
      <c r="A184" s="28" t="s">
        <v>1552</v>
      </c>
      <c r="B184" s="28" t="s">
        <v>91</v>
      </c>
      <c r="C184" s="28" t="s">
        <v>92</v>
      </c>
      <c r="D184" s="28" t="s">
        <v>1529</v>
      </c>
      <c r="E184" s="29">
        <v>13555.56</v>
      </c>
      <c r="F184" s="29">
        <v>-13554.56</v>
      </c>
      <c r="G184" s="29">
        <v>1</v>
      </c>
      <c r="H184" t="s">
        <v>1494</v>
      </c>
      <c r="I184" t="s">
        <v>18</v>
      </c>
    </row>
    <row r="185" spans="1:9" customFormat="1" ht="21">
      <c r="A185" s="28" t="s">
        <v>1552</v>
      </c>
      <c r="B185" s="28" t="s">
        <v>108</v>
      </c>
      <c r="C185" s="28" t="s">
        <v>92</v>
      </c>
      <c r="D185" s="28" t="s">
        <v>1529</v>
      </c>
      <c r="E185" s="29">
        <v>16944.439999999999</v>
      </c>
      <c r="F185" s="29">
        <v>-16943.439999999999</v>
      </c>
      <c r="G185" s="29">
        <v>1</v>
      </c>
      <c r="H185" t="s">
        <v>1494</v>
      </c>
      <c r="I185" t="s">
        <v>18</v>
      </c>
    </row>
    <row r="186" spans="1:9" customFormat="1" ht="21">
      <c r="A186" s="28" t="s">
        <v>1553</v>
      </c>
      <c r="B186" s="28" t="s">
        <v>91</v>
      </c>
      <c r="C186" s="28" t="s">
        <v>92</v>
      </c>
      <c r="D186" s="28" t="s">
        <v>1529</v>
      </c>
      <c r="E186" s="29">
        <v>13555.56</v>
      </c>
      <c r="F186" s="29">
        <v>-13554.56</v>
      </c>
      <c r="G186" s="29">
        <v>1</v>
      </c>
      <c r="H186" t="s">
        <v>1494</v>
      </c>
      <c r="I186" t="s">
        <v>18</v>
      </c>
    </row>
    <row r="187" spans="1:9" customFormat="1" ht="21">
      <c r="A187" s="28" t="s">
        <v>1553</v>
      </c>
      <c r="B187" s="28" t="s">
        <v>108</v>
      </c>
      <c r="C187" s="28" t="s">
        <v>92</v>
      </c>
      <c r="D187" s="28" t="s">
        <v>1529</v>
      </c>
      <c r="E187" s="29">
        <v>16944.439999999999</v>
      </c>
      <c r="F187" s="29">
        <v>-16943.439999999999</v>
      </c>
      <c r="G187" s="29">
        <v>1</v>
      </c>
      <c r="H187" t="s">
        <v>1494</v>
      </c>
      <c r="I187" t="s">
        <v>18</v>
      </c>
    </row>
    <row r="188" spans="1:9" customFormat="1" ht="21">
      <c r="A188" s="28" t="s">
        <v>1554</v>
      </c>
      <c r="B188" s="28" t="s">
        <v>91</v>
      </c>
      <c r="C188" s="28" t="s">
        <v>92</v>
      </c>
      <c r="D188" s="28" t="s">
        <v>1529</v>
      </c>
      <c r="E188" s="29">
        <v>13555.56</v>
      </c>
      <c r="F188" s="29">
        <v>-13554.56</v>
      </c>
      <c r="G188" s="29">
        <v>1</v>
      </c>
      <c r="H188" t="s">
        <v>1494</v>
      </c>
      <c r="I188" t="s">
        <v>18</v>
      </c>
    </row>
    <row r="189" spans="1:9" customFormat="1" ht="21">
      <c r="A189" s="28" t="s">
        <v>1554</v>
      </c>
      <c r="B189" s="28" t="s">
        <v>108</v>
      </c>
      <c r="C189" s="28" t="s">
        <v>92</v>
      </c>
      <c r="D189" s="28" t="s">
        <v>1529</v>
      </c>
      <c r="E189" s="29">
        <v>16944.439999999999</v>
      </c>
      <c r="F189" s="29">
        <v>-16943.439999999999</v>
      </c>
      <c r="G189" s="29">
        <v>1</v>
      </c>
      <c r="H189" t="s">
        <v>1494</v>
      </c>
      <c r="I189" t="s">
        <v>18</v>
      </c>
    </row>
    <row r="190" spans="1:9" customFormat="1" ht="21">
      <c r="A190" s="28" t="s">
        <v>1555</v>
      </c>
      <c r="B190" s="28" t="s">
        <v>91</v>
      </c>
      <c r="C190" s="28" t="s">
        <v>92</v>
      </c>
      <c r="D190" s="28" t="s">
        <v>1529</v>
      </c>
      <c r="E190" s="29">
        <v>13555.56</v>
      </c>
      <c r="F190" s="29">
        <v>-13554.56</v>
      </c>
      <c r="G190" s="29">
        <v>1</v>
      </c>
      <c r="H190" t="s">
        <v>1494</v>
      </c>
      <c r="I190" t="s">
        <v>18</v>
      </c>
    </row>
    <row r="191" spans="1:9" customFormat="1" ht="21">
      <c r="A191" s="28" t="s">
        <v>1555</v>
      </c>
      <c r="B191" s="28" t="s">
        <v>108</v>
      </c>
      <c r="C191" s="28" t="s">
        <v>92</v>
      </c>
      <c r="D191" s="28" t="s">
        <v>1529</v>
      </c>
      <c r="E191" s="29">
        <v>16944.439999999999</v>
      </c>
      <c r="F191" s="29">
        <v>-16943.439999999999</v>
      </c>
      <c r="G191" s="29">
        <v>1</v>
      </c>
      <c r="H191" t="s">
        <v>1494</v>
      </c>
      <c r="I191" t="s">
        <v>18</v>
      </c>
    </row>
    <row r="192" spans="1:9" customFormat="1" ht="21">
      <c r="A192" s="28" t="s">
        <v>1556</v>
      </c>
      <c r="B192" s="28" t="s">
        <v>91</v>
      </c>
      <c r="C192" s="28" t="s">
        <v>92</v>
      </c>
      <c r="D192" s="28" t="s">
        <v>1529</v>
      </c>
      <c r="E192" s="29">
        <v>13555.56</v>
      </c>
      <c r="F192" s="29">
        <v>-13554.56</v>
      </c>
      <c r="G192" s="29">
        <v>1</v>
      </c>
      <c r="H192" t="s">
        <v>1494</v>
      </c>
      <c r="I192" t="s">
        <v>18</v>
      </c>
    </row>
    <row r="193" spans="1:9" customFormat="1" ht="21">
      <c r="A193" s="28" t="s">
        <v>1556</v>
      </c>
      <c r="B193" s="28" t="s">
        <v>108</v>
      </c>
      <c r="C193" s="28" t="s">
        <v>92</v>
      </c>
      <c r="D193" s="28" t="s">
        <v>1529</v>
      </c>
      <c r="E193" s="29">
        <v>16944.439999999999</v>
      </c>
      <c r="F193" s="29">
        <v>-16943.439999999999</v>
      </c>
      <c r="G193" s="29">
        <v>1</v>
      </c>
      <c r="H193" t="s">
        <v>1494</v>
      </c>
      <c r="I193" t="s">
        <v>18</v>
      </c>
    </row>
    <row r="194" spans="1:9" customFormat="1" ht="21">
      <c r="A194" s="28" t="s">
        <v>1557</v>
      </c>
      <c r="B194" s="28" t="s">
        <v>91</v>
      </c>
      <c r="C194" s="28" t="s">
        <v>92</v>
      </c>
      <c r="D194" s="28" t="s">
        <v>1529</v>
      </c>
      <c r="E194" s="29">
        <v>13555.56</v>
      </c>
      <c r="F194" s="29">
        <v>-13554.56</v>
      </c>
      <c r="G194" s="29">
        <v>1</v>
      </c>
      <c r="H194" t="s">
        <v>1494</v>
      </c>
      <c r="I194" t="s">
        <v>18</v>
      </c>
    </row>
    <row r="195" spans="1:9" customFormat="1" ht="21">
      <c r="A195" s="28" t="s">
        <v>1557</v>
      </c>
      <c r="B195" s="28" t="s">
        <v>108</v>
      </c>
      <c r="C195" s="28" t="s">
        <v>92</v>
      </c>
      <c r="D195" s="28" t="s">
        <v>1529</v>
      </c>
      <c r="E195" s="29">
        <v>16944.439999999999</v>
      </c>
      <c r="F195" s="29">
        <v>-16943.439999999999</v>
      </c>
      <c r="G195" s="29">
        <v>1</v>
      </c>
      <c r="H195" t="s">
        <v>1494</v>
      </c>
      <c r="I195" t="s">
        <v>18</v>
      </c>
    </row>
    <row r="196" spans="1:9" customFormat="1" ht="21">
      <c r="A196" s="28" t="s">
        <v>1558</v>
      </c>
      <c r="B196" s="28" t="s">
        <v>91</v>
      </c>
      <c r="C196" s="28" t="s">
        <v>92</v>
      </c>
      <c r="D196" s="28" t="s">
        <v>1529</v>
      </c>
      <c r="E196" s="29">
        <v>13555.56</v>
      </c>
      <c r="F196" s="29">
        <v>-13554.56</v>
      </c>
      <c r="G196" s="29">
        <v>1</v>
      </c>
      <c r="H196" t="s">
        <v>1494</v>
      </c>
      <c r="I196" t="s">
        <v>18</v>
      </c>
    </row>
    <row r="197" spans="1:9" customFormat="1" ht="21">
      <c r="A197" s="28" t="s">
        <v>1558</v>
      </c>
      <c r="B197" s="28" t="s">
        <v>108</v>
      </c>
      <c r="C197" s="28" t="s">
        <v>92</v>
      </c>
      <c r="D197" s="28" t="s">
        <v>1529</v>
      </c>
      <c r="E197" s="29">
        <v>16944.439999999999</v>
      </c>
      <c r="F197" s="29">
        <v>-16943.439999999999</v>
      </c>
      <c r="G197" s="29">
        <v>1</v>
      </c>
      <c r="H197" t="s">
        <v>1494</v>
      </c>
      <c r="I197" t="s">
        <v>18</v>
      </c>
    </row>
    <row r="198" spans="1:9" customFormat="1" ht="21">
      <c r="A198" s="28" t="s">
        <v>1559</v>
      </c>
      <c r="B198" s="28" t="s">
        <v>91</v>
      </c>
      <c r="C198" s="28" t="s">
        <v>92</v>
      </c>
      <c r="D198" s="28" t="s">
        <v>1560</v>
      </c>
      <c r="E198" s="29">
        <v>13111.11</v>
      </c>
      <c r="F198" s="29">
        <v>-13110.11</v>
      </c>
      <c r="G198" s="29">
        <v>1</v>
      </c>
      <c r="H198" t="s">
        <v>1494</v>
      </c>
      <c r="I198" t="s">
        <v>18</v>
      </c>
    </row>
    <row r="199" spans="1:9" customFormat="1" ht="21">
      <c r="A199" s="28" t="s">
        <v>1559</v>
      </c>
      <c r="B199" s="28" t="s">
        <v>108</v>
      </c>
      <c r="C199" s="28" t="s">
        <v>92</v>
      </c>
      <c r="D199" s="28" t="s">
        <v>1560</v>
      </c>
      <c r="E199" s="29">
        <v>16388.89</v>
      </c>
      <c r="F199" s="29">
        <v>-16387.89</v>
      </c>
      <c r="G199" s="29">
        <v>1</v>
      </c>
      <c r="H199" t="s">
        <v>1494</v>
      </c>
      <c r="I199" t="s">
        <v>18</v>
      </c>
    </row>
    <row r="200" spans="1:9" customFormat="1" ht="21">
      <c r="A200" s="28" t="s">
        <v>1561</v>
      </c>
      <c r="B200" s="28" t="s">
        <v>91</v>
      </c>
      <c r="C200" s="28" t="s">
        <v>92</v>
      </c>
      <c r="D200" s="28" t="s">
        <v>1560</v>
      </c>
      <c r="E200" s="29">
        <v>13111.11</v>
      </c>
      <c r="F200" s="29">
        <v>-13110.11</v>
      </c>
      <c r="G200" s="29">
        <v>1</v>
      </c>
      <c r="H200" t="s">
        <v>1494</v>
      </c>
      <c r="I200" t="s">
        <v>18</v>
      </c>
    </row>
    <row r="201" spans="1:9" customFormat="1" ht="21">
      <c r="A201" s="28" t="s">
        <v>1561</v>
      </c>
      <c r="B201" s="28" t="s">
        <v>108</v>
      </c>
      <c r="C201" s="28" t="s">
        <v>92</v>
      </c>
      <c r="D201" s="28" t="s">
        <v>1560</v>
      </c>
      <c r="E201" s="29">
        <v>16388.89</v>
      </c>
      <c r="F201" s="29">
        <v>-16387.89</v>
      </c>
      <c r="G201" s="29">
        <v>1</v>
      </c>
      <c r="H201" t="s">
        <v>1494</v>
      </c>
      <c r="I201" t="s">
        <v>18</v>
      </c>
    </row>
    <row r="202" spans="1:9" customFormat="1" ht="21">
      <c r="A202" s="28" t="s">
        <v>1562</v>
      </c>
      <c r="B202" s="28" t="s">
        <v>91</v>
      </c>
      <c r="C202" s="28" t="s">
        <v>92</v>
      </c>
      <c r="D202" s="28" t="s">
        <v>1560</v>
      </c>
      <c r="E202" s="29">
        <v>13111.11</v>
      </c>
      <c r="F202" s="29">
        <v>-13110.11</v>
      </c>
      <c r="G202" s="29">
        <v>1</v>
      </c>
      <c r="H202" t="s">
        <v>1494</v>
      </c>
      <c r="I202" t="s">
        <v>18</v>
      </c>
    </row>
    <row r="203" spans="1:9" customFormat="1" ht="21">
      <c r="A203" s="28" t="s">
        <v>1562</v>
      </c>
      <c r="B203" s="28" t="s">
        <v>108</v>
      </c>
      <c r="C203" s="28" t="s">
        <v>92</v>
      </c>
      <c r="D203" s="28" t="s">
        <v>1560</v>
      </c>
      <c r="E203" s="29">
        <v>16388.89</v>
      </c>
      <c r="F203" s="29">
        <v>-16387.89</v>
      </c>
      <c r="G203" s="29">
        <v>1</v>
      </c>
      <c r="H203" t="s">
        <v>1494</v>
      </c>
      <c r="I203" t="s">
        <v>18</v>
      </c>
    </row>
    <row r="204" spans="1:9" customFormat="1" ht="21">
      <c r="A204" s="28" t="s">
        <v>1563</v>
      </c>
      <c r="B204" s="28" t="s">
        <v>91</v>
      </c>
      <c r="C204" s="28" t="s">
        <v>92</v>
      </c>
      <c r="D204" s="28" t="s">
        <v>1564</v>
      </c>
      <c r="E204" s="29">
        <v>13111.11</v>
      </c>
      <c r="F204" s="29">
        <v>-13110.11</v>
      </c>
      <c r="G204" s="29">
        <v>1</v>
      </c>
      <c r="H204" t="s">
        <v>1494</v>
      </c>
      <c r="I204" t="s">
        <v>18</v>
      </c>
    </row>
    <row r="205" spans="1:9" customFormat="1" ht="21">
      <c r="A205" s="28" t="s">
        <v>1563</v>
      </c>
      <c r="B205" s="28" t="s">
        <v>108</v>
      </c>
      <c r="C205" s="28" t="s">
        <v>92</v>
      </c>
      <c r="D205" s="28" t="s">
        <v>1564</v>
      </c>
      <c r="E205" s="29">
        <v>16388.89</v>
      </c>
      <c r="F205" s="29">
        <v>-16387.89</v>
      </c>
      <c r="G205" s="29">
        <v>1</v>
      </c>
      <c r="H205" t="s">
        <v>1494</v>
      </c>
      <c r="I205" t="s">
        <v>18</v>
      </c>
    </row>
    <row r="206" spans="1:9" customFormat="1" ht="21">
      <c r="A206" s="28" t="s">
        <v>1565</v>
      </c>
      <c r="B206" s="28" t="s">
        <v>91</v>
      </c>
      <c r="C206" s="28" t="s">
        <v>92</v>
      </c>
      <c r="D206" s="28" t="s">
        <v>1564</v>
      </c>
      <c r="E206" s="29">
        <v>13111.11</v>
      </c>
      <c r="F206" s="29">
        <v>-13110.11</v>
      </c>
      <c r="G206" s="29">
        <v>1</v>
      </c>
      <c r="H206" t="s">
        <v>1494</v>
      </c>
      <c r="I206" t="s">
        <v>18</v>
      </c>
    </row>
    <row r="207" spans="1:9" customFormat="1" ht="21">
      <c r="A207" s="28" t="s">
        <v>1565</v>
      </c>
      <c r="B207" s="28" t="s">
        <v>108</v>
      </c>
      <c r="C207" s="28" t="s">
        <v>92</v>
      </c>
      <c r="D207" s="28" t="s">
        <v>1564</v>
      </c>
      <c r="E207" s="29">
        <v>16388.89</v>
      </c>
      <c r="F207" s="29">
        <v>-16387.89</v>
      </c>
      <c r="G207" s="29">
        <v>1</v>
      </c>
      <c r="H207" t="s">
        <v>1494</v>
      </c>
      <c r="I207" t="s">
        <v>18</v>
      </c>
    </row>
    <row r="208" spans="1:9" customFormat="1" ht="21">
      <c r="A208" s="28" t="s">
        <v>1566</v>
      </c>
      <c r="B208" s="28" t="s">
        <v>91</v>
      </c>
      <c r="C208" s="28" t="s">
        <v>92</v>
      </c>
      <c r="D208" s="28" t="s">
        <v>1564</v>
      </c>
      <c r="E208" s="29">
        <v>13111.11</v>
      </c>
      <c r="F208" s="29">
        <v>-13110.11</v>
      </c>
      <c r="G208" s="29">
        <v>1</v>
      </c>
      <c r="H208" t="s">
        <v>1494</v>
      </c>
      <c r="I208" t="s">
        <v>18</v>
      </c>
    </row>
    <row r="209" spans="1:9" customFormat="1" ht="21">
      <c r="A209" s="28" t="s">
        <v>1566</v>
      </c>
      <c r="B209" s="28" t="s">
        <v>108</v>
      </c>
      <c r="C209" s="28" t="s">
        <v>92</v>
      </c>
      <c r="D209" s="28" t="s">
        <v>1564</v>
      </c>
      <c r="E209" s="29">
        <v>16388.89</v>
      </c>
      <c r="F209" s="29">
        <v>-16387.89</v>
      </c>
      <c r="G209" s="29">
        <v>1</v>
      </c>
      <c r="H209" t="s">
        <v>1494</v>
      </c>
      <c r="I209" t="s">
        <v>18</v>
      </c>
    </row>
    <row r="210" spans="1:9" customFormat="1" ht="21">
      <c r="A210" s="28" t="s">
        <v>1567</v>
      </c>
      <c r="B210" s="28" t="s">
        <v>91</v>
      </c>
      <c r="C210" s="28" t="s">
        <v>92</v>
      </c>
      <c r="D210" s="28" t="s">
        <v>1564</v>
      </c>
      <c r="E210" s="29">
        <v>13111.11</v>
      </c>
      <c r="F210" s="29">
        <v>-13110.11</v>
      </c>
      <c r="G210" s="29">
        <v>1</v>
      </c>
      <c r="H210" t="s">
        <v>1494</v>
      </c>
      <c r="I210" t="s">
        <v>18</v>
      </c>
    </row>
    <row r="211" spans="1:9" customFormat="1" ht="21">
      <c r="A211" s="28" t="s">
        <v>1567</v>
      </c>
      <c r="B211" s="28" t="s">
        <v>108</v>
      </c>
      <c r="C211" s="28" t="s">
        <v>92</v>
      </c>
      <c r="D211" s="28" t="s">
        <v>1564</v>
      </c>
      <c r="E211" s="29">
        <v>16388.89</v>
      </c>
      <c r="F211" s="29">
        <v>-16387.89</v>
      </c>
      <c r="G211" s="29">
        <v>1</v>
      </c>
      <c r="H211" t="s">
        <v>1494</v>
      </c>
      <c r="I211" t="s">
        <v>18</v>
      </c>
    </row>
    <row r="212" spans="1:9" customFormat="1" ht="21">
      <c r="A212" s="28" t="s">
        <v>1568</v>
      </c>
      <c r="B212" s="28" t="s">
        <v>91</v>
      </c>
      <c r="C212" s="28" t="s">
        <v>92</v>
      </c>
      <c r="D212" s="28" t="s">
        <v>1564</v>
      </c>
      <c r="E212" s="29">
        <v>13111.11</v>
      </c>
      <c r="F212" s="29">
        <v>-13110.11</v>
      </c>
      <c r="G212" s="29">
        <v>1</v>
      </c>
      <c r="H212" t="s">
        <v>1494</v>
      </c>
      <c r="I212" t="s">
        <v>18</v>
      </c>
    </row>
    <row r="213" spans="1:9" customFormat="1" ht="21">
      <c r="A213" s="28" t="s">
        <v>1568</v>
      </c>
      <c r="B213" s="28" t="s">
        <v>108</v>
      </c>
      <c r="C213" s="28" t="s">
        <v>92</v>
      </c>
      <c r="D213" s="28" t="s">
        <v>1564</v>
      </c>
      <c r="E213" s="29">
        <v>16388.89</v>
      </c>
      <c r="F213" s="29">
        <v>-16387.89</v>
      </c>
      <c r="G213" s="29">
        <v>1</v>
      </c>
      <c r="H213" t="s">
        <v>1494</v>
      </c>
      <c r="I213" t="s">
        <v>18</v>
      </c>
    </row>
    <row r="214" spans="1:9" customFormat="1" ht="21">
      <c r="A214" s="28" t="s">
        <v>1569</v>
      </c>
      <c r="B214" s="28" t="s">
        <v>91</v>
      </c>
      <c r="C214" s="28" t="s">
        <v>92</v>
      </c>
      <c r="D214" s="28" t="s">
        <v>1564</v>
      </c>
      <c r="E214" s="29">
        <v>13111.11</v>
      </c>
      <c r="F214" s="29">
        <v>-13110.11</v>
      </c>
      <c r="G214" s="29">
        <v>1</v>
      </c>
      <c r="H214" t="s">
        <v>1494</v>
      </c>
      <c r="I214" t="s">
        <v>18</v>
      </c>
    </row>
    <row r="215" spans="1:9" customFormat="1" ht="21">
      <c r="A215" s="28" t="s">
        <v>1569</v>
      </c>
      <c r="B215" s="28" t="s">
        <v>108</v>
      </c>
      <c r="C215" s="28" t="s">
        <v>92</v>
      </c>
      <c r="D215" s="28" t="s">
        <v>1564</v>
      </c>
      <c r="E215" s="29">
        <v>16388.89</v>
      </c>
      <c r="F215" s="29">
        <v>-16387.89</v>
      </c>
      <c r="G215" s="29">
        <v>1</v>
      </c>
      <c r="H215" t="s">
        <v>1494</v>
      </c>
      <c r="I215" t="s">
        <v>18</v>
      </c>
    </row>
    <row r="216" spans="1:9" customFormat="1" ht="21">
      <c r="A216" s="28" t="s">
        <v>1570</v>
      </c>
      <c r="B216" s="28" t="s">
        <v>91</v>
      </c>
      <c r="C216" s="28" t="s">
        <v>92</v>
      </c>
      <c r="D216" s="28" t="s">
        <v>1564</v>
      </c>
      <c r="E216" s="29">
        <v>13111.11</v>
      </c>
      <c r="F216" s="29">
        <v>-13110.11</v>
      </c>
      <c r="G216" s="29">
        <v>1</v>
      </c>
      <c r="H216" t="s">
        <v>1494</v>
      </c>
      <c r="I216" t="s">
        <v>18</v>
      </c>
    </row>
    <row r="217" spans="1:9" customFormat="1" ht="21">
      <c r="A217" s="28" t="s">
        <v>1570</v>
      </c>
      <c r="B217" s="28" t="s">
        <v>108</v>
      </c>
      <c r="C217" s="28" t="s">
        <v>92</v>
      </c>
      <c r="D217" s="28" t="s">
        <v>1564</v>
      </c>
      <c r="E217" s="29">
        <v>16388.89</v>
      </c>
      <c r="F217" s="29">
        <v>-16387.89</v>
      </c>
      <c r="G217" s="29">
        <v>1</v>
      </c>
      <c r="H217" t="s">
        <v>1494</v>
      </c>
      <c r="I217" t="s">
        <v>18</v>
      </c>
    </row>
    <row r="218" spans="1:9" customFormat="1" ht="21">
      <c r="A218" s="28" t="s">
        <v>1571</v>
      </c>
      <c r="B218" s="28" t="s">
        <v>91</v>
      </c>
      <c r="C218" s="28" t="s">
        <v>92</v>
      </c>
      <c r="D218" s="28" t="s">
        <v>1564</v>
      </c>
      <c r="E218" s="29">
        <v>13111.11</v>
      </c>
      <c r="F218" s="29">
        <v>-13110.11</v>
      </c>
      <c r="G218" s="29">
        <v>1</v>
      </c>
      <c r="H218" t="s">
        <v>1494</v>
      </c>
      <c r="I218" t="s">
        <v>18</v>
      </c>
    </row>
    <row r="219" spans="1:9" customFormat="1" ht="21">
      <c r="A219" s="28" t="s">
        <v>1571</v>
      </c>
      <c r="B219" s="28" t="s">
        <v>108</v>
      </c>
      <c r="C219" s="28" t="s">
        <v>92</v>
      </c>
      <c r="D219" s="28" t="s">
        <v>1564</v>
      </c>
      <c r="E219" s="29">
        <v>16388.89</v>
      </c>
      <c r="F219" s="29">
        <v>-16387.89</v>
      </c>
      <c r="G219" s="29">
        <v>1</v>
      </c>
      <c r="H219" t="s">
        <v>1494</v>
      </c>
      <c r="I219" t="s">
        <v>18</v>
      </c>
    </row>
    <row r="220" spans="1:9" customFormat="1" ht="21">
      <c r="A220" s="28" t="s">
        <v>1572</v>
      </c>
      <c r="B220" s="28" t="s">
        <v>91</v>
      </c>
      <c r="C220" s="28" t="s">
        <v>92</v>
      </c>
      <c r="D220" s="28" t="s">
        <v>1564</v>
      </c>
      <c r="E220" s="29">
        <v>13111.11</v>
      </c>
      <c r="F220" s="29">
        <v>-13110.11</v>
      </c>
      <c r="G220" s="29">
        <v>1</v>
      </c>
      <c r="H220" t="s">
        <v>1494</v>
      </c>
      <c r="I220" t="s">
        <v>18</v>
      </c>
    </row>
    <row r="221" spans="1:9" customFormat="1" ht="21">
      <c r="A221" s="28" t="s">
        <v>1572</v>
      </c>
      <c r="B221" s="28" t="s">
        <v>108</v>
      </c>
      <c r="C221" s="28" t="s">
        <v>92</v>
      </c>
      <c r="D221" s="28" t="s">
        <v>1564</v>
      </c>
      <c r="E221" s="29">
        <v>16388.89</v>
      </c>
      <c r="F221" s="29">
        <v>-16387.89</v>
      </c>
      <c r="G221" s="29">
        <v>1</v>
      </c>
      <c r="H221" t="s">
        <v>1494</v>
      </c>
      <c r="I221" t="s">
        <v>18</v>
      </c>
    </row>
    <row r="222" spans="1:9" customFormat="1" ht="21">
      <c r="A222" s="28" t="s">
        <v>1573</v>
      </c>
      <c r="B222" s="28" t="s">
        <v>91</v>
      </c>
      <c r="C222" s="28" t="s">
        <v>92</v>
      </c>
      <c r="D222" s="28" t="s">
        <v>1564</v>
      </c>
      <c r="E222" s="29">
        <v>13111.11</v>
      </c>
      <c r="F222" s="29">
        <v>-13110.11</v>
      </c>
      <c r="G222" s="29">
        <v>1</v>
      </c>
      <c r="H222" t="s">
        <v>1494</v>
      </c>
      <c r="I222" t="s">
        <v>18</v>
      </c>
    </row>
    <row r="223" spans="1:9" customFormat="1" ht="21">
      <c r="A223" s="28" t="s">
        <v>1573</v>
      </c>
      <c r="B223" s="28" t="s">
        <v>108</v>
      </c>
      <c r="C223" s="28" t="s">
        <v>92</v>
      </c>
      <c r="D223" s="28" t="s">
        <v>1564</v>
      </c>
      <c r="E223" s="29">
        <v>16388.89</v>
      </c>
      <c r="F223" s="29">
        <v>-16387.89</v>
      </c>
      <c r="G223" s="29">
        <v>1</v>
      </c>
      <c r="H223" t="s">
        <v>1494</v>
      </c>
      <c r="I223" t="s">
        <v>18</v>
      </c>
    </row>
    <row r="224" spans="1:9" customFormat="1" ht="21">
      <c r="A224" s="28" t="s">
        <v>1574</v>
      </c>
      <c r="B224" s="28" t="s">
        <v>91</v>
      </c>
      <c r="C224" s="28" t="s">
        <v>92</v>
      </c>
      <c r="D224" s="28" t="s">
        <v>1564</v>
      </c>
      <c r="E224" s="29">
        <v>13111.11</v>
      </c>
      <c r="F224" s="29">
        <v>-13110.11</v>
      </c>
      <c r="G224" s="29">
        <v>1</v>
      </c>
      <c r="H224" t="s">
        <v>1494</v>
      </c>
      <c r="I224" t="s">
        <v>18</v>
      </c>
    </row>
    <row r="225" spans="1:9" customFormat="1" ht="21">
      <c r="A225" s="28" t="s">
        <v>1574</v>
      </c>
      <c r="B225" s="28" t="s">
        <v>108</v>
      </c>
      <c r="C225" s="28" t="s">
        <v>92</v>
      </c>
      <c r="D225" s="28" t="s">
        <v>1564</v>
      </c>
      <c r="E225" s="29">
        <v>16388.89</v>
      </c>
      <c r="F225" s="29">
        <v>-16387.89</v>
      </c>
      <c r="G225" s="29">
        <v>1</v>
      </c>
      <c r="H225" t="s">
        <v>1494</v>
      </c>
      <c r="I225" t="s">
        <v>18</v>
      </c>
    </row>
    <row r="226" spans="1:9" customFormat="1" ht="21">
      <c r="A226" s="28" t="s">
        <v>1575</v>
      </c>
      <c r="B226" s="28" t="s">
        <v>91</v>
      </c>
      <c r="C226" s="28" t="s">
        <v>92</v>
      </c>
      <c r="D226" s="28" t="s">
        <v>1564</v>
      </c>
      <c r="E226" s="29">
        <v>13111.11</v>
      </c>
      <c r="F226" s="29">
        <v>-13110.11</v>
      </c>
      <c r="G226" s="29">
        <v>1</v>
      </c>
      <c r="H226" t="s">
        <v>1494</v>
      </c>
      <c r="I226" t="s">
        <v>18</v>
      </c>
    </row>
    <row r="227" spans="1:9" customFormat="1" ht="21">
      <c r="A227" s="28" t="s">
        <v>1575</v>
      </c>
      <c r="B227" s="28" t="s">
        <v>108</v>
      </c>
      <c r="C227" s="28" t="s">
        <v>92</v>
      </c>
      <c r="D227" s="28" t="s">
        <v>1564</v>
      </c>
      <c r="E227" s="29">
        <v>16388.89</v>
      </c>
      <c r="F227" s="29">
        <v>-16387.89</v>
      </c>
      <c r="G227" s="29">
        <v>1</v>
      </c>
      <c r="H227" t="s">
        <v>1494</v>
      </c>
      <c r="I227" t="s">
        <v>18</v>
      </c>
    </row>
    <row r="228" spans="1:9" customFormat="1" ht="21">
      <c r="A228" s="28" t="s">
        <v>1576</v>
      </c>
      <c r="B228" s="28" t="s">
        <v>91</v>
      </c>
      <c r="C228" s="28" t="s">
        <v>92</v>
      </c>
      <c r="D228" s="28" t="s">
        <v>1577</v>
      </c>
      <c r="E228" s="29">
        <v>7822.22</v>
      </c>
      <c r="F228" s="29">
        <v>-7821.22</v>
      </c>
      <c r="G228" s="29">
        <v>1</v>
      </c>
      <c r="H228" t="s">
        <v>1494</v>
      </c>
      <c r="I228" t="s">
        <v>18</v>
      </c>
    </row>
    <row r="229" spans="1:9" customFormat="1" ht="21">
      <c r="A229" s="28" t="s">
        <v>1576</v>
      </c>
      <c r="B229" s="28" t="s">
        <v>108</v>
      </c>
      <c r="C229" s="28" t="s">
        <v>92</v>
      </c>
      <c r="D229" s="28" t="s">
        <v>1577</v>
      </c>
      <c r="E229" s="29">
        <v>9777.7800000000007</v>
      </c>
      <c r="F229" s="29">
        <v>-9776.7800000000007</v>
      </c>
      <c r="G229" s="29">
        <v>1</v>
      </c>
      <c r="H229" t="s">
        <v>1494</v>
      </c>
      <c r="I229" t="s">
        <v>18</v>
      </c>
    </row>
    <row r="230" spans="1:9" customFormat="1" ht="21">
      <c r="A230" s="28" t="s">
        <v>1578</v>
      </c>
      <c r="B230" s="28" t="s">
        <v>91</v>
      </c>
      <c r="C230" s="28" t="s">
        <v>92</v>
      </c>
      <c r="D230" s="28" t="s">
        <v>1577</v>
      </c>
      <c r="E230" s="29">
        <v>7822.22</v>
      </c>
      <c r="F230" s="29">
        <v>-7821.22</v>
      </c>
      <c r="G230" s="29">
        <v>1</v>
      </c>
      <c r="H230" t="s">
        <v>1494</v>
      </c>
      <c r="I230" t="s">
        <v>18</v>
      </c>
    </row>
    <row r="231" spans="1:9" customFormat="1" ht="21">
      <c r="A231" s="28" t="s">
        <v>1578</v>
      </c>
      <c r="B231" s="28" t="s">
        <v>108</v>
      </c>
      <c r="C231" s="28" t="s">
        <v>92</v>
      </c>
      <c r="D231" s="28" t="s">
        <v>1577</v>
      </c>
      <c r="E231" s="29">
        <v>9777.7800000000007</v>
      </c>
      <c r="F231" s="29">
        <v>-9776.7800000000007</v>
      </c>
      <c r="G231" s="29">
        <v>1</v>
      </c>
      <c r="H231" t="s">
        <v>1494</v>
      </c>
      <c r="I231" t="s">
        <v>18</v>
      </c>
    </row>
    <row r="232" spans="1:9" customFormat="1" ht="21">
      <c r="A232" s="28" t="s">
        <v>1579</v>
      </c>
      <c r="B232" s="28" t="s">
        <v>91</v>
      </c>
      <c r="C232" s="28" t="s">
        <v>92</v>
      </c>
      <c r="D232" s="28" t="s">
        <v>1577</v>
      </c>
      <c r="E232" s="29">
        <v>7822.22</v>
      </c>
      <c r="F232" s="29">
        <v>-7821.22</v>
      </c>
      <c r="G232" s="29">
        <v>1</v>
      </c>
      <c r="H232" t="s">
        <v>1494</v>
      </c>
      <c r="I232" t="s">
        <v>18</v>
      </c>
    </row>
    <row r="233" spans="1:9" customFormat="1" ht="21">
      <c r="A233" s="28" t="s">
        <v>1579</v>
      </c>
      <c r="B233" s="28" t="s">
        <v>108</v>
      </c>
      <c r="C233" s="28" t="s">
        <v>92</v>
      </c>
      <c r="D233" s="28" t="s">
        <v>1577</v>
      </c>
      <c r="E233" s="29">
        <v>9777.7800000000007</v>
      </c>
      <c r="F233" s="29">
        <v>-9776.7800000000007</v>
      </c>
      <c r="G233" s="29">
        <v>1</v>
      </c>
      <c r="H233" t="s">
        <v>1494</v>
      </c>
      <c r="I233" t="s">
        <v>18</v>
      </c>
    </row>
    <row r="234" spans="1:9" customFormat="1" ht="21">
      <c r="A234" s="28" t="s">
        <v>1580</v>
      </c>
      <c r="B234" s="28" t="s">
        <v>91</v>
      </c>
      <c r="C234" s="28" t="s">
        <v>92</v>
      </c>
      <c r="D234" s="28" t="s">
        <v>1577</v>
      </c>
      <c r="E234" s="29">
        <v>7822.22</v>
      </c>
      <c r="F234" s="29">
        <v>-7821.22</v>
      </c>
      <c r="G234" s="29">
        <v>1</v>
      </c>
      <c r="H234" t="s">
        <v>1494</v>
      </c>
      <c r="I234" t="s">
        <v>18</v>
      </c>
    </row>
    <row r="235" spans="1:9" customFormat="1" ht="21">
      <c r="A235" s="28" t="s">
        <v>1580</v>
      </c>
      <c r="B235" s="28" t="s">
        <v>108</v>
      </c>
      <c r="C235" s="28" t="s">
        <v>92</v>
      </c>
      <c r="D235" s="28" t="s">
        <v>1577</v>
      </c>
      <c r="E235" s="29">
        <v>9777.7800000000007</v>
      </c>
      <c r="F235" s="29">
        <v>-9776.7800000000007</v>
      </c>
      <c r="G235" s="29">
        <v>1</v>
      </c>
      <c r="H235" t="s">
        <v>1494</v>
      </c>
      <c r="I235" t="s">
        <v>18</v>
      </c>
    </row>
    <row r="236" spans="1:9" customFormat="1" ht="21">
      <c r="A236" s="28" t="s">
        <v>1581</v>
      </c>
      <c r="B236" s="28" t="s">
        <v>91</v>
      </c>
      <c r="C236" s="28" t="s">
        <v>92</v>
      </c>
      <c r="D236" s="28" t="s">
        <v>1577</v>
      </c>
      <c r="E236" s="29">
        <v>7822.22</v>
      </c>
      <c r="F236" s="29">
        <v>-7821.22</v>
      </c>
      <c r="G236" s="29">
        <v>1</v>
      </c>
      <c r="H236" t="s">
        <v>1494</v>
      </c>
      <c r="I236" t="s">
        <v>18</v>
      </c>
    </row>
    <row r="237" spans="1:9" customFormat="1" ht="21">
      <c r="A237" s="28" t="s">
        <v>1581</v>
      </c>
      <c r="B237" s="28" t="s">
        <v>108</v>
      </c>
      <c r="C237" s="28" t="s">
        <v>92</v>
      </c>
      <c r="D237" s="28" t="s">
        <v>1577</v>
      </c>
      <c r="E237" s="29">
        <v>9777.7800000000007</v>
      </c>
      <c r="F237" s="29">
        <v>-9776.7800000000007</v>
      </c>
      <c r="G237" s="29">
        <v>1</v>
      </c>
      <c r="H237" t="s">
        <v>1494</v>
      </c>
      <c r="I237" t="s">
        <v>18</v>
      </c>
    </row>
    <row r="238" spans="1:9" customFormat="1" ht="21">
      <c r="A238" s="28" t="s">
        <v>1582</v>
      </c>
      <c r="B238" s="28" t="s">
        <v>91</v>
      </c>
      <c r="C238" s="28" t="s">
        <v>92</v>
      </c>
      <c r="D238" s="28" t="s">
        <v>1577</v>
      </c>
      <c r="E238" s="29">
        <v>7822.22</v>
      </c>
      <c r="F238" s="29">
        <v>-7821.22</v>
      </c>
      <c r="G238" s="29">
        <v>1</v>
      </c>
      <c r="H238" t="s">
        <v>1494</v>
      </c>
      <c r="I238" t="s">
        <v>18</v>
      </c>
    </row>
    <row r="239" spans="1:9" customFormat="1" ht="21">
      <c r="A239" s="28" t="s">
        <v>1582</v>
      </c>
      <c r="B239" s="28" t="s">
        <v>108</v>
      </c>
      <c r="C239" s="28" t="s">
        <v>92</v>
      </c>
      <c r="D239" s="28" t="s">
        <v>1577</v>
      </c>
      <c r="E239" s="29">
        <v>9777.7800000000007</v>
      </c>
      <c r="F239" s="29">
        <v>-9776.7800000000007</v>
      </c>
      <c r="G239" s="29">
        <v>1</v>
      </c>
      <c r="H239" t="s">
        <v>1494</v>
      </c>
      <c r="I239" t="s">
        <v>18</v>
      </c>
    </row>
    <row r="240" spans="1:9" customFormat="1" ht="21">
      <c r="A240" s="28" t="s">
        <v>1583</v>
      </c>
      <c r="B240" s="28" t="s">
        <v>91</v>
      </c>
      <c r="C240" s="28" t="s">
        <v>92</v>
      </c>
      <c r="D240" s="28" t="s">
        <v>1577</v>
      </c>
      <c r="E240" s="29">
        <v>7822.22</v>
      </c>
      <c r="F240" s="29">
        <v>-7821.22</v>
      </c>
      <c r="G240" s="29">
        <v>1</v>
      </c>
      <c r="H240" t="s">
        <v>1494</v>
      </c>
      <c r="I240" t="s">
        <v>18</v>
      </c>
    </row>
    <row r="241" spans="1:9" customFormat="1" ht="21">
      <c r="A241" s="28" t="s">
        <v>1583</v>
      </c>
      <c r="B241" s="28" t="s">
        <v>108</v>
      </c>
      <c r="C241" s="28" t="s">
        <v>92</v>
      </c>
      <c r="D241" s="28" t="s">
        <v>1577</v>
      </c>
      <c r="E241" s="29">
        <v>9777.7800000000007</v>
      </c>
      <c r="F241" s="29">
        <v>-9776.7800000000007</v>
      </c>
      <c r="G241" s="29">
        <v>1</v>
      </c>
      <c r="H241" t="s">
        <v>1494</v>
      </c>
      <c r="I241" t="s">
        <v>18</v>
      </c>
    </row>
    <row r="242" spans="1:9" customFormat="1" ht="21">
      <c r="A242" s="28" t="s">
        <v>1584</v>
      </c>
      <c r="B242" s="28" t="s">
        <v>91</v>
      </c>
      <c r="C242" s="28" t="s">
        <v>92</v>
      </c>
      <c r="D242" s="28" t="s">
        <v>1577</v>
      </c>
      <c r="E242" s="29">
        <v>7822.22</v>
      </c>
      <c r="F242" s="29">
        <v>-7821.22</v>
      </c>
      <c r="G242" s="29">
        <v>1</v>
      </c>
      <c r="H242" t="s">
        <v>1494</v>
      </c>
      <c r="I242" t="s">
        <v>18</v>
      </c>
    </row>
    <row r="243" spans="1:9" customFormat="1" ht="21">
      <c r="A243" s="28" t="s">
        <v>1584</v>
      </c>
      <c r="B243" s="28" t="s">
        <v>108</v>
      </c>
      <c r="C243" s="28" t="s">
        <v>92</v>
      </c>
      <c r="D243" s="28" t="s">
        <v>1577</v>
      </c>
      <c r="E243" s="29">
        <v>9777.7800000000007</v>
      </c>
      <c r="F243" s="29">
        <v>-9776.7800000000007</v>
      </c>
      <c r="G243" s="29">
        <v>1</v>
      </c>
      <c r="H243" t="s">
        <v>1494</v>
      </c>
      <c r="I243" t="s">
        <v>18</v>
      </c>
    </row>
    <row r="244" spans="1:9" customFormat="1" ht="21">
      <c r="A244" s="28" t="s">
        <v>1585</v>
      </c>
      <c r="B244" s="28" t="s">
        <v>91</v>
      </c>
      <c r="C244" s="28" t="s">
        <v>92</v>
      </c>
      <c r="D244" s="28" t="s">
        <v>1577</v>
      </c>
      <c r="E244" s="29">
        <v>7822.22</v>
      </c>
      <c r="F244" s="29">
        <v>-7821.22</v>
      </c>
      <c r="G244" s="29">
        <v>1</v>
      </c>
      <c r="H244" t="s">
        <v>1494</v>
      </c>
      <c r="I244" t="s">
        <v>18</v>
      </c>
    </row>
    <row r="245" spans="1:9" customFormat="1" ht="21">
      <c r="A245" s="28" t="s">
        <v>1585</v>
      </c>
      <c r="B245" s="28" t="s">
        <v>108</v>
      </c>
      <c r="C245" s="28" t="s">
        <v>92</v>
      </c>
      <c r="D245" s="28" t="s">
        <v>1577</v>
      </c>
      <c r="E245" s="29">
        <v>9777.7800000000007</v>
      </c>
      <c r="F245" s="29">
        <v>-9776.7800000000007</v>
      </c>
      <c r="G245" s="29">
        <v>1</v>
      </c>
      <c r="H245" t="s">
        <v>1494</v>
      </c>
      <c r="I245" t="s">
        <v>18</v>
      </c>
    </row>
    <row r="246" spans="1:9" customFormat="1" ht="21">
      <c r="A246" s="28" t="s">
        <v>1586</v>
      </c>
      <c r="B246" s="28" t="s">
        <v>91</v>
      </c>
      <c r="C246" s="28" t="s">
        <v>92</v>
      </c>
      <c r="D246" s="28" t="s">
        <v>1577</v>
      </c>
      <c r="E246" s="29">
        <v>7822.22</v>
      </c>
      <c r="F246" s="29">
        <v>-7821.22</v>
      </c>
      <c r="G246" s="29">
        <v>1</v>
      </c>
      <c r="H246" t="s">
        <v>1494</v>
      </c>
      <c r="I246" t="s">
        <v>18</v>
      </c>
    </row>
    <row r="247" spans="1:9" customFormat="1" ht="21">
      <c r="A247" s="28" t="s">
        <v>1586</v>
      </c>
      <c r="B247" s="28" t="s">
        <v>108</v>
      </c>
      <c r="C247" s="28" t="s">
        <v>92</v>
      </c>
      <c r="D247" s="28" t="s">
        <v>1577</v>
      </c>
      <c r="E247" s="29">
        <v>9777.7800000000007</v>
      </c>
      <c r="F247" s="29">
        <v>-9776.7800000000007</v>
      </c>
      <c r="G247" s="29">
        <v>1</v>
      </c>
      <c r="H247" t="s">
        <v>1494</v>
      </c>
      <c r="I247" t="s">
        <v>18</v>
      </c>
    </row>
    <row r="248" spans="1:9" customFormat="1" ht="21">
      <c r="A248" s="28" t="s">
        <v>1587</v>
      </c>
      <c r="B248" s="28" t="s">
        <v>91</v>
      </c>
      <c r="C248" s="28" t="s">
        <v>92</v>
      </c>
      <c r="D248" s="28" t="s">
        <v>1577</v>
      </c>
      <c r="E248" s="29">
        <v>7822.22</v>
      </c>
      <c r="F248" s="29">
        <v>-7821.22</v>
      </c>
      <c r="G248" s="29">
        <v>1</v>
      </c>
      <c r="H248" t="s">
        <v>1494</v>
      </c>
      <c r="I248" t="s">
        <v>18</v>
      </c>
    </row>
    <row r="249" spans="1:9" customFormat="1" ht="21">
      <c r="A249" s="28" t="s">
        <v>1587</v>
      </c>
      <c r="B249" s="28" t="s">
        <v>108</v>
      </c>
      <c r="C249" s="28" t="s">
        <v>92</v>
      </c>
      <c r="D249" s="28" t="s">
        <v>1577</v>
      </c>
      <c r="E249" s="29">
        <v>9777.7800000000007</v>
      </c>
      <c r="F249" s="29">
        <v>-9776.7800000000007</v>
      </c>
      <c r="G249" s="29">
        <v>1</v>
      </c>
      <c r="H249" t="s">
        <v>1494</v>
      </c>
      <c r="I249" t="s">
        <v>18</v>
      </c>
    </row>
    <row r="250" spans="1:9" customFormat="1" ht="21">
      <c r="A250" s="28" t="s">
        <v>1588</v>
      </c>
      <c r="B250" s="28" t="s">
        <v>91</v>
      </c>
      <c r="C250" s="28" t="s">
        <v>92</v>
      </c>
      <c r="D250" s="28" t="s">
        <v>1577</v>
      </c>
      <c r="E250" s="29">
        <v>7822.22</v>
      </c>
      <c r="F250" s="29">
        <v>-7821.22</v>
      </c>
      <c r="G250" s="29">
        <v>1</v>
      </c>
      <c r="H250" t="s">
        <v>1494</v>
      </c>
      <c r="I250" t="s">
        <v>18</v>
      </c>
    </row>
    <row r="251" spans="1:9" customFormat="1" ht="21">
      <c r="A251" s="28" t="s">
        <v>1588</v>
      </c>
      <c r="B251" s="28" t="s">
        <v>108</v>
      </c>
      <c r="C251" s="28" t="s">
        <v>92</v>
      </c>
      <c r="D251" s="28" t="s">
        <v>1577</v>
      </c>
      <c r="E251" s="29">
        <v>9777.7800000000007</v>
      </c>
      <c r="F251" s="29">
        <v>-9776.7800000000007</v>
      </c>
      <c r="G251" s="29">
        <v>1</v>
      </c>
      <c r="H251" t="s">
        <v>1494</v>
      </c>
      <c r="I251" t="s">
        <v>18</v>
      </c>
    </row>
    <row r="252" spans="1:9" customFormat="1" ht="21">
      <c r="A252" s="28" t="s">
        <v>1589</v>
      </c>
      <c r="B252" s="28" t="s">
        <v>91</v>
      </c>
      <c r="C252" s="28" t="s">
        <v>92</v>
      </c>
      <c r="D252" s="28" t="s">
        <v>1577</v>
      </c>
      <c r="E252" s="29">
        <v>7822.22</v>
      </c>
      <c r="F252" s="29">
        <v>-7821.22</v>
      </c>
      <c r="G252" s="29">
        <v>1</v>
      </c>
      <c r="H252" t="s">
        <v>1494</v>
      </c>
      <c r="I252" t="s">
        <v>18</v>
      </c>
    </row>
    <row r="253" spans="1:9" customFormat="1" ht="21">
      <c r="A253" s="28" t="s">
        <v>1589</v>
      </c>
      <c r="B253" s="28" t="s">
        <v>108</v>
      </c>
      <c r="C253" s="28" t="s">
        <v>92</v>
      </c>
      <c r="D253" s="28" t="s">
        <v>1577</v>
      </c>
      <c r="E253" s="29">
        <v>9777.7800000000007</v>
      </c>
      <c r="F253" s="29">
        <v>-9776.7800000000007</v>
      </c>
      <c r="G253" s="29">
        <v>1</v>
      </c>
      <c r="H253" t="s">
        <v>1494</v>
      </c>
      <c r="I253" t="s">
        <v>18</v>
      </c>
    </row>
    <row r="254" spans="1:9" customFormat="1" ht="21">
      <c r="A254" s="28" t="s">
        <v>1590</v>
      </c>
      <c r="B254" s="28" t="s">
        <v>91</v>
      </c>
      <c r="C254" s="28" t="s">
        <v>92</v>
      </c>
      <c r="D254" s="28" t="s">
        <v>1577</v>
      </c>
      <c r="E254" s="29">
        <v>7822.22</v>
      </c>
      <c r="F254" s="29">
        <v>-7821.22</v>
      </c>
      <c r="G254" s="29">
        <v>1</v>
      </c>
      <c r="H254" t="s">
        <v>1494</v>
      </c>
      <c r="I254" t="s">
        <v>18</v>
      </c>
    </row>
    <row r="255" spans="1:9" customFormat="1" ht="21">
      <c r="A255" s="28" t="s">
        <v>1590</v>
      </c>
      <c r="B255" s="28" t="s">
        <v>108</v>
      </c>
      <c r="C255" s="28" t="s">
        <v>92</v>
      </c>
      <c r="D255" s="28" t="s">
        <v>1577</v>
      </c>
      <c r="E255" s="29">
        <v>9777.7800000000007</v>
      </c>
      <c r="F255" s="29">
        <v>-9776.7800000000007</v>
      </c>
      <c r="G255" s="29">
        <v>1</v>
      </c>
      <c r="H255" t="s">
        <v>1494</v>
      </c>
      <c r="I255" t="s">
        <v>18</v>
      </c>
    </row>
    <row r="256" spans="1:9" customFormat="1" ht="21">
      <c r="A256" s="28" t="s">
        <v>1591</v>
      </c>
      <c r="B256" s="28" t="s">
        <v>91</v>
      </c>
      <c r="C256" s="28" t="s">
        <v>92</v>
      </c>
      <c r="D256" s="28" t="s">
        <v>1592</v>
      </c>
      <c r="E256" s="29">
        <v>6888.89</v>
      </c>
      <c r="F256" s="29">
        <v>-6887.89</v>
      </c>
      <c r="G256" s="29">
        <v>1</v>
      </c>
      <c r="H256" t="s">
        <v>1494</v>
      </c>
      <c r="I256" t="s">
        <v>18</v>
      </c>
    </row>
    <row r="257" spans="1:9" customFormat="1" ht="21">
      <c r="A257" s="28" t="s">
        <v>1591</v>
      </c>
      <c r="B257" s="28" t="s">
        <v>108</v>
      </c>
      <c r="C257" s="28" t="s">
        <v>92</v>
      </c>
      <c r="D257" s="28" t="s">
        <v>1592</v>
      </c>
      <c r="E257" s="29">
        <v>8611.11</v>
      </c>
      <c r="F257" s="29">
        <v>-8610.11</v>
      </c>
      <c r="G257" s="29">
        <v>1</v>
      </c>
      <c r="H257" t="s">
        <v>1494</v>
      </c>
      <c r="I257" t="s">
        <v>18</v>
      </c>
    </row>
    <row r="258" spans="1:9" customFormat="1" ht="21">
      <c r="A258" s="28" t="s">
        <v>1593</v>
      </c>
      <c r="B258" s="28" t="s">
        <v>91</v>
      </c>
      <c r="C258" s="28" t="s">
        <v>92</v>
      </c>
      <c r="D258" s="28" t="s">
        <v>1592</v>
      </c>
      <c r="E258" s="29">
        <v>6888.89</v>
      </c>
      <c r="F258" s="29">
        <v>-6887.89</v>
      </c>
      <c r="G258" s="29">
        <v>1</v>
      </c>
      <c r="H258" t="s">
        <v>1494</v>
      </c>
      <c r="I258" t="s">
        <v>18</v>
      </c>
    </row>
    <row r="259" spans="1:9" customFormat="1" ht="21">
      <c r="A259" s="28" t="s">
        <v>1593</v>
      </c>
      <c r="B259" s="28" t="s">
        <v>108</v>
      </c>
      <c r="C259" s="28" t="s">
        <v>92</v>
      </c>
      <c r="D259" s="28" t="s">
        <v>1592</v>
      </c>
      <c r="E259" s="29">
        <v>8611.11</v>
      </c>
      <c r="F259" s="29">
        <v>-8610.11</v>
      </c>
      <c r="G259" s="29">
        <v>1</v>
      </c>
      <c r="H259" t="s">
        <v>1494</v>
      </c>
      <c r="I259" t="s">
        <v>18</v>
      </c>
    </row>
    <row r="260" spans="1:9" customFormat="1" ht="21">
      <c r="A260" s="28" t="s">
        <v>1594</v>
      </c>
      <c r="B260" s="28" t="s">
        <v>91</v>
      </c>
      <c r="C260" s="28" t="s">
        <v>92</v>
      </c>
      <c r="D260" s="28" t="s">
        <v>1592</v>
      </c>
      <c r="E260" s="29">
        <v>6888.89</v>
      </c>
      <c r="F260" s="29">
        <v>-6887.89</v>
      </c>
      <c r="G260" s="29">
        <v>1</v>
      </c>
      <c r="H260" t="s">
        <v>1494</v>
      </c>
      <c r="I260" t="s">
        <v>18</v>
      </c>
    </row>
    <row r="261" spans="1:9" customFormat="1" ht="21">
      <c r="A261" s="28" t="s">
        <v>1594</v>
      </c>
      <c r="B261" s="28" t="s">
        <v>108</v>
      </c>
      <c r="C261" s="28" t="s">
        <v>92</v>
      </c>
      <c r="D261" s="28" t="s">
        <v>1592</v>
      </c>
      <c r="E261" s="29">
        <v>8611.11</v>
      </c>
      <c r="F261" s="29">
        <v>-8610.11</v>
      </c>
      <c r="G261" s="29">
        <v>1</v>
      </c>
      <c r="H261" t="s">
        <v>1494</v>
      </c>
      <c r="I261" t="s">
        <v>18</v>
      </c>
    </row>
    <row r="262" spans="1:9" customFormat="1" ht="21">
      <c r="A262" s="28" t="s">
        <v>1595</v>
      </c>
      <c r="B262" s="28" t="s">
        <v>91</v>
      </c>
      <c r="C262" s="28" t="s">
        <v>92</v>
      </c>
      <c r="D262" s="28" t="s">
        <v>1592</v>
      </c>
      <c r="E262" s="29">
        <v>6888.89</v>
      </c>
      <c r="F262" s="29">
        <v>-6887.89</v>
      </c>
      <c r="G262" s="29">
        <v>1</v>
      </c>
      <c r="H262" t="s">
        <v>1494</v>
      </c>
      <c r="I262" t="s">
        <v>18</v>
      </c>
    </row>
    <row r="263" spans="1:9" customFormat="1" ht="21">
      <c r="A263" s="28" t="s">
        <v>1595</v>
      </c>
      <c r="B263" s="28" t="s">
        <v>108</v>
      </c>
      <c r="C263" s="28" t="s">
        <v>92</v>
      </c>
      <c r="D263" s="28" t="s">
        <v>1592</v>
      </c>
      <c r="E263" s="29">
        <v>8611.11</v>
      </c>
      <c r="F263" s="29">
        <v>-8610.11</v>
      </c>
      <c r="G263" s="29">
        <v>1</v>
      </c>
      <c r="H263" t="s">
        <v>1494</v>
      </c>
      <c r="I263" t="s">
        <v>18</v>
      </c>
    </row>
    <row r="264" spans="1:9" customFormat="1" ht="21">
      <c r="A264" s="28" t="s">
        <v>1596</v>
      </c>
      <c r="B264" s="28" t="s">
        <v>91</v>
      </c>
      <c r="C264" s="28" t="s">
        <v>92</v>
      </c>
      <c r="D264" s="28" t="s">
        <v>1592</v>
      </c>
      <c r="E264" s="29">
        <v>6888.89</v>
      </c>
      <c r="F264" s="29">
        <v>-6887.89</v>
      </c>
      <c r="G264" s="29">
        <v>1</v>
      </c>
      <c r="H264" t="s">
        <v>1494</v>
      </c>
      <c r="I264" t="s">
        <v>18</v>
      </c>
    </row>
    <row r="265" spans="1:9" customFormat="1" ht="21">
      <c r="A265" s="28" t="s">
        <v>1596</v>
      </c>
      <c r="B265" s="28" t="s">
        <v>108</v>
      </c>
      <c r="C265" s="28" t="s">
        <v>92</v>
      </c>
      <c r="D265" s="28" t="s">
        <v>1592</v>
      </c>
      <c r="E265" s="29">
        <v>8611.11</v>
      </c>
      <c r="F265" s="29">
        <v>-8610.11</v>
      </c>
      <c r="G265" s="29">
        <v>1</v>
      </c>
      <c r="H265" t="s">
        <v>1494</v>
      </c>
      <c r="I265" t="s">
        <v>18</v>
      </c>
    </row>
    <row r="266" spans="1:9" customFormat="1" ht="21">
      <c r="A266" s="28" t="s">
        <v>1597</v>
      </c>
      <c r="B266" s="28" t="s">
        <v>91</v>
      </c>
      <c r="C266" s="28" t="s">
        <v>92</v>
      </c>
      <c r="D266" s="28" t="s">
        <v>1592</v>
      </c>
      <c r="E266" s="29">
        <v>6888.89</v>
      </c>
      <c r="F266" s="29">
        <v>-6887.89</v>
      </c>
      <c r="G266" s="29">
        <v>1</v>
      </c>
      <c r="H266" t="s">
        <v>1494</v>
      </c>
      <c r="I266" t="s">
        <v>18</v>
      </c>
    </row>
    <row r="267" spans="1:9" customFormat="1" ht="21">
      <c r="A267" s="28" t="s">
        <v>1597</v>
      </c>
      <c r="B267" s="28" t="s">
        <v>108</v>
      </c>
      <c r="C267" s="28" t="s">
        <v>92</v>
      </c>
      <c r="D267" s="28" t="s">
        <v>1592</v>
      </c>
      <c r="E267" s="29">
        <v>8611.11</v>
      </c>
      <c r="F267" s="29">
        <v>-8610.11</v>
      </c>
      <c r="G267" s="29">
        <v>1</v>
      </c>
      <c r="H267" t="s">
        <v>1494</v>
      </c>
      <c r="I267" t="s">
        <v>18</v>
      </c>
    </row>
    <row r="268" spans="1:9" customFormat="1" ht="21">
      <c r="A268" s="28" t="s">
        <v>1598</v>
      </c>
      <c r="B268" s="28" t="s">
        <v>91</v>
      </c>
      <c r="C268" s="28" t="s">
        <v>92</v>
      </c>
      <c r="D268" s="28" t="s">
        <v>1592</v>
      </c>
      <c r="E268" s="29">
        <v>6888.89</v>
      </c>
      <c r="F268" s="29">
        <v>-6887.89</v>
      </c>
      <c r="G268" s="29">
        <v>1</v>
      </c>
      <c r="H268" t="s">
        <v>1494</v>
      </c>
      <c r="I268" t="s">
        <v>18</v>
      </c>
    </row>
    <row r="269" spans="1:9" customFormat="1" ht="21">
      <c r="A269" s="28" t="s">
        <v>1598</v>
      </c>
      <c r="B269" s="28" t="s">
        <v>108</v>
      </c>
      <c r="C269" s="28" t="s">
        <v>92</v>
      </c>
      <c r="D269" s="28" t="s">
        <v>1592</v>
      </c>
      <c r="E269" s="29">
        <v>8611.11</v>
      </c>
      <c r="F269" s="29">
        <v>-8610.11</v>
      </c>
      <c r="G269" s="29">
        <v>1</v>
      </c>
      <c r="H269" t="s">
        <v>1494</v>
      </c>
      <c r="I269" t="s">
        <v>18</v>
      </c>
    </row>
    <row r="270" spans="1:9" customFormat="1" ht="21">
      <c r="A270" s="28" t="s">
        <v>1599</v>
      </c>
      <c r="B270" s="28" t="s">
        <v>91</v>
      </c>
      <c r="C270" s="28" t="s">
        <v>92</v>
      </c>
      <c r="D270" s="28" t="s">
        <v>1592</v>
      </c>
      <c r="E270" s="29">
        <v>6888.89</v>
      </c>
      <c r="F270" s="29">
        <v>-6887.89</v>
      </c>
      <c r="G270" s="29">
        <v>1</v>
      </c>
      <c r="H270" t="s">
        <v>1494</v>
      </c>
      <c r="I270" t="s">
        <v>18</v>
      </c>
    </row>
    <row r="271" spans="1:9" customFormat="1" ht="21">
      <c r="A271" s="28" t="s">
        <v>1599</v>
      </c>
      <c r="B271" s="28" t="s">
        <v>108</v>
      </c>
      <c r="C271" s="28" t="s">
        <v>92</v>
      </c>
      <c r="D271" s="28" t="s">
        <v>1592</v>
      </c>
      <c r="E271" s="29">
        <v>8611.11</v>
      </c>
      <c r="F271" s="29">
        <v>-8610.11</v>
      </c>
      <c r="G271" s="29">
        <v>1</v>
      </c>
      <c r="H271" t="s">
        <v>1494</v>
      </c>
      <c r="I271" t="s">
        <v>18</v>
      </c>
    </row>
    <row r="272" spans="1:9" customFormat="1" ht="21">
      <c r="A272" s="28" t="s">
        <v>1600</v>
      </c>
      <c r="B272" s="28" t="s">
        <v>91</v>
      </c>
      <c r="C272" s="28" t="s">
        <v>92</v>
      </c>
      <c r="D272" s="28" t="s">
        <v>1601</v>
      </c>
      <c r="E272" s="29">
        <v>23160</v>
      </c>
      <c r="F272" s="29">
        <v>-23159</v>
      </c>
      <c r="G272" s="29">
        <v>1</v>
      </c>
      <c r="H272" t="s">
        <v>1494</v>
      </c>
      <c r="I272" t="s">
        <v>18</v>
      </c>
    </row>
    <row r="273" spans="1:9" customFormat="1" ht="21">
      <c r="A273" s="28" t="s">
        <v>1600</v>
      </c>
      <c r="B273" s="28" t="s">
        <v>108</v>
      </c>
      <c r="C273" s="28" t="s">
        <v>92</v>
      </c>
      <c r="D273" s="28" t="s">
        <v>1601</v>
      </c>
      <c r="E273" s="29">
        <v>28950</v>
      </c>
      <c r="F273" s="29">
        <v>-28949</v>
      </c>
      <c r="G273" s="29">
        <v>1</v>
      </c>
      <c r="H273" t="s">
        <v>1494</v>
      </c>
      <c r="I273" t="s">
        <v>18</v>
      </c>
    </row>
    <row r="274" spans="1:9" customFormat="1" ht="21">
      <c r="A274" s="28" t="s">
        <v>1602</v>
      </c>
      <c r="B274" s="28" t="s">
        <v>91</v>
      </c>
      <c r="C274" s="28" t="s">
        <v>92</v>
      </c>
      <c r="D274" s="28" t="s">
        <v>1601</v>
      </c>
      <c r="E274" s="29">
        <v>23160</v>
      </c>
      <c r="F274" s="29">
        <v>-23159</v>
      </c>
      <c r="G274" s="29">
        <v>1</v>
      </c>
      <c r="H274" t="s">
        <v>1494</v>
      </c>
      <c r="I274" t="s">
        <v>18</v>
      </c>
    </row>
    <row r="275" spans="1:9" customFormat="1" ht="21">
      <c r="A275" s="28" t="s">
        <v>1602</v>
      </c>
      <c r="B275" s="28" t="s">
        <v>108</v>
      </c>
      <c r="C275" s="28" t="s">
        <v>92</v>
      </c>
      <c r="D275" s="28" t="s">
        <v>1601</v>
      </c>
      <c r="E275" s="29">
        <v>28950</v>
      </c>
      <c r="F275" s="29">
        <v>-28949</v>
      </c>
      <c r="G275" s="29">
        <v>1</v>
      </c>
      <c r="H275" t="s">
        <v>1494</v>
      </c>
      <c r="I275" t="s">
        <v>18</v>
      </c>
    </row>
    <row r="276" spans="1:9" customFormat="1" ht="21">
      <c r="A276" s="28" t="s">
        <v>1603</v>
      </c>
      <c r="B276" s="28" t="s">
        <v>91</v>
      </c>
      <c r="C276" s="28" t="s">
        <v>92</v>
      </c>
      <c r="D276" s="28" t="s">
        <v>1601</v>
      </c>
      <c r="E276" s="29">
        <v>23160</v>
      </c>
      <c r="F276" s="29">
        <v>-23159</v>
      </c>
      <c r="G276" s="29">
        <v>1</v>
      </c>
      <c r="H276" t="s">
        <v>1494</v>
      </c>
      <c r="I276" t="s">
        <v>18</v>
      </c>
    </row>
    <row r="277" spans="1:9" customFormat="1" ht="21">
      <c r="A277" s="28" t="s">
        <v>1603</v>
      </c>
      <c r="B277" s="28" t="s">
        <v>108</v>
      </c>
      <c r="C277" s="28" t="s">
        <v>92</v>
      </c>
      <c r="D277" s="28" t="s">
        <v>1601</v>
      </c>
      <c r="E277" s="29">
        <v>28950</v>
      </c>
      <c r="F277" s="29">
        <v>-28949</v>
      </c>
      <c r="G277" s="29">
        <v>1</v>
      </c>
      <c r="H277" t="s">
        <v>1494</v>
      </c>
      <c r="I277" t="s">
        <v>18</v>
      </c>
    </row>
    <row r="278" spans="1:9" customFormat="1" ht="21">
      <c r="A278" s="28" t="s">
        <v>1604</v>
      </c>
      <c r="B278" s="28" t="s">
        <v>91</v>
      </c>
      <c r="C278" s="28" t="s">
        <v>92</v>
      </c>
      <c r="D278" s="28" t="s">
        <v>1605</v>
      </c>
      <c r="E278" s="29">
        <v>16666.669999999998</v>
      </c>
      <c r="F278" s="29">
        <v>-16665.669999999998</v>
      </c>
      <c r="G278" s="29">
        <v>1</v>
      </c>
      <c r="H278" t="s">
        <v>1494</v>
      </c>
      <c r="I278" t="s">
        <v>18</v>
      </c>
    </row>
    <row r="279" spans="1:9" customFormat="1" ht="21">
      <c r="A279" s="28" t="s">
        <v>1604</v>
      </c>
      <c r="B279" s="28" t="s">
        <v>108</v>
      </c>
      <c r="C279" s="28" t="s">
        <v>92</v>
      </c>
      <c r="D279" s="28" t="s">
        <v>1605</v>
      </c>
      <c r="E279" s="29">
        <v>20833.330000000002</v>
      </c>
      <c r="F279" s="29">
        <v>-20832.330000000002</v>
      </c>
      <c r="G279" s="29">
        <v>1</v>
      </c>
      <c r="H279" t="s">
        <v>1494</v>
      </c>
      <c r="I279" t="s">
        <v>18</v>
      </c>
    </row>
    <row r="280" spans="1:9" customFormat="1" ht="21">
      <c r="A280" s="28" t="s">
        <v>1606</v>
      </c>
      <c r="B280" s="28" t="s">
        <v>91</v>
      </c>
      <c r="C280" s="28" t="s">
        <v>92</v>
      </c>
      <c r="D280" s="28" t="s">
        <v>1607</v>
      </c>
      <c r="E280" s="29">
        <v>16666.669999999998</v>
      </c>
      <c r="F280" s="29">
        <v>-16665.669999999998</v>
      </c>
      <c r="G280" s="29">
        <v>1</v>
      </c>
      <c r="H280" t="s">
        <v>1494</v>
      </c>
      <c r="I280" t="s">
        <v>18</v>
      </c>
    </row>
    <row r="281" spans="1:9" customFormat="1" ht="21">
      <c r="A281" s="28" t="s">
        <v>1606</v>
      </c>
      <c r="B281" s="28" t="s">
        <v>108</v>
      </c>
      <c r="C281" s="28" t="s">
        <v>92</v>
      </c>
      <c r="D281" s="28" t="s">
        <v>1607</v>
      </c>
      <c r="E281" s="29">
        <v>20833.330000000002</v>
      </c>
      <c r="F281" s="29">
        <v>-20832.330000000002</v>
      </c>
      <c r="G281" s="29">
        <v>1</v>
      </c>
      <c r="H281" t="s">
        <v>1494</v>
      </c>
      <c r="I281" t="s">
        <v>18</v>
      </c>
    </row>
    <row r="282" spans="1:9" customFormat="1" ht="21">
      <c r="A282" s="28" t="s">
        <v>1608</v>
      </c>
      <c r="B282" s="28" t="s">
        <v>91</v>
      </c>
      <c r="C282" s="28" t="s">
        <v>92</v>
      </c>
      <c r="D282" s="28" t="s">
        <v>1609</v>
      </c>
      <c r="E282" s="29">
        <v>16666.669999999998</v>
      </c>
      <c r="F282" s="29">
        <v>-16665.669999999998</v>
      </c>
      <c r="G282" s="29">
        <v>1</v>
      </c>
      <c r="H282" t="s">
        <v>1494</v>
      </c>
      <c r="I282" t="s">
        <v>18</v>
      </c>
    </row>
    <row r="283" spans="1:9" customFormat="1" ht="21">
      <c r="A283" s="28" t="s">
        <v>1608</v>
      </c>
      <c r="B283" s="28" t="s">
        <v>108</v>
      </c>
      <c r="C283" s="28" t="s">
        <v>92</v>
      </c>
      <c r="D283" s="28" t="s">
        <v>1609</v>
      </c>
      <c r="E283" s="29">
        <v>20833.330000000002</v>
      </c>
      <c r="F283" s="29">
        <v>-20832.330000000002</v>
      </c>
      <c r="G283" s="29">
        <v>1</v>
      </c>
      <c r="H283" t="s">
        <v>1494</v>
      </c>
      <c r="I283" t="s">
        <v>18</v>
      </c>
    </row>
    <row r="284" spans="1:9" customFormat="1" ht="21">
      <c r="A284" s="28" t="s">
        <v>1610</v>
      </c>
      <c r="B284" s="28" t="s">
        <v>91</v>
      </c>
      <c r="C284" s="28" t="s">
        <v>1611</v>
      </c>
      <c r="D284" s="28" t="s">
        <v>1612</v>
      </c>
      <c r="E284" s="29">
        <v>1999830</v>
      </c>
      <c r="F284" s="29">
        <v>-1999829</v>
      </c>
      <c r="G284" s="29">
        <v>1</v>
      </c>
      <c r="H284" t="s">
        <v>1494</v>
      </c>
      <c r="I284" t="s">
        <v>675</v>
      </c>
    </row>
    <row r="285" spans="1:9" customFormat="1" ht="21">
      <c r="A285" s="28" t="s">
        <v>1613</v>
      </c>
      <c r="B285" s="28" t="s">
        <v>91</v>
      </c>
      <c r="C285" s="28" t="s">
        <v>927</v>
      </c>
      <c r="D285" s="28" t="s">
        <v>1614</v>
      </c>
      <c r="E285" s="29">
        <v>2499800</v>
      </c>
      <c r="F285" s="29">
        <v>-2267426.7799999998</v>
      </c>
      <c r="G285" s="29">
        <v>232373.22</v>
      </c>
      <c r="H285" t="s">
        <v>1494</v>
      </c>
      <c r="I285" t="s">
        <v>675</v>
      </c>
    </row>
    <row r="286" spans="1:9" customFormat="1" ht="21">
      <c r="A286" s="28" t="s">
        <v>1615</v>
      </c>
      <c r="B286" s="28" t="s">
        <v>91</v>
      </c>
      <c r="C286" s="28" t="s">
        <v>770</v>
      </c>
      <c r="D286" s="28" t="s">
        <v>1227</v>
      </c>
      <c r="E286" s="29">
        <v>3798375</v>
      </c>
      <c r="F286" s="29">
        <v>-930341.71</v>
      </c>
      <c r="G286" s="29">
        <v>2868033.29</v>
      </c>
      <c r="H286" t="s">
        <v>1494</v>
      </c>
      <c r="I286" t="s">
        <v>681</v>
      </c>
    </row>
    <row r="287" spans="1:9" customFormat="1" ht="21">
      <c r="A287" s="28" t="s">
        <v>1616</v>
      </c>
      <c r="B287" s="28" t="s">
        <v>91</v>
      </c>
      <c r="C287" s="28" t="s">
        <v>774</v>
      </c>
      <c r="D287" s="28" t="s">
        <v>775</v>
      </c>
      <c r="E287" s="29">
        <v>1998400</v>
      </c>
      <c r="F287" s="29">
        <v>-497136.22</v>
      </c>
      <c r="G287" s="29">
        <v>1501263.78</v>
      </c>
      <c r="H287" t="s">
        <v>1494</v>
      </c>
      <c r="I287" t="s">
        <v>681</v>
      </c>
    </row>
    <row r="288" spans="1:9" customFormat="1" ht="21">
      <c r="A288" s="28" t="s">
        <v>1617</v>
      </c>
      <c r="B288" s="28" t="s">
        <v>91</v>
      </c>
      <c r="C288" s="28" t="s">
        <v>679</v>
      </c>
      <c r="D288" s="28" t="s">
        <v>680</v>
      </c>
      <c r="E288" s="29">
        <v>449663</v>
      </c>
      <c r="F288" s="29">
        <v>-103237.7</v>
      </c>
      <c r="G288" s="29">
        <v>346425.3</v>
      </c>
      <c r="H288" t="s">
        <v>1494</v>
      </c>
      <c r="I288" t="s">
        <v>681</v>
      </c>
    </row>
    <row r="289" spans="1:9" customFormat="1" ht="21">
      <c r="A289" s="28" t="s">
        <v>1618</v>
      </c>
      <c r="B289" s="28" t="s">
        <v>91</v>
      </c>
      <c r="C289" s="28" t="s">
        <v>679</v>
      </c>
      <c r="D289" s="28" t="s">
        <v>683</v>
      </c>
      <c r="E289" s="29">
        <v>49870</v>
      </c>
      <c r="F289" s="29">
        <v>-11449.61</v>
      </c>
      <c r="G289" s="29">
        <v>38420.39</v>
      </c>
      <c r="H289" t="s">
        <v>1494</v>
      </c>
      <c r="I289" t="s">
        <v>681</v>
      </c>
    </row>
    <row r="290" spans="1:9" customFormat="1" ht="21">
      <c r="A290" s="28" t="s">
        <v>1619</v>
      </c>
      <c r="B290" s="28" t="s">
        <v>91</v>
      </c>
      <c r="C290" s="28" t="s">
        <v>679</v>
      </c>
      <c r="D290" s="28" t="s">
        <v>683</v>
      </c>
      <c r="E290" s="29">
        <v>49870</v>
      </c>
      <c r="F290" s="29">
        <v>-11449.61</v>
      </c>
      <c r="G290" s="29">
        <v>38420.39</v>
      </c>
      <c r="H290" t="s">
        <v>1494</v>
      </c>
      <c r="I290" t="s">
        <v>681</v>
      </c>
    </row>
    <row r="291" spans="1:9" customFormat="1" ht="21">
      <c r="A291" s="28" t="s">
        <v>1620</v>
      </c>
      <c r="B291" s="28" t="s">
        <v>91</v>
      </c>
      <c r="C291" s="28" t="s">
        <v>679</v>
      </c>
      <c r="D291" s="28" t="s">
        <v>683</v>
      </c>
      <c r="E291" s="29">
        <v>49870</v>
      </c>
      <c r="F291" s="29">
        <v>-11449.61</v>
      </c>
      <c r="G291" s="29">
        <v>38420.39</v>
      </c>
      <c r="H291" t="s">
        <v>1494</v>
      </c>
      <c r="I291" t="s">
        <v>681</v>
      </c>
    </row>
    <row r="292" spans="1:9" customFormat="1" ht="21">
      <c r="A292" s="28" t="s">
        <v>1621</v>
      </c>
      <c r="B292" s="28" t="s">
        <v>91</v>
      </c>
      <c r="C292" s="28" t="s">
        <v>679</v>
      </c>
      <c r="D292" s="28" t="s">
        <v>683</v>
      </c>
      <c r="E292" s="29">
        <v>49870</v>
      </c>
      <c r="F292" s="29">
        <v>-11449.61</v>
      </c>
      <c r="G292" s="29">
        <v>38420.39</v>
      </c>
      <c r="H292" t="s">
        <v>1494</v>
      </c>
      <c r="I292" t="s">
        <v>681</v>
      </c>
    </row>
    <row r="293" spans="1:9" customFormat="1" ht="21">
      <c r="A293" s="28" t="s">
        <v>1622</v>
      </c>
      <c r="B293" s="28" t="s">
        <v>91</v>
      </c>
      <c r="C293" s="28" t="s">
        <v>1623</v>
      </c>
      <c r="D293" s="28" t="s">
        <v>1624</v>
      </c>
      <c r="E293" s="29">
        <v>2225000</v>
      </c>
      <c r="F293" s="29">
        <v>-493767.13</v>
      </c>
      <c r="G293" s="29">
        <v>1731232.87</v>
      </c>
      <c r="H293" t="s">
        <v>1494</v>
      </c>
      <c r="I293" t="s">
        <v>681</v>
      </c>
    </row>
    <row r="294" spans="1:9" customFormat="1" ht="21">
      <c r="A294" s="28" t="s">
        <v>1625</v>
      </c>
      <c r="B294" s="28" t="s">
        <v>91</v>
      </c>
      <c r="C294" s="28" t="s">
        <v>686</v>
      </c>
      <c r="D294" s="28" t="s">
        <v>687</v>
      </c>
      <c r="E294" s="29">
        <v>349650</v>
      </c>
      <c r="F294" s="29">
        <v>-91004.800000000003</v>
      </c>
      <c r="G294" s="29">
        <v>258645.2</v>
      </c>
      <c r="H294" t="s">
        <v>1494</v>
      </c>
      <c r="I294" t="s">
        <v>681</v>
      </c>
    </row>
    <row r="295" spans="1:9" customFormat="1" ht="21">
      <c r="A295" s="28" t="s">
        <v>1626</v>
      </c>
      <c r="B295" s="28" t="s">
        <v>91</v>
      </c>
      <c r="C295" s="28" t="s">
        <v>1627</v>
      </c>
      <c r="D295" s="28" t="s">
        <v>1628</v>
      </c>
      <c r="E295" s="29">
        <v>2650000</v>
      </c>
      <c r="F295" s="29">
        <v>-580821.92000000004</v>
      </c>
      <c r="G295" s="29">
        <v>2069178.08</v>
      </c>
      <c r="H295" t="s">
        <v>1494</v>
      </c>
      <c r="I295" t="s">
        <v>681</v>
      </c>
    </row>
    <row r="296" spans="1:9" customFormat="1" ht="21">
      <c r="A296" s="28" t="s">
        <v>1629</v>
      </c>
      <c r="B296" s="28" t="s">
        <v>91</v>
      </c>
      <c r="C296" s="28" t="s">
        <v>1611</v>
      </c>
      <c r="D296" s="28" t="s">
        <v>1630</v>
      </c>
      <c r="E296" s="29">
        <v>495000</v>
      </c>
      <c r="F296" s="29">
        <v>-494999</v>
      </c>
      <c r="G296" s="29">
        <v>1</v>
      </c>
      <c r="H296" t="s">
        <v>1494</v>
      </c>
      <c r="I296" t="s">
        <v>681</v>
      </c>
    </row>
    <row r="297" spans="1:9" customFormat="1" ht="21">
      <c r="A297" s="28" t="s">
        <v>1631</v>
      </c>
      <c r="B297" s="28" t="s">
        <v>91</v>
      </c>
      <c r="C297" s="28" t="s">
        <v>1611</v>
      </c>
      <c r="D297" s="28" t="s">
        <v>1632</v>
      </c>
      <c r="E297" s="29">
        <v>2543333</v>
      </c>
      <c r="F297" s="29">
        <v>-2543332</v>
      </c>
      <c r="G297" s="29">
        <v>1</v>
      </c>
      <c r="H297" t="s">
        <v>1494</v>
      </c>
      <c r="I297" t="s">
        <v>681</v>
      </c>
    </row>
    <row r="298" spans="1:9" customFormat="1" ht="21">
      <c r="A298" s="28" t="s">
        <v>1633</v>
      </c>
      <c r="B298" s="28" t="s">
        <v>91</v>
      </c>
      <c r="C298" s="28" t="s">
        <v>1611</v>
      </c>
      <c r="D298" s="28" t="s">
        <v>1630</v>
      </c>
      <c r="E298" s="29">
        <v>153000</v>
      </c>
      <c r="F298" s="29">
        <v>-152999</v>
      </c>
      <c r="G298" s="29">
        <v>1</v>
      </c>
      <c r="H298" t="s">
        <v>1494</v>
      </c>
      <c r="I298" t="s">
        <v>681</v>
      </c>
    </row>
    <row r="299" spans="1:9" customFormat="1" ht="21">
      <c r="A299" s="28" t="s">
        <v>1634</v>
      </c>
      <c r="B299" s="28" t="s">
        <v>91</v>
      </c>
      <c r="C299" s="28" t="s">
        <v>1611</v>
      </c>
      <c r="D299" s="28" t="s">
        <v>1316</v>
      </c>
      <c r="E299" s="29">
        <v>730000</v>
      </c>
      <c r="F299" s="29">
        <v>-729999</v>
      </c>
      <c r="G299" s="29">
        <v>1</v>
      </c>
      <c r="H299" t="s">
        <v>1494</v>
      </c>
      <c r="I299" t="s">
        <v>681</v>
      </c>
    </row>
    <row r="300" spans="1:9" customFormat="1" ht="21">
      <c r="A300" s="28" t="s">
        <v>1635</v>
      </c>
      <c r="B300" s="28" t="s">
        <v>91</v>
      </c>
      <c r="C300" s="28" t="s">
        <v>1611</v>
      </c>
      <c r="D300" s="28" t="s">
        <v>796</v>
      </c>
      <c r="E300" s="29">
        <v>750000</v>
      </c>
      <c r="F300" s="29">
        <v>-749999</v>
      </c>
      <c r="G300" s="29">
        <v>1</v>
      </c>
      <c r="H300" t="s">
        <v>1494</v>
      </c>
      <c r="I300" t="s">
        <v>681</v>
      </c>
    </row>
    <row r="301" spans="1:9" customFormat="1" ht="21">
      <c r="A301" s="28" t="s">
        <v>1636</v>
      </c>
      <c r="B301" s="28" t="s">
        <v>91</v>
      </c>
      <c r="C301" s="28" t="s">
        <v>1611</v>
      </c>
      <c r="D301" s="28" t="s">
        <v>793</v>
      </c>
      <c r="E301" s="29">
        <v>1027500</v>
      </c>
      <c r="F301" s="29">
        <v>-1027499</v>
      </c>
      <c r="G301" s="29">
        <v>1</v>
      </c>
      <c r="H301" t="s">
        <v>1494</v>
      </c>
      <c r="I301" t="s">
        <v>681</v>
      </c>
    </row>
    <row r="302" spans="1:9" customFormat="1" ht="21">
      <c r="A302" s="28" t="s">
        <v>1637</v>
      </c>
      <c r="B302" s="28" t="s">
        <v>91</v>
      </c>
      <c r="C302" s="28" t="s">
        <v>1611</v>
      </c>
      <c r="D302" s="28" t="s">
        <v>687</v>
      </c>
      <c r="E302" s="29">
        <v>884000</v>
      </c>
      <c r="F302" s="29">
        <v>-883999</v>
      </c>
      <c r="G302" s="29">
        <v>1</v>
      </c>
      <c r="H302" t="s">
        <v>1494</v>
      </c>
      <c r="I302" t="s">
        <v>681</v>
      </c>
    </row>
    <row r="303" spans="1:9" customFormat="1" ht="21">
      <c r="A303" s="28" t="s">
        <v>1638</v>
      </c>
      <c r="B303" s="28" t="s">
        <v>91</v>
      </c>
      <c r="C303" s="28" t="s">
        <v>1611</v>
      </c>
      <c r="D303" s="28" t="s">
        <v>687</v>
      </c>
      <c r="E303" s="29">
        <v>1708000</v>
      </c>
      <c r="F303" s="29">
        <v>-1707999</v>
      </c>
      <c r="G303" s="29">
        <v>1</v>
      </c>
      <c r="H303" t="s">
        <v>1494</v>
      </c>
      <c r="I303" t="s">
        <v>681</v>
      </c>
    </row>
    <row r="304" spans="1:9" customFormat="1" ht="21">
      <c r="A304" s="28" t="s">
        <v>1639</v>
      </c>
      <c r="B304" s="28" t="s">
        <v>91</v>
      </c>
      <c r="C304" s="28" t="s">
        <v>1611</v>
      </c>
      <c r="D304" s="28" t="s">
        <v>928</v>
      </c>
      <c r="E304" s="29">
        <v>1211000</v>
      </c>
      <c r="F304" s="29">
        <v>-1210999</v>
      </c>
      <c r="G304" s="29">
        <v>1</v>
      </c>
      <c r="H304" t="s">
        <v>1494</v>
      </c>
      <c r="I304" t="s">
        <v>681</v>
      </c>
    </row>
    <row r="305" spans="1:9" customFormat="1" ht="21">
      <c r="A305" s="28" t="s">
        <v>1640</v>
      </c>
      <c r="B305" s="28" t="s">
        <v>91</v>
      </c>
      <c r="C305" s="28" t="s">
        <v>1611</v>
      </c>
      <c r="D305" s="28" t="s">
        <v>1641</v>
      </c>
      <c r="E305" s="29">
        <v>156500</v>
      </c>
      <c r="F305" s="29">
        <v>-156499</v>
      </c>
      <c r="G305" s="29">
        <v>1</v>
      </c>
      <c r="H305" t="s">
        <v>1494</v>
      </c>
      <c r="I305" t="s">
        <v>681</v>
      </c>
    </row>
    <row r="306" spans="1:9" customFormat="1" ht="21">
      <c r="A306" s="28" t="s">
        <v>1642</v>
      </c>
      <c r="B306" s="28" t="s">
        <v>91</v>
      </c>
      <c r="C306" s="28" t="s">
        <v>1611</v>
      </c>
      <c r="D306" s="28" t="s">
        <v>1643</v>
      </c>
      <c r="E306" s="29">
        <v>1415000</v>
      </c>
      <c r="F306" s="29">
        <v>-1414999</v>
      </c>
      <c r="G306" s="29">
        <v>1</v>
      </c>
      <c r="H306" t="s">
        <v>1494</v>
      </c>
      <c r="I306" t="s">
        <v>681</v>
      </c>
    </row>
    <row r="307" spans="1:9" customFormat="1" ht="21">
      <c r="A307" s="28" t="s">
        <v>1644</v>
      </c>
      <c r="B307" s="28" t="s">
        <v>91</v>
      </c>
      <c r="C307" s="28" t="s">
        <v>1611</v>
      </c>
      <c r="D307" s="28" t="s">
        <v>816</v>
      </c>
      <c r="E307" s="29">
        <v>709400</v>
      </c>
      <c r="F307" s="29">
        <v>-699660.89</v>
      </c>
      <c r="G307" s="29">
        <v>9739.11</v>
      </c>
      <c r="H307" t="s">
        <v>1494</v>
      </c>
      <c r="I307" t="s">
        <v>681</v>
      </c>
    </row>
    <row r="308" spans="1:9" customFormat="1" ht="21">
      <c r="A308" s="28" t="s">
        <v>1645</v>
      </c>
      <c r="B308" s="28" t="s">
        <v>91</v>
      </c>
      <c r="C308" s="28" t="s">
        <v>1611</v>
      </c>
      <c r="D308" s="28" t="s">
        <v>816</v>
      </c>
      <c r="E308" s="29">
        <v>709400</v>
      </c>
      <c r="F308" s="29">
        <v>-699660.89</v>
      </c>
      <c r="G308" s="29">
        <v>9739.11</v>
      </c>
      <c r="H308" t="s">
        <v>1494</v>
      </c>
      <c r="I308" t="s">
        <v>681</v>
      </c>
    </row>
    <row r="309" spans="1:9" customFormat="1" ht="21">
      <c r="A309" s="28" t="s">
        <v>1646</v>
      </c>
      <c r="B309" s="28" t="s">
        <v>91</v>
      </c>
      <c r="C309" s="28" t="s">
        <v>1611</v>
      </c>
      <c r="D309" s="28" t="s">
        <v>819</v>
      </c>
      <c r="E309" s="29">
        <v>1999800</v>
      </c>
      <c r="F309" s="29">
        <v>-1970577.18</v>
      </c>
      <c r="G309" s="29">
        <v>29222.82</v>
      </c>
      <c r="H309" t="s">
        <v>1494</v>
      </c>
      <c r="I309" t="s">
        <v>681</v>
      </c>
    </row>
    <row r="310" spans="1:9" customFormat="1" ht="21">
      <c r="A310" s="28" t="s">
        <v>1647</v>
      </c>
      <c r="B310" s="28" t="s">
        <v>91</v>
      </c>
      <c r="C310" s="28" t="s">
        <v>1611</v>
      </c>
      <c r="D310" s="28" t="s">
        <v>819</v>
      </c>
      <c r="E310" s="29">
        <v>1999800</v>
      </c>
      <c r="F310" s="29">
        <v>-1970577.18</v>
      </c>
      <c r="G310" s="29">
        <v>29222.82</v>
      </c>
      <c r="H310" t="s">
        <v>1494</v>
      </c>
      <c r="I310" t="s">
        <v>681</v>
      </c>
    </row>
    <row r="311" spans="1:9" customFormat="1" ht="21">
      <c r="A311" s="28" t="s">
        <v>1648</v>
      </c>
      <c r="B311" s="28" t="s">
        <v>91</v>
      </c>
      <c r="C311" s="28" t="s">
        <v>1611</v>
      </c>
      <c r="D311" s="28" t="s">
        <v>852</v>
      </c>
      <c r="E311" s="29">
        <v>330000</v>
      </c>
      <c r="F311" s="29">
        <v>-315387.43</v>
      </c>
      <c r="G311" s="29">
        <v>14612.57</v>
      </c>
      <c r="H311" t="s">
        <v>1494</v>
      </c>
      <c r="I311" t="s">
        <v>681</v>
      </c>
    </row>
    <row r="312" spans="1:9" customFormat="1" ht="21">
      <c r="A312" s="28" t="s">
        <v>1649</v>
      </c>
      <c r="B312" s="28" t="s">
        <v>91</v>
      </c>
      <c r="C312" s="28" t="s">
        <v>1611</v>
      </c>
      <c r="D312" s="28" t="s">
        <v>928</v>
      </c>
      <c r="E312" s="29">
        <v>1019000</v>
      </c>
      <c r="F312" s="29">
        <v>-944014.22</v>
      </c>
      <c r="G312" s="29">
        <v>74985.78</v>
      </c>
      <c r="H312" t="s">
        <v>1494</v>
      </c>
      <c r="I312" t="s">
        <v>681</v>
      </c>
    </row>
    <row r="313" spans="1:9" customFormat="1" ht="21">
      <c r="A313" s="28" t="s">
        <v>1650</v>
      </c>
      <c r="B313" s="28" t="s">
        <v>91</v>
      </c>
      <c r="C313" s="28" t="s">
        <v>1611</v>
      </c>
      <c r="D313" s="28" t="s">
        <v>798</v>
      </c>
      <c r="E313" s="29">
        <v>56235</v>
      </c>
      <c r="F313" s="29">
        <v>-52067.76</v>
      </c>
      <c r="G313" s="29">
        <v>4167.24</v>
      </c>
      <c r="H313" t="s">
        <v>1494</v>
      </c>
      <c r="I313" t="s">
        <v>681</v>
      </c>
    </row>
    <row r="314" spans="1:9" customFormat="1" ht="21">
      <c r="A314" s="28" t="s">
        <v>1651</v>
      </c>
      <c r="B314" s="28" t="s">
        <v>91</v>
      </c>
      <c r="C314" s="28" t="s">
        <v>1611</v>
      </c>
      <c r="D314" s="28" t="s">
        <v>798</v>
      </c>
      <c r="E314" s="29">
        <v>56235</v>
      </c>
      <c r="F314" s="29">
        <v>-52067.76</v>
      </c>
      <c r="G314" s="29">
        <v>4167.24</v>
      </c>
      <c r="H314" t="s">
        <v>1494</v>
      </c>
      <c r="I314" t="s">
        <v>681</v>
      </c>
    </row>
    <row r="315" spans="1:9" customFormat="1" ht="21">
      <c r="A315" s="28" t="s">
        <v>1652</v>
      </c>
      <c r="B315" s="28" t="s">
        <v>91</v>
      </c>
      <c r="C315" s="28" t="s">
        <v>1611</v>
      </c>
      <c r="D315" s="28" t="s">
        <v>798</v>
      </c>
      <c r="E315" s="29">
        <v>56235</v>
      </c>
      <c r="F315" s="29">
        <v>-52067.76</v>
      </c>
      <c r="G315" s="29">
        <v>4167.24</v>
      </c>
      <c r="H315" t="s">
        <v>1494</v>
      </c>
      <c r="I315" t="s">
        <v>681</v>
      </c>
    </row>
    <row r="316" spans="1:9" customFormat="1" ht="21">
      <c r="A316" s="28" t="s">
        <v>1653</v>
      </c>
      <c r="B316" s="28" t="s">
        <v>91</v>
      </c>
      <c r="C316" s="28" t="s">
        <v>1611</v>
      </c>
      <c r="D316" s="28" t="s">
        <v>798</v>
      </c>
      <c r="E316" s="29">
        <v>56235</v>
      </c>
      <c r="F316" s="29">
        <v>-52067.76</v>
      </c>
      <c r="G316" s="29">
        <v>4167.24</v>
      </c>
      <c r="H316" t="s">
        <v>1494</v>
      </c>
      <c r="I316" t="s">
        <v>681</v>
      </c>
    </row>
    <row r="317" spans="1:9" customFormat="1" ht="21">
      <c r="A317" s="28" t="s">
        <v>1654</v>
      </c>
      <c r="B317" s="28" t="s">
        <v>91</v>
      </c>
      <c r="C317" s="28" t="s">
        <v>1611</v>
      </c>
      <c r="D317" s="28" t="s">
        <v>855</v>
      </c>
      <c r="E317" s="29">
        <v>989700</v>
      </c>
      <c r="F317" s="29">
        <v>-780749.59</v>
      </c>
      <c r="G317" s="29">
        <v>208950.41</v>
      </c>
      <c r="H317" t="s">
        <v>1494</v>
      </c>
      <c r="I317" t="s">
        <v>681</v>
      </c>
    </row>
    <row r="318" spans="1:9" customFormat="1" ht="21">
      <c r="A318" s="28" t="s">
        <v>1655</v>
      </c>
      <c r="B318" s="28" t="s">
        <v>91</v>
      </c>
      <c r="C318" s="28" t="s">
        <v>1611</v>
      </c>
      <c r="D318" s="28" t="s">
        <v>697</v>
      </c>
      <c r="E318" s="29">
        <v>148500</v>
      </c>
      <c r="F318" s="29">
        <v>-115776.2</v>
      </c>
      <c r="G318" s="29">
        <v>32723.8</v>
      </c>
      <c r="H318" t="s">
        <v>1494</v>
      </c>
      <c r="I318" t="s">
        <v>681</v>
      </c>
    </row>
    <row r="319" spans="1:9" customFormat="1" ht="21">
      <c r="A319" s="28" t="s">
        <v>1656</v>
      </c>
      <c r="B319" s="28" t="s">
        <v>91</v>
      </c>
      <c r="C319" s="28" t="s">
        <v>1611</v>
      </c>
      <c r="D319" s="28" t="s">
        <v>697</v>
      </c>
      <c r="E319" s="29">
        <v>148500</v>
      </c>
      <c r="F319" s="29">
        <v>-115776.2</v>
      </c>
      <c r="G319" s="29">
        <v>32723.8</v>
      </c>
      <c r="H319" t="s">
        <v>1494</v>
      </c>
      <c r="I319" t="s">
        <v>681</v>
      </c>
    </row>
    <row r="320" spans="1:9" customFormat="1" ht="21">
      <c r="A320" s="28" t="s">
        <v>1657</v>
      </c>
      <c r="B320" s="28" t="s">
        <v>91</v>
      </c>
      <c r="C320" s="28" t="s">
        <v>1611</v>
      </c>
      <c r="D320" s="28" t="s">
        <v>816</v>
      </c>
      <c r="E320" s="29">
        <v>449000</v>
      </c>
      <c r="F320" s="29">
        <v>-348678.28</v>
      </c>
      <c r="G320" s="29">
        <v>100321.72</v>
      </c>
      <c r="H320" t="s">
        <v>1494</v>
      </c>
      <c r="I320" t="s">
        <v>681</v>
      </c>
    </row>
    <row r="321" spans="1:9" customFormat="1" ht="21">
      <c r="A321" s="28" t="s">
        <v>1658</v>
      </c>
      <c r="B321" s="28" t="s">
        <v>91</v>
      </c>
      <c r="C321" s="28" t="s">
        <v>1611</v>
      </c>
      <c r="D321" s="28" t="s">
        <v>816</v>
      </c>
      <c r="E321" s="29">
        <v>449000</v>
      </c>
      <c r="F321" s="29">
        <v>-348678.28</v>
      </c>
      <c r="G321" s="29">
        <v>100321.72</v>
      </c>
      <c r="H321" t="s">
        <v>1494</v>
      </c>
      <c r="I321" t="s">
        <v>681</v>
      </c>
    </row>
    <row r="322" spans="1:9" customFormat="1" ht="21">
      <c r="A322" s="28" t="s">
        <v>1659</v>
      </c>
      <c r="B322" s="28" t="s">
        <v>91</v>
      </c>
      <c r="C322" s="28" t="s">
        <v>1611</v>
      </c>
      <c r="D322" s="28" t="s">
        <v>816</v>
      </c>
      <c r="E322" s="29">
        <v>449000</v>
      </c>
      <c r="F322" s="29">
        <v>-348678.28</v>
      </c>
      <c r="G322" s="29">
        <v>100321.72</v>
      </c>
      <c r="H322" t="s">
        <v>1494</v>
      </c>
      <c r="I322" t="s">
        <v>681</v>
      </c>
    </row>
    <row r="323" spans="1:9" customFormat="1" ht="21">
      <c r="A323" s="28" t="s">
        <v>1660</v>
      </c>
      <c r="B323" s="28" t="s">
        <v>91</v>
      </c>
      <c r="C323" s="28" t="s">
        <v>1611</v>
      </c>
      <c r="D323" s="28" t="s">
        <v>816</v>
      </c>
      <c r="E323" s="29">
        <v>798000</v>
      </c>
      <c r="F323" s="29">
        <v>-606610.49</v>
      </c>
      <c r="G323" s="29">
        <v>191389.51</v>
      </c>
      <c r="H323" t="s">
        <v>1494</v>
      </c>
      <c r="I323" t="s">
        <v>681</v>
      </c>
    </row>
    <row r="324" spans="1:9" customFormat="1" ht="21">
      <c r="A324" s="28" t="s">
        <v>1661</v>
      </c>
      <c r="B324" s="28" t="s">
        <v>91</v>
      </c>
      <c r="C324" s="28" t="s">
        <v>1611</v>
      </c>
      <c r="D324" s="28" t="s">
        <v>816</v>
      </c>
      <c r="E324" s="29">
        <v>798000</v>
      </c>
      <c r="F324" s="29">
        <v>-606610.49</v>
      </c>
      <c r="G324" s="29">
        <v>191389.51</v>
      </c>
      <c r="H324" t="s">
        <v>1494</v>
      </c>
      <c r="I324" t="s">
        <v>681</v>
      </c>
    </row>
    <row r="325" spans="1:9" customFormat="1" ht="21">
      <c r="A325" s="28" t="s">
        <v>1662</v>
      </c>
      <c r="B325" s="28" t="s">
        <v>91</v>
      </c>
      <c r="C325" s="28" t="s">
        <v>1611</v>
      </c>
      <c r="D325" s="28" t="s">
        <v>816</v>
      </c>
      <c r="E325" s="29">
        <v>798000</v>
      </c>
      <c r="F325" s="29">
        <v>-606610.49</v>
      </c>
      <c r="G325" s="29">
        <v>191389.51</v>
      </c>
      <c r="H325" t="s">
        <v>1494</v>
      </c>
      <c r="I325" t="s">
        <v>681</v>
      </c>
    </row>
    <row r="326" spans="1:9" customFormat="1" ht="21">
      <c r="A326" s="28" t="s">
        <v>1663</v>
      </c>
      <c r="B326" s="28" t="s">
        <v>91</v>
      </c>
      <c r="C326" s="28" t="s">
        <v>1611</v>
      </c>
      <c r="D326" s="28" t="s">
        <v>788</v>
      </c>
      <c r="E326" s="29">
        <v>1600000</v>
      </c>
      <c r="F326" s="29">
        <v>-1001174.12</v>
      </c>
      <c r="G326" s="29">
        <v>598825.88</v>
      </c>
      <c r="H326" t="s">
        <v>1494</v>
      </c>
      <c r="I326" t="s">
        <v>681</v>
      </c>
    </row>
    <row r="327" spans="1:9" customFormat="1" ht="21">
      <c r="A327" s="28" t="s">
        <v>1664</v>
      </c>
      <c r="B327" s="28" t="s">
        <v>91</v>
      </c>
      <c r="C327" s="28" t="s">
        <v>1611</v>
      </c>
      <c r="D327" s="28" t="s">
        <v>1665</v>
      </c>
      <c r="E327" s="29">
        <v>1325000</v>
      </c>
      <c r="F327" s="29">
        <v>-823690.73</v>
      </c>
      <c r="G327" s="29">
        <v>501309.27</v>
      </c>
      <c r="H327" t="s">
        <v>1494</v>
      </c>
      <c r="I327" t="s">
        <v>681</v>
      </c>
    </row>
    <row r="328" spans="1:9" customFormat="1" ht="21">
      <c r="A328" s="28" t="s">
        <v>1666</v>
      </c>
      <c r="B328" s="28" t="s">
        <v>91</v>
      </c>
      <c r="C328" s="28" t="s">
        <v>1611</v>
      </c>
      <c r="D328" s="28" t="s">
        <v>1124</v>
      </c>
      <c r="E328" s="29">
        <v>4350000</v>
      </c>
      <c r="F328" s="29">
        <v>-2482080.08</v>
      </c>
      <c r="G328" s="29">
        <v>1867919.92</v>
      </c>
      <c r="H328" t="s">
        <v>1494</v>
      </c>
      <c r="I328" t="s">
        <v>681</v>
      </c>
    </row>
    <row r="329" spans="1:9" customFormat="1" ht="21">
      <c r="A329" s="28" t="s">
        <v>1667</v>
      </c>
      <c r="B329" s="28" t="s">
        <v>91</v>
      </c>
      <c r="C329" s="28" t="s">
        <v>1611</v>
      </c>
      <c r="D329" s="28" t="s">
        <v>1124</v>
      </c>
      <c r="E329" s="29">
        <v>4350000</v>
      </c>
      <c r="F329" s="29">
        <v>-2482080.08</v>
      </c>
      <c r="G329" s="29">
        <v>1867919.92</v>
      </c>
      <c r="H329" t="s">
        <v>1494</v>
      </c>
      <c r="I329" t="s">
        <v>681</v>
      </c>
    </row>
    <row r="330" spans="1:9" customFormat="1" ht="21">
      <c r="A330" s="28" t="s">
        <v>1668</v>
      </c>
      <c r="B330" s="28" t="s">
        <v>91</v>
      </c>
      <c r="C330" s="28" t="s">
        <v>1611</v>
      </c>
      <c r="D330" s="28" t="s">
        <v>1669</v>
      </c>
      <c r="E330" s="29">
        <v>2650000</v>
      </c>
      <c r="F330" s="29">
        <v>-1512071.77</v>
      </c>
      <c r="G330" s="29">
        <v>1137928.23</v>
      </c>
      <c r="H330" t="s">
        <v>1494</v>
      </c>
      <c r="I330" t="s">
        <v>681</v>
      </c>
    </row>
    <row r="331" spans="1:9" customFormat="1" ht="21">
      <c r="A331" s="28" t="s">
        <v>1670</v>
      </c>
      <c r="B331" s="28" t="s">
        <v>91</v>
      </c>
      <c r="C331" s="28" t="s">
        <v>1611</v>
      </c>
      <c r="D331" s="28" t="s">
        <v>816</v>
      </c>
      <c r="E331" s="29">
        <v>1598000</v>
      </c>
      <c r="F331" s="29">
        <v>-647917.31000000006</v>
      </c>
      <c r="G331" s="29">
        <v>950082.69</v>
      </c>
      <c r="H331" t="s">
        <v>1494</v>
      </c>
      <c r="I331" t="s">
        <v>681</v>
      </c>
    </row>
    <row r="332" spans="1:9" customFormat="1" ht="21">
      <c r="A332" s="28" t="s">
        <v>1671</v>
      </c>
      <c r="B332" s="28" t="s">
        <v>91</v>
      </c>
      <c r="C332" s="28" t="s">
        <v>1611</v>
      </c>
      <c r="D332" s="28" t="s">
        <v>1672</v>
      </c>
      <c r="E332" s="29">
        <v>998000</v>
      </c>
      <c r="F332" s="29">
        <v>-403808.27</v>
      </c>
      <c r="G332" s="29">
        <v>594191.73</v>
      </c>
      <c r="H332" t="s">
        <v>1494</v>
      </c>
      <c r="I332" t="s">
        <v>681</v>
      </c>
    </row>
    <row r="333" spans="1:9" customFormat="1" ht="21">
      <c r="A333" s="28" t="s">
        <v>1673</v>
      </c>
      <c r="B333" s="28" t="s">
        <v>91</v>
      </c>
      <c r="C333" s="28" t="s">
        <v>1611</v>
      </c>
      <c r="D333" s="28" t="s">
        <v>819</v>
      </c>
      <c r="E333" s="29">
        <v>2824000</v>
      </c>
      <c r="F333" s="29">
        <v>-1069842.28</v>
      </c>
      <c r="G333" s="29">
        <v>1754157.72</v>
      </c>
      <c r="H333" t="s">
        <v>1494</v>
      </c>
      <c r="I333" t="s">
        <v>681</v>
      </c>
    </row>
    <row r="334" spans="1:9" customFormat="1" ht="21">
      <c r="A334" s="28" t="s">
        <v>1674</v>
      </c>
      <c r="B334" s="28" t="s">
        <v>91</v>
      </c>
      <c r="C334" s="28" t="s">
        <v>1611</v>
      </c>
      <c r="D334" s="28" t="s">
        <v>1675</v>
      </c>
      <c r="E334" s="29">
        <v>938000</v>
      </c>
      <c r="F334" s="29">
        <v>-336209.24</v>
      </c>
      <c r="G334" s="29">
        <v>601790.76</v>
      </c>
      <c r="H334" t="s">
        <v>1494</v>
      </c>
      <c r="I334" t="s">
        <v>681</v>
      </c>
    </row>
    <row r="335" spans="1:9" customFormat="1" ht="21">
      <c r="A335" s="28" t="s">
        <v>1676</v>
      </c>
      <c r="B335" s="28" t="s">
        <v>91</v>
      </c>
      <c r="C335" s="28" t="s">
        <v>1611</v>
      </c>
      <c r="D335" s="28" t="s">
        <v>1677</v>
      </c>
      <c r="E335" s="29">
        <v>639500</v>
      </c>
      <c r="F335" s="29">
        <v>-216706.53</v>
      </c>
      <c r="G335" s="29">
        <v>422793.47</v>
      </c>
      <c r="H335" t="s">
        <v>1494</v>
      </c>
      <c r="I335" t="s">
        <v>681</v>
      </c>
    </row>
    <row r="336" spans="1:9" customFormat="1" ht="21">
      <c r="A336" s="28" t="s">
        <v>1678</v>
      </c>
      <c r="B336" s="28" t="s">
        <v>91</v>
      </c>
      <c r="C336" s="28" t="s">
        <v>1611</v>
      </c>
      <c r="D336" s="28" t="s">
        <v>1675</v>
      </c>
      <c r="E336" s="29">
        <v>500000</v>
      </c>
      <c r="F336" s="29">
        <v>-310826.68</v>
      </c>
      <c r="G336" s="29">
        <v>189173.32</v>
      </c>
      <c r="H336" t="s">
        <v>1494</v>
      </c>
      <c r="I336" t="s">
        <v>681</v>
      </c>
    </row>
    <row r="337" spans="1:9" customFormat="1" ht="21">
      <c r="A337" s="28" t="s">
        <v>1679</v>
      </c>
      <c r="B337" s="28" t="s">
        <v>91</v>
      </c>
      <c r="C337" s="28" t="s">
        <v>1611</v>
      </c>
      <c r="D337" s="28" t="s">
        <v>1364</v>
      </c>
      <c r="E337" s="29">
        <v>1200000</v>
      </c>
      <c r="F337" s="29">
        <v>-581037.9</v>
      </c>
      <c r="G337" s="29">
        <v>618962.1</v>
      </c>
      <c r="H337" t="s">
        <v>1494</v>
      </c>
      <c r="I337" t="s">
        <v>681</v>
      </c>
    </row>
    <row r="338" spans="1:9" customFormat="1" ht="21">
      <c r="A338" s="28" t="s">
        <v>1680</v>
      </c>
      <c r="B338" s="28" t="s">
        <v>91</v>
      </c>
      <c r="C338" s="28" t="s">
        <v>927</v>
      </c>
      <c r="D338" s="28" t="s">
        <v>687</v>
      </c>
      <c r="E338" s="29">
        <v>594800</v>
      </c>
      <c r="F338" s="29">
        <v>-594799</v>
      </c>
      <c r="G338" s="29">
        <v>1</v>
      </c>
      <c r="H338" t="s">
        <v>1494</v>
      </c>
      <c r="I338" t="s">
        <v>681</v>
      </c>
    </row>
    <row r="339" spans="1:9" customFormat="1" ht="21">
      <c r="A339" s="28" t="s">
        <v>1681</v>
      </c>
      <c r="B339" s="28" t="s">
        <v>91</v>
      </c>
      <c r="C339" s="28" t="s">
        <v>927</v>
      </c>
      <c r="D339" s="28" t="s">
        <v>1312</v>
      </c>
      <c r="E339" s="29">
        <v>188888</v>
      </c>
      <c r="F339" s="29">
        <v>-180294.9</v>
      </c>
      <c r="G339" s="29">
        <v>8593.1</v>
      </c>
      <c r="H339" t="s">
        <v>1494</v>
      </c>
      <c r="I339" t="s">
        <v>681</v>
      </c>
    </row>
    <row r="340" spans="1:9" customFormat="1" ht="21">
      <c r="A340" s="28" t="s">
        <v>1682</v>
      </c>
      <c r="B340" s="28" t="s">
        <v>91</v>
      </c>
      <c r="C340" s="28" t="s">
        <v>927</v>
      </c>
      <c r="D340" s="28" t="s">
        <v>793</v>
      </c>
      <c r="E340" s="29">
        <v>1027500</v>
      </c>
      <c r="F340" s="29">
        <v>-1027499</v>
      </c>
      <c r="G340" s="29">
        <v>1</v>
      </c>
      <c r="H340" t="s">
        <v>1494</v>
      </c>
      <c r="I340" t="s">
        <v>681</v>
      </c>
    </row>
    <row r="341" spans="1:9" customFormat="1" ht="21">
      <c r="A341" s="28" t="s">
        <v>1683</v>
      </c>
      <c r="B341" s="28" t="s">
        <v>91</v>
      </c>
      <c r="C341" s="28" t="s">
        <v>927</v>
      </c>
      <c r="D341" s="28" t="s">
        <v>1114</v>
      </c>
      <c r="E341" s="29">
        <v>90950</v>
      </c>
      <c r="F341" s="29">
        <v>-83836.679999999993</v>
      </c>
      <c r="G341" s="29">
        <v>7113.32</v>
      </c>
      <c r="H341" t="s">
        <v>1494</v>
      </c>
      <c r="I341" t="s">
        <v>681</v>
      </c>
    </row>
    <row r="342" spans="1:9" customFormat="1" ht="21">
      <c r="A342" s="28" t="s">
        <v>1684</v>
      </c>
      <c r="B342" s="28" t="s">
        <v>91</v>
      </c>
      <c r="C342" s="28" t="s">
        <v>927</v>
      </c>
      <c r="D342" s="28" t="s">
        <v>1114</v>
      </c>
      <c r="E342" s="29">
        <v>45475</v>
      </c>
      <c r="F342" s="29">
        <v>-41918.339999999997</v>
      </c>
      <c r="G342" s="29">
        <v>3556.66</v>
      </c>
      <c r="H342" t="s">
        <v>1494</v>
      </c>
      <c r="I342" t="s">
        <v>681</v>
      </c>
    </row>
    <row r="343" spans="1:9" customFormat="1" ht="21">
      <c r="A343" s="28" t="s">
        <v>1685</v>
      </c>
      <c r="B343" s="28" t="s">
        <v>91</v>
      </c>
      <c r="C343" s="28" t="s">
        <v>927</v>
      </c>
      <c r="D343" s="28" t="s">
        <v>1114</v>
      </c>
      <c r="E343" s="29">
        <v>45475</v>
      </c>
      <c r="F343" s="29">
        <v>-41918.339999999997</v>
      </c>
      <c r="G343" s="29">
        <v>3556.66</v>
      </c>
      <c r="H343" t="s">
        <v>1494</v>
      </c>
      <c r="I343" t="s">
        <v>681</v>
      </c>
    </row>
    <row r="344" spans="1:9" customFormat="1" ht="21">
      <c r="A344" s="28" t="s">
        <v>1686</v>
      </c>
      <c r="B344" s="28" t="s">
        <v>91</v>
      </c>
      <c r="C344" s="28" t="s">
        <v>1687</v>
      </c>
      <c r="D344" s="28" t="s">
        <v>1312</v>
      </c>
      <c r="E344" s="29">
        <v>188888</v>
      </c>
      <c r="F344" s="29">
        <v>-179652.19</v>
      </c>
      <c r="G344" s="29">
        <v>9235.81</v>
      </c>
      <c r="H344" t="s">
        <v>1494</v>
      </c>
      <c r="I344" t="s">
        <v>681</v>
      </c>
    </row>
  </sheetData>
  <mergeCells count="105">
    <mergeCell ref="A3:A4"/>
    <mergeCell ref="B3:B4"/>
    <mergeCell ref="C3:N3"/>
    <mergeCell ref="P3:P4"/>
    <mergeCell ref="Q3:Q4"/>
    <mergeCell ref="R3:AC3"/>
    <mergeCell ref="A1:N1"/>
    <mergeCell ref="P1:AC1"/>
    <mergeCell ref="AE1:BD1"/>
    <mergeCell ref="A2:N2"/>
    <mergeCell ref="P2:AC2"/>
    <mergeCell ref="AE2:BD2"/>
    <mergeCell ref="C14:N14"/>
    <mergeCell ref="P14:P15"/>
    <mergeCell ref="Q14:Q15"/>
    <mergeCell ref="R14:AC14"/>
    <mergeCell ref="BA3:BB3"/>
    <mergeCell ref="BC3:BD3"/>
    <mergeCell ref="A12:N12"/>
    <mergeCell ref="P12:AC12"/>
    <mergeCell ref="AE12:BD12"/>
    <mergeCell ref="A13:N13"/>
    <mergeCell ref="P13:AC13"/>
    <mergeCell ref="AE13:BD13"/>
    <mergeCell ref="AO3:AP3"/>
    <mergeCell ref="AQ3:AR3"/>
    <mergeCell ref="AS3:AT3"/>
    <mergeCell ref="AU3:AV3"/>
    <mergeCell ref="AW3:AX3"/>
    <mergeCell ref="AY3:AZ3"/>
    <mergeCell ref="AE3:AE4"/>
    <mergeCell ref="AF3:AF4"/>
    <mergeCell ref="AG3:AH3"/>
    <mergeCell ref="AI3:AJ3"/>
    <mergeCell ref="AK3:AL3"/>
    <mergeCell ref="AM3:AN3"/>
    <mergeCell ref="Q25:Q26"/>
    <mergeCell ref="R25:AC25"/>
    <mergeCell ref="BA14:BB14"/>
    <mergeCell ref="BC14:BD14"/>
    <mergeCell ref="A23:N23"/>
    <mergeCell ref="P23:AC23"/>
    <mergeCell ref="AE23:BD23"/>
    <mergeCell ref="A24:N24"/>
    <mergeCell ref="P24:AC24"/>
    <mergeCell ref="AE24:BD24"/>
    <mergeCell ref="AO14:AP14"/>
    <mergeCell ref="AQ14:AR14"/>
    <mergeCell ref="AS14:AT14"/>
    <mergeCell ref="AU14:AV14"/>
    <mergeCell ref="AW14:AX14"/>
    <mergeCell ref="AY14:AZ14"/>
    <mergeCell ref="AE14:AE15"/>
    <mergeCell ref="AF14:AF15"/>
    <mergeCell ref="AG14:AH14"/>
    <mergeCell ref="AI14:AJ14"/>
    <mergeCell ref="AK14:AL14"/>
    <mergeCell ref="AM14:AN14"/>
    <mergeCell ref="A14:A15"/>
    <mergeCell ref="B14:B15"/>
    <mergeCell ref="BA25:BB25"/>
    <mergeCell ref="BC25:BD25"/>
    <mergeCell ref="A43:N43"/>
    <mergeCell ref="P43:AC43"/>
    <mergeCell ref="AE43:BD43"/>
    <mergeCell ref="A44:N44"/>
    <mergeCell ref="P44:AC44"/>
    <mergeCell ref="AE44:BD44"/>
    <mergeCell ref="AO25:AP25"/>
    <mergeCell ref="AQ25:AR25"/>
    <mergeCell ref="AS25:AT25"/>
    <mergeCell ref="AU25:AV25"/>
    <mergeCell ref="AW25:AX25"/>
    <mergeCell ref="AY25:AZ25"/>
    <mergeCell ref="AE25:AE26"/>
    <mergeCell ref="AF25:AF26"/>
    <mergeCell ref="AG25:AH25"/>
    <mergeCell ref="AI25:AJ25"/>
    <mergeCell ref="AK25:AL25"/>
    <mergeCell ref="AM25:AN25"/>
    <mergeCell ref="A25:A26"/>
    <mergeCell ref="B25:B26"/>
    <mergeCell ref="C25:N25"/>
    <mergeCell ref="P25:P26"/>
    <mergeCell ref="BA45:BB45"/>
    <mergeCell ref="BC45:BD45"/>
    <mergeCell ref="A63:I63"/>
    <mergeCell ref="AO45:AP45"/>
    <mergeCell ref="AQ45:AR45"/>
    <mergeCell ref="AS45:AT45"/>
    <mergeCell ref="AU45:AV45"/>
    <mergeCell ref="AW45:AX45"/>
    <mergeCell ref="AY45:AZ45"/>
    <mergeCell ref="AE45:AE46"/>
    <mergeCell ref="AF45:AF46"/>
    <mergeCell ref="AG45:AH45"/>
    <mergeCell ref="AI45:AJ45"/>
    <mergeCell ref="AK45:AL45"/>
    <mergeCell ref="AM45:AN45"/>
    <mergeCell ref="A45:A46"/>
    <mergeCell ref="B45:B46"/>
    <mergeCell ref="C45:N45"/>
    <mergeCell ref="P45:P46"/>
    <mergeCell ref="Q45:Q46"/>
    <mergeCell ref="R45:AC4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0138-0CE4-4770-8193-17C601DBDF9F}">
  <dimension ref="A1:BD103"/>
  <sheetViews>
    <sheetView topLeftCell="A55" workbookViewId="0">
      <selection activeCell="E53" sqref="E53"/>
    </sheetView>
  </sheetViews>
  <sheetFormatPr defaultColWidth="18.75" defaultRowHeight="24.6"/>
  <cols>
    <col min="1" max="1" width="6.75" style="24" bestFit="1" customWidth="1"/>
    <col min="2" max="2" width="53" style="13" bestFit="1" customWidth="1"/>
    <col min="3" max="15" width="18.75" style="13"/>
    <col min="16" max="16" width="6.75" style="24" bestFit="1" customWidth="1"/>
    <col min="17" max="17" width="53" style="13" bestFit="1" customWidth="1"/>
    <col min="18" max="30" width="18.75" style="13"/>
    <col min="31" max="31" width="6.75" style="24" bestFit="1" customWidth="1"/>
    <col min="32" max="32" width="53" style="13" bestFit="1" customWidth="1"/>
    <col min="33" max="16384" width="18.75" style="13"/>
  </cols>
  <sheetData>
    <row r="1" spans="1:56">
      <c r="A1" s="37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2"/>
      <c r="P1" s="37" t="s">
        <v>49</v>
      </c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E1" s="37" t="s">
        <v>0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</row>
    <row r="2" spans="1:56">
      <c r="A2" s="37" t="s">
        <v>1949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2"/>
      <c r="P2" s="37" t="s">
        <v>1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E2" s="37" t="s">
        <v>1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</row>
    <row r="3" spans="1:56" s="15" customFormat="1">
      <c r="A3" s="35" t="s">
        <v>2</v>
      </c>
      <c r="B3" s="35" t="s">
        <v>3</v>
      </c>
      <c r="C3" s="38" t="s">
        <v>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  <c r="O3" s="14"/>
      <c r="P3" s="35" t="s">
        <v>2</v>
      </c>
      <c r="Q3" s="35" t="s">
        <v>3</v>
      </c>
      <c r="R3" s="38" t="s">
        <v>5</v>
      </c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E3" s="35" t="s">
        <v>2</v>
      </c>
      <c r="AF3" s="35" t="s">
        <v>3</v>
      </c>
      <c r="AG3" s="33">
        <v>25112</v>
      </c>
      <c r="AH3" s="34"/>
      <c r="AI3" s="33">
        <v>25143</v>
      </c>
      <c r="AJ3" s="34"/>
      <c r="AK3" s="33">
        <v>25173</v>
      </c>
      <c r="AL3" s="34"/>
      <c r="AM3" s="33">
        <v>25204</v>
      </c>
      <c r="AN3" s="34"/>
      <c r="AO3" s="33">
        <v>25235</v>
      </c>
      <c r="AP3" s="34"/>
      <c r="AQ3" s="33">
        <v>25263</v>
      </c>
      <c r="AR3" s="34"/>
      <c r="AS3" s="33">
        <v>25294</v>
      </c>
      <c r="AT3" s="34"/>
      <c r="AU3" s="33">
        <v>25324</v>
      </c>
      <c r="AV3" s="34"/>
      <c r="AW3" s="33">
        <v>25355</v>
      </c>
      <c r="AX3" s="34"/>
      <c r="AY3" s="33">
        <v>25385</v>
      </c>
      <c r="AZ3" s="34"/>
      <c r="BA3" s="33">
        <v>25416</v>
      </c>
      <c r="BB3" s="34"/>
      <c r="BC3" s="33">
        <v>25447</v>
      </c>
      <c r="BD3" s="34"/>
    </row>
    <row r="4" spans="1:56" s="15" customFormat="1">
      <c r="A4" s="36"/>
      <c r="B4" s="36"/>
      <c r="C4" s="16">
        <v>25112</v>
      </c>
      <c r="D4" s="16">
        <v>25143</v>
      </c>
      <c r="E4" s="16">
        <v>25173</v>
      </c>
      <c r="F4" s="16">
        <v>25204</v>
      </c>
      <c r="G4" s="16">
        <v>25235</v>
      </c>
      <c r="H4" s="16">
        <v>25263</v>
      </c>
      <c r="I4" s="16">
        <v>25294</v>
      </c>
      <c r="J4" s="16">
        <v>25324</v>
      </c>
      <c r="K4" s="16">
        <v>25355</v>
      </c>
      <c r="L4" s="16">
        <v>25385</v>
      </c>
      <c r="M4" s="16">
        <v>25416</v>
      </c>
      <c r="N4" s="16">
        <v>25447</v>
      </c>
      <c r="P4" s="36"/>
      <c r="Q4" s="36"/>
      <c r="R4" s="16">
        <v>25112</v>
      </c>
      <c r="S4" s="16">
        <v>25143</v>
      </c>
      <c r="T4" s="16">
        <v>25173</v>
      </c>
      <c r="U4" s="16">
        <v>25204</v>
      </c>
      <c r="V4" s="16">
        <v>25235</v>
      </c>
      <c r="W4" s="16">
        <v>25263</v>
      </c>
      <c r="X4" s="16">
        <v>25294</v>
      </c>
      <c r="Y4" s="16">
        <v>25324</v>
      </c>
      <c r="Z4" s="16">
        <v>25355</v>
      </c>
      <c r="AA4" s="16">
        <v>25385</v>
      </c>
      <c r="AB4" s="16">
        <v>25416</v>
      </c>
      <c r="AC4" s="16">
        <v>25447</v>
      </c>
      <c r="AE4" s="36"/>
      <c r="AF4" s="36"/>
      <c r="AG4" s="16" t="s">
        <v>85</v>
      </c>
      <c r="AH4" s="16" t="s">
        <v>86</v>
      </c>
      <c r="AI4" s="16" t="s">
        <v>85</v>
      </c>
      <c r="AJ4" s="16" t="s">
        <v>86</v>
      </c>
      <c r="AK4" s="16" t="s">
        <v>85</v>
      </c>
      <c r="AL4" s="16" t="s">
        <v>86</v>
      </c>
      <c r="AM4" s="16" t="s">
        <v>85</v>
      </c>
      <c r="AN4" s="16" t="s">
        <v>86</v>
      </c>
      <c r="AO4" s="16" t="s">
        <v>85</v>
      </c>
      <c r="AP4" s="16" t="s">
        <v>86</v>
      </c>
      <c r="AQ4" s="16" t="s">
        <v>85</v>
      </c>
      <c r="AR4" s="16" t="s">
        <v>86</v>
      </c>
      <c r="AS4" s="16" t="s">
        <v>85</v>
      </c>
      <c r="AT4" s="16" t="s">
        <v>86</v>
      </c>
      <c r="AU4" s="16" t="s">
        <v>85</v>
      </c>
      <c r="AV4" s="16" t="s">
        <v>86</v>
      </c>
      <c r="AW4" s="16" t="s">
        <v>85</v>
      </c>
      <c r="AX4" s="16" t="s">
        <v>86</v>
      </c>
      <c r="AY4" s="16" t="s">
        <v>85</v>
      </c>
      <c r="AZ4" s="16" t="s">
        <v>86</v>
      </c>
      <c r="BA4" s="16" t="s">
        <v>85</v>
      </c>
      <c r="BB4" s="16" t="s">
        <v>86</v>
      </c>
      <c r="BC4" s="16" t="s">
        <v>85</v>
      </c>
      <c r="BD4" s="16" t="s">
        <v>86</v>
      </c>
    </row>
    <row r="5" spans="1:56">
      <c r="A5" s="17">
        <v>1</v>
      </c>
      <c r="B5" s="18" t="s">
        <v>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P5" s="17">
        <v>1</v>
      </c>
      <c r="Q5" s="18" t="s">
        <v>8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E5" s="17">
        <v>1</v>
      </c>
      <c r="AF5" s="18" t="s">
        <v>8</v>
      </c>
      <c r="AG5" s="19">
        <f>+C5-R5</f>
        <v>0</v>
      </c>
      <c r="AH5" s="19" t="e">
        <f>+AG5/C5*100</f>
        <v>#DIV/0!</v>
      </c>
      <c r="AI5" s="19">
        <f>+D5-S5</f>
        <v>0</v>
      </c>
      <c r="AJ5" s="19" t="e">
        <f>+AI5/D5*100</f>
        <v>#DIV/0!</v>
      </c>
      <c r="AK5" s="19">
        <f>+E5-T5</f>
        <v>0</v>
      </c>
      <c r="AL5" s="19" t="e">
        <f>+AK5/E5*100</f>
        <v>#DIV/0!</v>
      </c>
      <c r="AM5" s="19">
        <f>+F5-U5</f>
        <v>0</v>
      </c>
      <c r="AN5" s="19" t="e">
        <f>+AM5/F5*100</f>
        <v>#DIV/0!</v>
      </c>
      <c r="AO5" s="19">
        <f>+G5-V5</f>
        <v>0</v>
      </c>
      <c r="AP5" s="19" t="e">
        <f>+AO5/G5*100</f>
        <v>#DIV/0!</v>
      </c>
      <c r="AQ5" s="19">
        <f>+H5-W5</f>
        <v>0</v>
      </c>
      <c r="AR5" s="19" t="e">
        <f>+AQ5/H5*100</f>
        <v>#DIV/0!</v>
      </c>
      <c r="AS5" s="19">
        <f>+I5-X5</f>
        <v>0</v>
      </c>
      <c r="AT5" s="19" t="e">
        <f>+AS5/I5*100</f>
        <v>#DIV/0!</v>
      </c>
      <c r="AU5" s="19">
        <f>+J5-Y5</f>
        <v>0</v>
      </c>
      <c r="AV5" s="19" t="e">
        <f>+AU5/J5*100</f>
        <v>#DIV/0!</v>
      </c>
      <c r="AW5" s="19">
        <f>+K5-Z5</f>
        <v>0</v>
      </c>
      <c r="AX5" s="19" t="e">
        <f>+AW5/K5*100</f>
        <v>#DIV/0!</v>
      </c>
      <c r="AY5" s="19">
        <f>+L5-AA5</f>
        <v>0</v>
      </c>
      <c r="AZ5" s="19" t="e">
        <f>+AY5/L5*100</f>
        <v>#DIV/0!</v>
      </c>
      <c r="BA5" s="19">
        <f>+M5-AB5</f>
        <v>0</v>
      </c>
      <c r="BB5" s="19" t="e">
        <f>+BA5/M5*100</f>
        <v>#DIV/0!</v>
      </c>
      <c r="BC5" s="19">
        <f>+N5-AC5</f>
        <v>0</v>
      </c>
      <c r="BD5" s="19" t="e">
        <f>+BC5/N5*100</f>
        <v>#DIV/0!</v>
      </c>
    </row>
    <row r="6" spans="1:56">
      <c r="A6" s="17">
        <v>2</v>
      </c>
      <c r="B6" s="18" t="s">
        <v>9</v>
      </c>
      <c r="C6" s="19">
        <v>44772399</v>
      </c>
      <c r="D6" s="19">
        <v>44772399</v>
      </c>
      <c r="E6" s="19">
        <v>44772399</v>
      </c>
      <c r="F6" s="19"/>
      <c r="G6" s="19"/>
      <c r="H6" s="19"/>
      <c r="I6" s="19"/>
      <c r="J6" s="19"/>
      <c r="K6" s="19"/>
      <c r="L6" s="19"/>
      <c r="M6" s="19"/>
      <c r="N6" s="19"/>
      <c r="P6" s="17">
        <v>2</v>
      </c>
      <c r="Q6" s="18" t="s">
        <v>9</v>
      </c>
      <c r="R6" s="19">
        <v>44592149</v>
      </c>
      <c r="S6" s="19">
        <v>44592149</v>
      </c>
      <c r="T6" s="19">
        <v>44592149</v>
      </c>
      <c r="U6" s="19"/>
      <c r="V6" s="19"/>
      <c r="W6" s="19"/>
      <c r="X6" s="19"/>
      <c r="Y6" s="19"/>
      <c r="Z6" s="19"/>
      <c r="AA6" s="19"/>
      <c r="AB6" s="19"/>
      <c r="AC6" s="19"/>
      <c r="AE6" s="17">
        <v>2</v>
      </c>
      <c r="AF6" s="18" t="s">
        <v>9</v>
      </c>
      <c r="AG6" s="19">
        <f t="shared" ref="AG6:AG10" si="0">+C6-R6</f>
        <v>180250</v>
      </c>
      <c r="AH6" s="19">
        <f t="shared" ref="AH6:AH10" si="1">+AG6/C6*100</f>
        <v>0.40259178428209758</v>
      </c>
      <c r="AI6" s="19">
        <f t="shared" ref="AI6:AI10" si="2">+D6-S6</f>
        <v>180250</v>
      </c>
      <c r="AJ6" s="19">
        <f t="shared" ref="AJ6:AJ10" si="3">+AI6/D6*100</f>
        <v>0.40259178428209758</v>
      </c>
      <c r="AK6" s="19">
        <f t="shared" ref="AK6:AK10" si="4">+E6-T6</f>
        <v>180250</v>
      </c>
      <c r="AL6" s="19">
        <f t="shared" ref="AL6:AL10" si="5">+AK6/E6*100</f>
        <v>0.40259178428209758</v>
      </c>
      <c r="AM6" s="19">
        <f t="shared" ref="AM6:AM10" si="6">+F6-U6</f>
        <v>0</v>
      </c>
      <c r="AN6" s="19" t="e">
        <f t="shared" ref="AN6:AN10" si="7">+AM6/F6*100</f>
        <v>#DIV/0!</v>
      </c>
      <c r="AO6" s="19">
        <f t="shared" ref="AO6:AO10" si="8">+G6-V6</f>
        <v>0</v>
      </c>
      <c r="AP6" s="19" t="e">
        <f t="shared" ref="AP6:AP10" si="9">+AO6/G6*100</f>
        <v>#DIV/0!</v>
      </c>
      <c r="AQ6" s="19">
        <f t="shared" ref="AQ6:AQ10" si="10">+H6-W6</f>
        <v>0</v>
      </c>
      <c r="AR6" s="19" t="e">
        <f t="shared" ref="AR6:AR10" si="11">+AQ6/H6*100</f>
        <v>#DIV/0!</v>
      </c>
      <c r="AS6" s="19">
        <f t="shared" ref="AS6:AS10" si="12">+I6-X6</f>
        <v>0</v>
      </c>
      <c r="AT6" s="19" t="e">
        <f t="shared" ref="AT6:AT10" si="13">+AS6/I6*100</f>
        <v>#DIV/0!</v>
      </c>
      <c r="AU6" s="19">
        <f t="shared" ref="AU6:AU10" si="14">+J6-Y6</f>
        <v>0</v>
      </c>
      <c r="AV6" s="19" t="e">
        <f t="shared" ref="AV6:AV10" si="15">+AU6/J6*100</f>
        <v>#DIV/0!</v>
      </c>
      <c r="AW6" s="19">
        <f t="shared" ref="AW6:AW10" si="16">+K6-Z6</f>
        <v>0</v>
      </c>
      <c r="AX6" s="19" t="e">
        <f t="shared" ref="AX6:AX10" si="17">+AW6/K6*100</f>
        <v>#DIV/0!</v>
      </c>
      <c r="AY6" s="19">
        <f t="shared" ref="AY6:AY10" si="18">+L6-AA6</f>
        <v>0</v>
      </c>
      <c r="AZ6" s="19" t="e">
        <f t="shared" ref="AZ6:AZ10" si="19">+AY6/L6*100</f>
        <v>#DIV/0!</v>
      </c>
      <c r="BA6" s="19">
        <f t="shared" ref="BA6:BA10" si="20">+M6-AB6</f>
        <v>0</v>
      </c>
      <c r="BB6" s="19" t="e">
        <f t="shared" ref="BB6:BB10" si="21">+BA6/M6*100</f>
        <v>#DIV/0!</v>
      </c>
      <c r="BC6" s="19">
        <f t="shared" ref="BC6:BC10" si="22">+N6-AC6</f>
        <v>0</v>
      </c>
      <c r="BD6" s="19" t="e">
        <f t="shared" ref="BD6:BD10" si="23">+BC6/N6*100</f>
        <v>#DIV/0!</v>
      </c>
    </row>
    <row r="7" spans="1:56">
      <c r="A7" s="17">
        <v>3</v>
      </c>
      <c r="B7" s="18" t="s">
        <v>11</v>
      </c>
      <c r="C7" s="19">
        <v>12969348</v>
      </c>
      <c r="D7" s="19">
        <v>12969348</v>
      </c>
      <c r="E7" s="19">
        <v>12969348</v>
      </c>
      <c r="F7" s="19"/>
      <c r="G7" s="19"/>
      <c r="H7" s="19"/>
      <c r="I7" s="19"/>
      <c r="J7" s="19"/>
      <c r="K7" s="19"/>
      <c r="L7" s="19"/>
      <c r="M7" s="19"/>
      <c r="N7" s="19"/>
      <c r="P7" s="17">
        <v>3</v>
      </c>
      <c r="Q7" s="18" t="s">
        <v>11</v>
      </c>
      <c r="R7" s="19">
        <v>9054106</v>
      </c>
      <c r="S7" s="19">
        <v>9054106</v>
      </c>
      <c r="T7" s="19">
        <v>9054106</v>
      </c>
      <c r="U7" s="19"/>
      <c r="V7" s="19"/>
      <c r="W7" s="19"/>
      <c r="X7" s="19"/>
      <c r="Y7" s="19"/>
      <c r="Z7" s="19"/>
      <c r="AA7" s="19"/>
      <c r="AB7" s="19"/>
      <c r="AC7" s="19"/>
      <c r="AE7" s="17">
        <v>3</v>
      </c>
      <c r="AF7" s="18" t="s">
        <v>11</v>
      </c>
      <c r="AG7" s="19">
        <f t="shared" si="0"/>
        <v>3915242</v>
      </c>
      <c r="AH7" s="19">
        <f t="shared" si="1"/>
        <v>30.188425817550733</v>
      </c>
      <c r="AI7" s="19">
        <f t="shared" si="2"/>
        <v>3915242</v>
      </c>
      <c r="AJ7" s="19">
        <f t="shared" si="3"/>
        <v>30.188425817550733</v>
      </c>
      <c r="AK7" s="19">
        <f t="shared" si="4"/>
        <v>3915242</v>
      </c>
      <c r="AL7" s="19">
        <f t="shared" si="5"/>
        <v>30.188425817550733</v>
      </c>
      <c r="AM7" s="19">
        <f t="shared" si="6"/>
        <v>0</v>
      </c>
      <c r="AN7" s="19" t="e">
        <f t="shared" si="7"/>
        <v>#DIV/0!</v>
      </c>
      <c r="AO7" s="19">
        <f t="shared" si="8"/>
        <v>0</v>
      </c>
      <c r="AP7" s="19" t="e">
        <f t="shared" si="9"/>
        <v>#DIV/0!</v>
      </c>
      <c r="AQ7" s="19">
        <f t="shared" si="10"/>
        <v>0</v>
      </c>
      <c r="AR7" s="19" t="e">
        <f t="shared" si="11"/>
        <v>#DIV/0!</v>
      </c>
      <c r="AS7" s="19">
        <f t="shared" si="12"/>
        <v>0</v>
      </c>
      <c r="AT7" s="19" t="e">
        <f t="shared" si="13"/>
        <v>#DIV/0!</v>
      </c>
      <c r="AU7" s="19">
        <f t="shared" si="14"/>
        <v>0</v>
      </c>
      <c r="AV7" s="19" t="e">
        <f t="shared" si="15"/>
        <v>#DIV/0!</v>
      </c>
      <c r="AW7" s="19">
        <f t="shared" si="16"/>
        <v>0</v>
      </c>
      <c r="AX7" s="19" t="e">
        <f t="shared" si="17"/>
        <v>#DIV/0!</v>
      </c>
      <c r="AY7" s="19">
        <f t="shared" si="18"/>
        <v>0</v>
      </c>
      <c r="AZ7" s="19" t="e">
        <f t="shared" si="19"/>
        <v>#DIV/0!</v>
      </c>
      <c r="BA7" s="19">
        <f t="shared" si="20"/>
        <v>0</v>
      </c>
      <c r="BB7" s="19" t="e">
        <f t="shared" si="21"/>
        <v>#DIV/0!</v>
      </c>
      <c r="BC7" s="19">
        <f t="shared" si="22"/>
        <v>0</v>
      </c>
      <c r="BD7" s="19" t="e">
        <f t="shared" si="23"/>
        <v>#DIV/0!</v>
      </c>
    </row>
    <row r="8" spans="1:56">
      <c r="A8" s="17">
        <v>4</v>
      </c>
      <c r="B8" s="18" t="s">
        <v>13</v>
      </c>
      <c r="C8" s="19">
        <v>1707700</v>
      </c>
      <c r="D8" s="19">
        <v>1707700</v>
      </c>
      <c r="E8" s="19">
        <v>1707700</v>
      </c>
      <c r="F8" s="19"/>
      <c r="G8" s="19"/>
      <c r="H8" s="19"/>
      <c r="I8" s="19"/>
      <c r="J8" s="19"/>
      <c r="K8" s="19"/>
      <c r="L8" s="19"/>
      <c r="M8" s="19"/>
      <c r="N8" s="19"/>
      <c r="P8" s="17">
        <v>4</v>
      </c>
      <c r="Q8" s="18" t="s">
        <v>13</v>
      </c>
      <c r="R8" s="19">
        <v>2815313</v>
      </c>
      <c r="S8" s="19">
        <v>2815313</v>
      </c>
      <c r="T8" s="19">
        <v>2815313</v>
      </c>
      <c r="U8" s="19"/>
      <c r="V8" s="19"/>
      <c r="W8" s="19"/>
      <c r="X8" s="19"/>
      <c r="Y8" s="19"/>
      <c r="Z8" s="19"/>
      <c r="AA8" s="19"/>
      <c r="AB8" s="19"/>
      <c r="AC8" s="19"/>
      <c r="AE8" s="17">
        <v>4</v>
      </c>
      <c r="AF8" s="18" t="s">
        <v>13</v>
      </c>
      <c r="AG8" s="19">
        <f t="shared" si="0"/>
        <v>-1107613</v>
      </c>
      <c r="AH8" s="19">
        <f t="shared" si="1"/>
        <v>-64.85992855888037</v>
      </c>
      <c r="AI8" s="19">
        <f t="shared" si="2"/>
        <v>-1107613</v>
      </c>
      <c r="AJ8" s="19">
        <f t="shared" si="3"/>
        <v>-64.85992855888037</v>
      </c>
      <c r="AK8" s="19">
        <f t="shared" si="4"/>
        <v>-1107613</v>
      </c>
      <c r="AL8" s="19">
        <f t="shared" si="5"/>
        <v>-64.85992855888037</v>
      </c>
      <c r="AM8" s="19">
        <f t="shared" si="6"/>
        <v>0</v>
      </c>
      <c r="AN8" s="19" t="e">
        <f t="shared" si="7"/>
        <v>#DIV/0!</v>
      </c>
      <c r="AO8" s="19">
        <f t="shared" si="8"/>
        <v>0</v>
      </c>
      <c r="AP8" s="19" t="e">
        <f t="shared" si="9"/>
        <v>#DIV/0!</v>
      </c>
      <c r="AQ8" s="19">
        <f t="shared" si="10"/>
        <v>0</v>
      </c>
      <c r="AR8" s="19" t="e">
        <f t="shared" si="11"/>
        <v>#DIV/0!</v>
      </c>
      <c r="AS8" s="19">
        <f t="shared" si="12"/>
        <v>0</v>
      </c>
      <c r="AT8" s="19" t="e">
        <f t="shared" si="13"/>
        <v>#DIV/0!</v>
      </c>
      <c r="AU8" s="19">
        <f t="shared" si="14"/>
        <v>0</v>
      </c>
      <c r="AV8" s="19" t="e">
        <f t="shared" si="15"/>
        <v>#DIV/0!</v>
      </c>
      <c r="AW8" s="19">
        <f t="shared" si="16"/>
        <v>0</v>
      </c>
      <c r="AX8" s="19" t="e">
        <f t="shared" si="17"/>
        <v>#DIV/0!</v>
      </c>
      <c r="AY8" s="19">
        <f t="shared" si="18"/>
        <v>0</v>
      </c>
      <c r="AZ8" s="19" t="e">
        <f t="shared" si="19"/>
        <v>#DIV/0!</v>
      </c>
      <c r="BA8" s="19">
        <f t="shared" si="20"/>
        <v>0</v>
      </c>
      <c r="BB8" s="19" t="e">
        <f t="shared" si="21"/>
        <v>#DIV/0!</v>
      </c>
      <c r="BC8" s="19">
        <f t="shared" si="22"/>
        <v>0</v>
      </c>
      <c r="BD8" s="19" t="e">
        <f t="shared" si="23"/>
        <v>#DIV/0!</v>
      </c>
    </row>
    <row r="9" spans="1:56">
      <c r="A9" s="17">
        <v>5</v>
      </c>
      <c r="B9" s="18" t="s">
        <v>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P9" s="17">
        <v>5</v>
      </c>
      <c r="Q9" s="18" t="s">
        <v>15</v>
      </c>
      <c r="R9" s="19">
        <v>4772072</v>
      </c>
      <c r="S9" s="19">
        <v>4772072</v>
      </c>
      <c r="T9" s="19">
        <v>4772072</v>
      </c>
      <c r="U9" s="19"/>
      <c r="V9" s="19"/>
      <c r="W9" s="19"/>
      <c r="X9" s="19"/>
      <c r="Y9" s="19"/>
      <c r="Z9" s="19"/>
      <c r="AA9" s="19"/>
      <c r="AB9" s="19"/>
      <c r="AC9" s="19"/>
      <c r="AE9" s="17">
        <v>5</v>
      </c>
      <c r="AF9" s="18" t="s">
        <v>15</v>
      </c>
      <c r="AG9" s="19">
        <f t="shared" si="0"/>
        <v>-4772072</v>
      </c>
      <c r="AH9" s="19" t="e">
        <f t="shared" si="1"/>
        <v>#DIV/0!</v>
      </c>
      <c r="AI9" s="19">
        <f t="shared" si="2"/>
        <v>-4772072</v>
      </c>
      <c r="AJ9" s="19" t="e">
        <f t="shared" si="3"/>
        <v>#DIV/0!</v>
      </c>
      <c r="AK9" s="19">
        <f t="shared" si="4"/>
        <v>-4772072</v>
      </c>
      <c r="AL9" s="19" t="e">
        <f t="shared" si="5"/>
        <v>#DIV/0!</v>
      </c>
      <c r="AM9" s="19">
        <f t="shared" si="6"/>
        <v>0</v>
      </c>
      <c r="AN9" s="19" t="e">
        <f t="shared" si="7"/>
        <v>#DIV/0!</v>
      </c>
      <c r="AO9" s="19">
        <f t="shared" si="8"/>
        <v>0</v>
      </c>
      <c r="AP9" s="19" t="e">
        <f t="shared" si="9"/>
        <v>#DIV/0!</v>
      </c>
      <c r="AQ9" s="19">
        <f t="shared" si="10"/>
        <v>0</v>
      </c>
      <c r="AR9" s="19" t="e">
        <f t="shared" si="11"/>
        <v>#DIV/0!</v>
      </c>
      <c r="AS9" s="19">
        <f t="shared" si="12"/>
        <v>0</v>
      </c>
      <c r="AT9" s="19" t="e">
        <f t="shared" si="13"/>
        <v>#DIV/0!</v>
      </c>
      <c r="AU9" s="19">
        <f t="shared" si="14"/>
        <v>0</v>
      </c>
      <c r="AV9" s="19" t="e">
        <f t="shared" si="15"/>
        <v>#DIV/0!</v>
      </c>
      <c r="AW9" s="19">
        <f t="shared" si="16"/>
        <v>0</v>
      </c>
      <c r="AX9" s="19" t="e">
        <f t="shared" si="17"/>
        <v>#DIV/0!</v>
      </c>
      <c r="AY9" s="19">
        <f t="shared" si="18"/>
        <v>0</v>
      </c>
      <c r="AZ9" s="19" t="e">
        <f t="shared" si="19"/>
        <v>#DIV/0!</v>
      </c>
      <c r="BA9" s="19">
        <f t="shared" si="20"/>
        <v>0</v>
      </c>
      <c r="BB9" s="19" t="e">
        <f t="shared" si="21"/>
        <v>#DIV/0!</v>
      </c>
      <c r="BC9" s="19">
        <f t="shared" si="22"/>
        <v>0</v>
      </c>
      <c r="BD9" s="19" t="e">
        <f t="shared" si="23"/>
        <v>#DIV/0!</v>
      </c>
    </row>
    <row r="10" spans="1:56" s="22" customFormat="1" ht="25.2" thickBot="1">
      <c r="A10" s="20"/>
      <c r="B10" s="20" t="s">
        <v>17</v>
      </c>
      <c r="C10" s="21">
        <f>SUM(C5:C9)</f>
        <v>59449447</v>
      </c>
      <c r="D10" s="21">
        <f t="shared" ref="D10:N10" si="24">SUM(D5:D9)</f>
        <v>59449447</v>
      </c>
      <c r="E10" s="21">
        <f t="shared" si="24"/>
        <v>59449447</v>
      </c>
      <c r="F10" s="21">
        <f t="shared" si="24"/>
        <v>0</v>
      </c>
      <c r="G10" s="21">
        <f t="shared" si="24"/>
        <v>0</v>
      </c>
      <c r="H10" s="21">
        <f t="shared" si="24"/>
        <v>0</v>
      </c>
      <c r="I10" s="21">
        <f t="shared" si="24"/>
        <v>0</v>
      </c>
      <c r="J10" s="21">
        <f t="shared" si="24"/>
        <v>0</v>
      </c>
      <c r="K10" s="21">
        <f t="shared" si="24"/>
        <v>0</v>
      </c>
      <c r="L10" s="21">
        <f t="shared" si="24"/>
        <v>0</v>
      </c>
      <c r="M10" s="21">
        <f t="shared" si="24"/>
        <v>0</v>
      </c>
      <c r="N10" s="21">
        <f t="shared" si="24"/>
        <v>0</v>
      </c>
      <c r="P10" s="20"/>
      <c r="Q10" s="20" t="s">
        <v>17</v>
      </c>
      <c r="R10" s="21">
        <f>SUM(R5:R9)</f>
        <v>61233640</v>
      </c>
      <c r="S10" s="21">
        <f t="shared" ref="S10:AC10" si="25">SUM(S5:S9)</f>
        <v>61233640</v>
      </c>
      <c r="T10" s="21">
        <f t="shared" si="25"/>
        <v>61233640</v>
      </c>
      <c r="U10" s="21">
        <f t="shared" si="25"/>
        <v>0</v>
      </c>
      <c r="V10" s="21">
        <f t="shared" si="25"/>
        <v>0</v>
      </c>
      <c r="W10" s="21">
        <f t="shared" si="25"/>
        <v>0</v>
      </c>
      <c r="X10" s="21">
        <f t="shared" si="25"/>
        <v>0</v>
      </c>
      <c r="Y10" s="21">
        <f t="shared" si="25"/>
        <v>0</v>
      </c>
      <c r="Z10" s="21">
        <f t="shared" si="25"/>
        <v>0</v>
      </c>
      <c r="AA10" s="21">
        <f t="shared" si="25"/>
        <v>0</v>
      </c>
      <c r="AB10" s="21">
        <f t="shared" si="25"/>
        <v>0</v>
      </c>
      <c r="AC10" s="21">
        <f t="shared" si="25"/>
        <v>0</v>
      </c>
      <c r="AE10" s="20"/>
      <c r="AF10" s="20" t="s">
        <v>17</v>
      </c>
      <c r="AG10" s="23">
        <f t="shared" si="0"/>
        <v>-1784193</v>
      </c>
      <c r="AH10" s="23">
        <f t="shared" si="1"/>
        <v>-3.0011936023559649</v>
      </c>
      <c r="AI10" s="23">
        <f t="shared" si="2"/>
        <v>-1784193</v>
      </c>
      <c r="AJ10" s="23">
        <f t="shared" si="3"/>
        <v>-3.0011936023559649</v>
      </c>
      <c r="AK10" s="23">
        <f t="shared" si="4"/>
        <v>-1784193</v>
      </c>
      <c r="AL10" s="23">
        <f t="shared" si="5"/>
        <v>-3.0011936023559649</v>
      </c>
      <c r="AM10" s="23">
        <f t="shared" si="6"/>
        <v>0</v>
      </c>
      <c r="AN10" s="23" t="e">
        <f t="shared" si="7"/>
        <v>#DIV/0!</v>
      </c>
      <c r="AO10" s="23">
        <f t="shared" si="8"/>
        <v>0</v>
      </c>
      <c r="AP10" s="23" t="e">
        <f t="shared" si="9"/>
        <v>#DIV/0!</v>
      </c>
      <c r="AQ10" s="23">
        <f t="shared" si="10"/>
        <v>0</v>
      </c>
      <c r="AR10" s="23" t="e">
        <f t="shared" si="11"/>
        <v>#DIV/0!</v>
      </c>
      <c r="AS10" s="23">
        <f t="shared" si="12"/>
        <v>0</v>
      </c>
      <c r="AT10" s="23" t="e">
        <f t="shared" si="13"/>
        <v>#DIV/0!</v>
      </c>
      <c r="AU10" s="23">
        <f t="shared" si="14"/>
        <v>0</v>
      </c>
      <c r="AV10" s="23" t="e">
        <f t="shared" si="15"/>
        <v>#DIV/0!</v>
      </c>
      <c r="AW10" s="23">
        <f t="shared" si="16"/>
        <v>0</v>
      </c>
      <c r="AX10" s="23" t="e">
        <f t="shared" si="17"/>
        <v>#DIV/0!</v>
      </c>
      <c r="AY10" s="23">
        <f t="shared" si="18"/>
        <v>0</v>
      </c>
      <c r="AZ10" s="23" t="e">
        <f t="shared" si="19"/>
        <v>#DIV/0!</v>
      </c>
      <c r="BA10" s="23">
        <f t="shared" si="20"/>
        <v>0</v>
      </c>
      <c r="BB10" s="23" t="e">
        <f t="shared" si="21"/>
        <v>#DIV/0!</v>
      </c>
      <c r="BC10" s="23">
        <f t="shared" si="22"/>
        <v>0</v>
      </c>
      <c r="BD10" s="23" t="e">
        <f t="shared" si="23"/>
        <v>#DIV/0!</v>
      </c>
    </row>
    <row r="11" spans="1:56" ht="25.2" thickTop="1"/>
    <row r="12" spans="1:56">
      <c r="A12" s="37" t="s">
        <v>46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P12" s="37" t="s">
        <v>50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E12" s="37" t="s">
        <v>87</v>
      </c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</row>
    <row r="13" spans="1:56">
      <c r="A13" s="37" t="s">
        <v>1949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P13" s="37" t="s">
        <v>1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E13" s="37" t="s">
        <v>1</v>
      </c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</row>
    <row r="14" spans="1:56" s="15" customFormat="1">
      <c r="A14" s="35" t="s">
        <v>2</v>
      </c>
      <c r="B14" s="35" t="s">
        <v>3</v>
      </c>
      <c r="C14" s="38" t="s">
        <v>4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0"/>
      <c r="P14" s="35" t="s">
        <v>2</v>
      </c>
      <c r="Q14" s="35" t="s">
        <v>3</v>
      </c>
      <c r="R14" s="38" t="s">
        <v>5</v>
      </c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40"/>
      <c r="AE14" s="35" t="s">
        <v>2</v>
      </c>
      <c r="AF14" s="35" t="s">
        <v>3</v>
      </c>
      <c r="AG14" s="33">
        <v>25112</v>
      </c>
      <c r="AH14" s="34"/>
      <c r="AI14" s="33">
        <v>25143</v>
      </c>
      <c r="AJ14" s="34"/>
      <c r="AK14" s="33">
        <v>25173</v>
      </c>
      <c r="AL14" s="34"/>
      <c r="AM14" s="33">
        <v>25204</v>
      </c>
      <c r="AN14" s="34"/>
      <c r="AO14" s="33">
        <v>25235</v>
      </c>
      <c r="AP14" s="34"/>
      <c r="AQ14" s="33">
        <v>25263</v>
      </c>
      <c r="AR14" s="34"/>
      <c r="AS14" s="33">
        <v>25294</v>
      </c>
      <c r="AT14" s="34"/>
      <c r="AU14" s="33">
        <v>25324</v>
      </c>
      <c r="AV14" s="34"/>
      <c r="AW14" s="33">
        <v>25355</v>
      </c>
      <c r="AX14" s="34"/>
      <c r="AY14" s="33">
        <v>25385</v>
      </c>
      <c r="AZ14" s="34"/>
      <c r="BA14" s="33">
        <v>25416</v>
      </c>
      <c r="BB14" s="34"/>
      <c r="BC14" s="33">
        <v>25447</v>
      </c>
      <c r="BD14" s="34"/>
    </row>
    <row r="15" spans="1:56" s="15" customFormat="1">
      <c r="A15" s="36"/>
      <c r="B15" s="36"/>
      <c r="C15" s="16">
        <v>25112</v>
      </c>
      <c r="D15" s="16">
        <v>25143</v>
      </c>
      <c r="E15" s="16">
        <v>25173</v>
      </c>
      <c r="F15" s="16">
        <v>25204</v>
      </c>
      <c r="G15" s="16">
        <v>25235</v>
      </c>
      <c r="H15" s="16">
        <v>25263</v>
      </c>
      <c r="I15" s="16">
        <v>25294</v>
      </c>
      <c r="J15" s="16">
        <v>25324</v>
      </c>
      <c r="K15" s="16">
        <v>25355</v>
      </c>
      <c r="L15" s="16">
        <v>25385</v>
      </c>
      <c r="M15" s="16">
        <v>25416</v>
      </c>
      <c r="N15" s="16">
        <v>25447</v>
      </c>
      <c r="P15" s="36"/>
      <c r="Q15" s="36"/>
      <c r="R15" s="16">
        <v>25112</v>
      </c>
      <c r="S15" s="16">
        <v>25143</v>
      </c>
      <c r="T15" s="16">
        <v>25173</v>
      </c>
      <c r="U15" s="16">
        <v>25204</v>
      </c>
      <c r="V15" s="16">
        <v>25235</v>
      </c>
      <c r="W15" s="16">
        <v>25263</v>
      </c>
      <c r="X15" s="16">
        <v>25294</v>
      </c>
      <c r="Y15" s="16">
        <v>25324</v>
      </c>
      <c r="Z15" s="16">
        <v>25355</v>
      </c>
      <c r="AA15" s="16">
        <v>25385</v>
      </c>
      <c r="AB15" s="16">
        <v>25416</v>
      </c>
      <c r="AC15" s="16">
        <v>25447</v>
      </c>
      <c r="AE15" s="36"/>
      <c r="AF15" s="36"/>
      <c r="AG15" s="16" t="s">
        <v>85</v>
      </c>
      <c r="AH15" s="16" t="s">
        <v>86</v>
      </c>
      <c r="AI15" s="16" t="s">
        <v>85</v>
      </c>
      <c r="AJ15" s="16" t="s">
        <v>86</v>
      </c>
      <c r="AK15" s="16" t="s">
        <v>85</v>
      </c>
      <c r="AL15" s="16" t="s">
        <v>86</v>
      </c>
      <c r="AM15" s="16" t="s">
        <v>85</v>
      </c>
      <c r="AN15" s="16" t="s">
        <v>86</v>
      </c>
      <c r="AO15" s="16" t="s">
        <v>85</v>
      </c>
      <c r="AP15" s="16" t="s">
        <v>86</v>
      </c>
      <c r="AQ15" s="16" t="s">
        <v>85</v>
      </c>
      <c r="AR15" s="16" t="s">
        <v>86</v>
      </c>
      <c r="AS15" s="16" t="s">
        <v>85</v>
      </c>
      <c r="AT15" s="16" t="s">
        <v>86</v>
      </c>
      <c r="AU15" s="16" t="s">
        <v>85</v>
      </c>
      <c r="AV15" s="16" t="s">
        <v>86</v>
      </c>
      <c r="AW15" s="16" t="s">
        <v>85</v>
      </c>
      <c r="AX15" s="16" t="s">
        <v>86</v>
      </c>
      <c r="AY15" s="16" t="s">
        <v>85</v>
      </c>
      <c r="AZ15" s="16" t="s">
        <v>86</v>
      </c>
      <c r="BA15" s="16" t="s">
        <v>85</v>
      </c>
      <c r="BB15" s="16" t="s">
        <v>86</v>
      </c>
      <c r="BC15" s="16" t="s">
        <v>85</v>
      </c>
      <c r="BD15" s="16" t="s">
        <v>86</v>
      </c>
    </row>
    <row r="16" spans="1:56">
      <c r="A16" s="17"/>
      <c r="B16" s="18"/>
      <c r="C16" s="19"/>
      <c r="D16" s="19"/>
      <c r="E16" s="19"/>
      <c r="F16" s="19"/>
      <c r="G16" s="18"/>
      <c r="H16" s="18"/>
      <c r="I16" s="18"/>
      <c r="J16" s="18"/>
      <c r="K16" s="18"/>
      <c r="L16" s="18"/>
      <c r="M16" s="18"/>
      <c r="N16" s="18"/>
      <c r="P16" s="17"/>
      <c r="Q16" s="18"/>
      <c r="R16" s="19"/>
      <c r="S16" s="19"/>
      <c r="T16" s="19"/>
      <c r="U16" s="19"/>
      <c r="V16" s="18"/>
      <c r="W16" s="18"/>
      <c r="X16" s="18"/>
      <c r="Y16" s="18"/>
      <c r="Z16" s="18"/>
      <c r="AA16" s="18"/>
      <c r="AB16" s="18"/>
      <c r="AC16" s="18"/>
      <c r="AE16" s="17"/>
      <c r="AF16" s="18"/>
      <c r="AG16" s="19"/>
      <c r="AH16" s="19"/>
      <c r="AI16" s="19"/>
      <c r="AJ16" s="19"/>
      <c r="AK16" s="19"/>
      <c r="AL16" s="19"/>
      <c r="AM16" s="19"/>
      <c r="AN16" s="19"/>
      <c r="AO16" s="18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</row>
    <row r="17" spans="1:56">
      <c r="A17" s="17">
        <v>1</v>
      </c>
      <c r="B17" s="18" t="s">
        <v>10</v>
      </c>
      <c r="C17" s="19">
        <v>19646695.510000002</v>
      </c>
      <c r="D17" s="19">
        <v>19769981.579999998</v>
      </c>
      <c r="E17" s="19">
        <v>19897377.18</v>
      </c>
      <c r="F17" s="19"/>
      <c r="G17" s="18"/>
      <c r="H17" s="18"/>
      <c r="I17" s="18"/>
      <c r="J17" s="18"/>
      <c r="K17" s="18"/>
      <c r="L17" s="18"/>
      <c r="M17" s="18"/>
      <c r="N17" s="18"/>
      <c r="P17" s="17">
        <v>1</v>
      </c>
      <c r="Q17" s="18" t="s">
        <v>10</v>
      </c>
      <c r="R17" s="19">
        <v>17383931.449999999</v>
      </c>
      <c r="S17" s="19">
        <v>17533846.940000001</v>
      </c>
      <c r="T17" s="19">
        <v>17683762.43</v>
      </c>
      <c r="U17" s="19"/>
      <c r="V17" s="18"/>
      <c r="W17" s="18"/>
      <c r="X17" s="18"/>
      <c r="Y17" s="18"/>
      <c r="Z17" s="18"/>
      <c r="AA17" s="18"/>
      <c r="AB17" s="18"/>
      <c r="AC17" s="18"/>
      <c r="AE17" s="17">
        <v>1</v>
      </c>
      <c r="AF17" s="18" t="s">
        <v>10</v>
      </c>
      <c r="AG17" s="19">
        <f t="shared" ref="AG17:AG21" si="26">+C17-R17</f>
        <v>2262764.0600000024</v>
      </c>
      <c r="AH17" s="19">
        <f t="shared" ref="AH17:AH21" si="27">+AG17/C17*100</f>
        <v>11.517275558366926</v>
      </c>
      <c r="AI17" s="19">
        <f t="shared" ref="AI17:AI21" si="28">+D17-S17</f>
        <v>2236134.6399999969</v>
      </c>
      <c r="AJ17" s="19">
        <f t="shared" ref="AJ17:AJ21" si="29">+AI17/D17*100</f>
        <v>11.310757326461793</v>
      </c>
      <c r="AK17" s="19">
        <f t="shared" ref="AK17:AK21" si="30">+E17-T17</f>
        <v>2213614.75</v>
      </c>
      <c r="AL17" s="19">
        <f t="shared" ref="AL17:AL21" si="31">+AK17/E17*100</f>
        <v>11.125158506946493</v>
      </c>
      <c r="AM17" s="19">
        <f t="shared" ref="AM17:AM21" si="32">+F17-U17</f>
        <v>0</v>
      </c>
      <c r="AN17" s="19" t="e">
        <f t="shared" ref="AN17:AN21" si="33">+AM17/F17*100</f>
        <v>#DIV/0!</v>
      </c>
      <c r="AO17" s="19">
        <f t="shared" ref="AO17:AO21" si="34">+G17-V17</f>
        <v>0</v>
      </c>
      <c r="AP17" s="19" t="e">
        <f t="shared" ref="AP17:AP21" si="35">+AO17/G17*100</f>
        <v>#DIV/0!</v>
      </c>
      <c r="AQ17" s="19">
        <f t="shared" ref="AQ17:AQ21" si="36">+H17-W17</f>
        <v>0</v>
      </c>
      <c r="AR17" s="19" t="e">
        <f t="shared" ref="AR17:AR21" si="37">+AQ17/H17*100</f>
        <v>#DIV/0!</v>
      </c>
      <c r="AS17" s="19">
        <f t="shared" ref="AS17:AS21" si="38">+I17-X17</f>
        <v>0</v>
      </c>
      <c r="AT17" s="19" t="e">
        <f t="shared" ref="AT17:AT21" si="39">+AS17/I17*100</f>
        <v>#DIV/0!</v>
      </c>
      <c r="AU17" s="19">
        <f t="shared" ref="AU17:AU21" si="40">+J17-Y17</f>
        <v>0</v>
      </c>
      <c r="AV17" s="19" t="e">
        <f t="shared" ref="AV17:AV21" si="41">+AU17/J17*100</f>
        <v>#DIV/0!</v>
      </c>
      <c r="AW17" s="19">
        <f t="shared" ref="AW17:AW21" si="42">+K17-Z17</f>
        <v>0</v>
      </c>
      <c r="AX17" s="19" t="e">
        <f t="shared" ref="AX17:AX21" si="43">+AW17/K17*100</f>
        <v>#DIV/0!</v>
      </c>
      <c r="AY17" s="19">
        <f t="shared" ref="AY17:AY21" si="44">+L17-AA17</f>
        <v>0</v>
      </c>
      <c r="AZ17" s="19" t="e">
        <f t="shared" ref="AZ17:AZ21" si="45">+AY17/L17*100</f>
        <v>#DIV/0!</v>
      </c>
      <c r="BA17" s="19">
        <f t="shared" ref="BA17:BA21" si="46">+M17-AB17</f>
        <v>0</v>
      </c>
      <c r="BB17" s="19" t="e">
        <f t="shared" ref="BB17:BB21" si="47">+BA17/M17*100</f>
        <v>#DIV/0!</v>
      </c>
      <c r="BC17" s="19">
        <f t="shared" ref="BC17:BC21" si="48">+N17-AC17</f>
        <v>0</v>
      </c>
      <c r="BD17" s="19" t="e">
        <f t="shared" ref="BD17:BD21" si="49">+BC17/N17*100</f>
        <v>#DIV/0!</v>
      </c>
    </row>
    <row r="18" spans="1:56">
      <c r="A18" s="17">
        <v>2</v>
      </c>
      <c r="B18" s="18" t="s">
        <v>12</v>
      </c>
      <c r="C18" s="19">
        <v>6813107.4299999997</v>
      </c>
      <c r="D18" s="19">
        <v>6847631.6500000004</v>
      </c>
      <c r="E18" s="19">
        <v>6883306.6699999999</v>
      </c>
      <c r="F18" s="19"/>
      <c r="G18" s="18"/>
      <c r="H18" s="18"/>
      <c r="I18" s="18"/>
      <c r="J18" s="18"/>
      <c r="K18" s="18"/>
      <c r="L18" s="18"/>
      <c r="M18" s="18"/>
      <c r="N18" s="18"/>
      <c r="P18" s="17">
        <v>2</v>
      </c>
      <c r="Q18" s="18" t="s">
        <v>12</v>
      </c>
      <c r="R18" s="19">
        <v>7754957.1600000001</v>
      </c>
      <c r="S18" s="19">
        <v>7776299.0599999996</v>
      </c>
      <c r="T18" s="19">
        <v>7797640.96</v>
      </c>
      <c r="U18" s="19"/>
      <c r="V18" s="18"/>
      <c r="W18" s="18"/>
      <c r="X18" s="18"/>
      <c r="Y18" s="18"/>
      <c r="Z18" s="18"/>
      <c r="AA18" s="18"/>
      <c r="AB18" s="18"/>
      <c r="AC18" s="18"/>
      <c r="AE18" s="17">
        <v>2</v>
      </c>
      <c r="AF18" s="18" t="s">
        <v>12</v>
      </c>
      <c r="AG18" s="19">
        <f t="shared" si="26"/>
        <v>-941849.73000000045</v>
      </c>
      <c r="AH18" s="19">
        <f t="shared" si="27"/>
        <v>-13.824084526434666</v>
      </c>
      <c r="AI18" s="19">
        <f t="shared" si="28"/>
        <v>-928667.40999999922</v>
      </c>
      <c r="AJ18" s="19">
        <f t="shared" si="29"/>
        <v>-13.561877412024625</v>
      </c>
      <c r="AK18" s="19">
        <f t="shared" si="30"/>
        <v>-914334.29</v>
      </c>
      <c r="AL18" s="19">
        <f t="shared" si="31"/>
        <v>-13.283358331033071</v>
      </c>
      <c r="AM18" s="19">
        <f t="shared" si="32"/>
        <v>0</v>
      </c>
      <c r="AN18" s="19" t="e">
        <f t="shared" si="33"/>
        <v>#DIV/0!</v>
      </c>
      <c r="AO18" s="19">
        <f t="shared" si="34"/>
        <v>0</v>
      </c>
      <c r="AP18" s="19" t="e">
        <f t="shared" si="35"/>
        <v>#DIV/0!</v>
      </c>
      <c r="AQ18" s="19">
        <f t="shared" si="36"/>
        <v>0</v>
      </c>
      <c r="AR18" s="19" t="e">
        <f t="shared" si="37"/>
        <v>#DIV/0!</v>
      </c>
      <c r="AS18" s="19">
        <f t="shared" si="38"/>
        <v>0</v>
      </c>
      <c r="AT18" s="19" t="e">
        <f t="shared" si="39"/>
        <v>#DIV/0!</v>
      </c>
      <c r="AU18" s="19">
        <f t="shared" si="40"/>
        <v>0</v>
      </c>
      <c r="AV18" s="19" t="e">
        <f t="shared" si="41"/>
        <v>#DIV/0!</v>
      </c>
      <c r="AW18" s="19">
        <f t="shared" si="42"/>
        <v>0</v>
      </c>
      <c r="AX18" s="19" t="e">
        <f t="shared" si="43"/>
        <v>#DIV/0!</v>
      </c>
      <c r="AY18" s="19">
        <f t="shared" si="44"/>
        <v>0</v>
      </c>
      <c r="AZ18" s="19" t="e">
        <f t="shared" si="45"/>
        <v>#DIV/0!</v>
      </c>
      <c r="BA18" s="19">
        <f t="shared" si="46"/>
        <v>0</v>
      </c>
      <c r="BB18" s="19" t="e">
        <f t="shared" si="47"/>
        <v>#DIV/0!</v>
      </c>
      <c r="BC18" s="19">
        <f t="shared" si="48"/>
        <v>0</v>
      </c>
      <c r="BD18" s="19" t="e">
        <f t="shared" si="49"/>
        <v>#DIV/0!</v>
      </c>
    </row>
    <row r="19" spans="1:56">
      <c r="A19" s="17">
        <v>3</v>
      </c>
      <c r="B19" s="18" t="s">
        <v>14</v>
      </c>
      <c r="C19" s="19">
        <v>1458820.24</v>
      </c>
      <c r="D19" s="19">
        <v>1462276.87</v>
      </c>
      <c r="E19" s="19">
        <v>1465848.73</v>
      </c>
      <c r="F19" s="19"/>
      <c r="G19" s="18"/>
      <c r="H19" s="18"/>
      <c r="I19" s="18"/>
      <c r="J19" s="18"/>
      <c r="K19" s="18"/>
      <c r="L19" s="18"/>
      <c r="M19" s="18"/>
      <c r="N19" s="18"/>
      <c r="P19" s="17">
        <v>3</v>
      </c>
      <c r="Q19" s="18" t="s">
        <v>14</v>
      </c>
      <c r="R19" s="19">
        <v>2815301</v>
      </c>
      <c r="S19" s="19">
        <v>2815301</v>
      </c>
      <c r="T19" s="19">
        <v>2815301</v>
      </c>
      <c r="U19" s="19"/>
      <c r="V19" s="18"/>
      <c r="W19" s="18"/>
      <c r="X19" s="18"/>
      <c r="Y19" s="18"/>
      <c r="Z19" s="18"/>
      <c r="AA19" s="18"/>
      <c r="AB19" s="18"/>
      <c r="AC19" s="18"/>
      <c r="AE19" s="17">
        <v>3</v>
      </c>
      <c r="AF19" s="18" t="s">
        <v>14</v>
      </c>
      <c r="AG19" s="19">
        <f t="shared" si="26"/>
        <v>-1356480.76</v>
      </c>
      <c r="AH19" s="19">
        <f t="shared" si="27"/>
        <v>-92.984777891483049</v>
      </c>
      <c r="AI19" s="19">
        <f t="shared" si="28"/>
        <v>-1353024.13</v>
      </c>
      <c r="AJ19" s="19">
        <f t="shared" si="29"/>
        <v>-92.528587284568047</v>
      </c>
      <c r="AK19" s="19">
        <f t="shared" si="30"/>
        <v>-1349452.27</v>
      </c>
      <c r="AL19" s="19">
        <f t="shared" si="31"/>
        <v>-92.059449408534817</v>
      </c>
      <c r="AM19" s="19">
        <f t="shared" si="32"/>
        <v>0</v>
      </c>
      <c r="AN19" s="19" t="e">
        <f t="shared" si="33"/>
        <v>#DIV/0!</v>
      </c>
      <c r="AO19" s="19">
        <f t="shared" si="34"/>
        <v>0</v>
      </c>
      <c r="AP19" s="19" t="e">
        <f t="shared" si="35"/>
        <v>#DIV/0!</v>
      </c>
      <c r="AQ19" s="19">
        <f t="shared" si="36"/>
        <v>0</v>
      </c>
      <c r="AR19" s="19" t="e">
        <f t="shared" si="37"/>
        <v>#DIV/0!</v>
      </c>
      <c r="AS19" s="19">
        <f t="shared" si="38"/>
        <v>0</v>
      </c>
      <c r="AT19" s="19" t="e">
        <f t="shared" si="39"/>
        <v>#DIV/0!</v>
      </c>
      <c r="AU19" s="19">
        <f t="shared" si="40"/>
        <v>0</v>
      </c>
      <c r="AV19" s="19" t="e">
        <f t="shared" si="41"/>
        <v>#DIV/0!</v>
      </c>
      <c r="AW19" s="19">
        <f t="shared" si="42"/>
        <v>0</v>
      </c>
      <c r="AX19" s="19" t="e">
        <f t="shared" si="43"/>
        <v>#DIV/0!</v>
      </c>
      <c r="AY19" s="19">
        <f t="shared" si="44"/>
        <v>0</v>
      </c>
      <c r="AZ19" s="19" t="e">
        <f t="shared" si="45"/>
        <v>#DIV/0!</v>
      </c>
      <c r="BA19" s="19">
        <f t="shared" si="46"/>
        <v>0</v>
      </c>
      <c r="BB19" s="19" t="e">
        <f t="shared" si="47"/>
        <v>#DIV/0!</v>
      </c>
      <c r="BC19" s="19">
        <f t="shared" si="48"/>
        <v>0</v>
      </c>
      <c r="BD19" s="19" t="e">
        <f t="shared" si="49"/>
        <v>#DIV/0!</v>
      </c>
    </row>
    <row r="20" spans="1:56">
      <c r="A20" s="17">
        <v>4</v>
      </c>
      <c r="B20" s="18" t="s">
        <v>16</v>
      </c>
      <c r="C20" s="19"/>
      <c r="D20" s="19"/>
      <c r="E20" s="19"/>
      <c r="F20" s="19"/>
      <c r="G20" s="18"/>
      <c r="H20" s="18"/>
      <c r="I20" s="18"/>
      <c r="J20" s="18"/>
      <c r="K20" s="18"/>
      <c r="L20" s="18"/>
      <c r="M20" s="18"/>
      <c r="N20" s="18"/>
      <c r="P20" s="17">
        <v>4</v>
      </c>
      <c r="Q20" s="18" t="s">
        <v>16</v>
      </c>
      <c r="R20" s="19">
        <v>4695261.28</v>
      </c>
      <c r="S20" s="19">
        <v>4696233.5</v>
      </c>
      <c r="T20" s="19">
        <v>4697205.72</v>
      </c>
      <c r="U20" s="19"/>
      <c r="V20" s="18"/>
      <c r="W20" s="18"/>
      <c r="X20" s="18"/>
      <c r="Y20" s="18"/>
      <c r="Z20" s="18"/>
      <c r="AA20" s="18"/>
      <c r="AB20" s="18"/>
      <c r="AC20" s="18"/>
      <c r="AE20" s="17">
        <v>4</v>
      </c>
      <c r="AF20" s="18" t="s">
        <v>16</v>
      </c>
      <c r="AG20" s="19">
        <f t="shared" si="26"/>
        <v>-4695261.28</v>
      </c>
      <c r="AH20" s="19" t="e">
        <f t="shared" si="27"/>
        <v>#DIV/0!</v>
      </c>
      <c r="AI20" s="19">
        <f t="shared" si="28"/>
        <v>-4696233.5</v>
      </c>
      <c r="AJ20" s="19" t="e">
        <f t="shared" si="29"/>
        <v>#DIV/0!</v>
      </c>
      <c r="AK20" s="19">
        <f t="shared" si="30"/>
        <v>-4697205.72</v>
      </c>
      <c r="AL20" s="19" t="e">
        <f t="shared" si="31"/>
        <v>#DIV/0!</v>
      </c>
      <c r="AM20" s="19">
        <f t="shared" si="32"/>
        <v>0</v>
      </c>
      <c r="AN20" s="19" t="e">
        <f t="shared" si="33"/>
        <v>#DIV/0!</v>
      </c>
      <c r="AO20" s="19">
        <f t="shared" si="34"/>
        <v>0</v>
      </c>
      <c r="AP20" s="19" t="e">
        <f t="shared" si="35"/>
        <v>#DIV/0!</v>
      </c>
      <c r="AQ20" s="19">
        <f t="shared" si="36"/>
        <v>0</v>
      </c>
      <c r="AR20" s="19" t="e">
        <f t="shared" si="37"/>
        <v>#DIV/0!</v>
      </c>
      <c r="AS20" s="19">
        <f t="shared" si="38"/>
        <v>0</v>
      </c>
      <c r="AT20" s="19" t="e">
        <f t="shared" si="39"/>
        <v>#DIV/0!</v>
      </c>
      <c r="AU20" s="19">
        <f t="shared" si="40"/>
        <v>0</v>
      </c>
      <c r="AV20" s="19" t="e">
        <f t="shared" si="41"/>
        <v>#DIV/0!</v>
      </c>
      <c r="AW20" s="19">
        <f t="shared" si="42"/>
        <v>0</v>
      </c>
      <c r="AX20" s="19" t="e">
        <f t="shared" si="43"/>
        <v>#DIV/0!</v>
      </c>
      <c r="AY20" s="19">
        <f t="shared" si="44"/>
        <v>0</v>
      </c>
      <c r="AZ20" s="19" t="e">
        <f t="shared" si="45"/>
        <v>#DIV/0!</v>
      </c>
      <c r="BA20" s="19">
        <f t="shared" si="46"/>
        <v>0</v>
      </c>
      <c r="BB20" s="19" t="e">
        <f t="shared" si="47"/>
        <v>#DIV/0!</v>
      </c>
      <c r="BC20" s="19">
        <f t="shared" si="48"/>
        <v>0</v>
      </c>
      <c r="BD20" s="19" t="e">
        <f t="shared" si="49"/>
        <v>#DIV/0!</v>
      </c>
    </row>
    <row r="21" spans="1:56" ht="25.2" thickBot="1">
      <c r="A21" s="20"/>
      <c r="B21" s="20" t="s">
        <v>17</v>
      </c>
      <c r="C21" s="21">
        <f>SUM(C16:C20)</f>
        <v>27918623.18</v>
      </c>
      <c r="D21" s="21">
        <f t="shared" ref="D21:N21" si="50">SUM(D16:D20)</f>
        <v>28079890.099999998</v>
      </c>
      <c r="E21" s="21">
        <f t="shared" si="50"/>
        <v>28246532.580000002</v>
      </c>
      <c r="F21" s="21">
        <f t="shared" si="50"/>
        <v>0</v>
      </c>
      <c r="G21" s="21">
        <f t="shared" si="50"/>
        <v>0</v>
      </c>
      <c r="H21" s="21">
        <f t="shared" si="50"/>
        <v>0</v>
      </c>
      <c r="I21" s="21">
        <f t="shared" si="50"/>
        <v>0</v>
      </c>
      <c r="J21" s="21">
        <f t="shared" si="50"/>
        <v>0</v>
      </c>
      <c r="K21" s="21">
        <f t="shared" si="50"/>
        <v>0</v>
      </c>
      <c r="L21" s="21">
        <f t="shared" si="50"/>
        <v>0</v>
      </c>
      <c r="M21" s="21">
        <f t="shared" si="50"/>
        <v>0</v>
      </c>
      <c r="N21" s="21">
        <f t="shared" si="50"/>
        <v>0</v>
      </c>
      <c r="P21" s="20"/>
      <c r="Q21" s="20" t="s">
        <v>17</v>
      </c>
      <c r="R21" s="21">
        <f>SUM(R16:R20)</f>
        <v>32649450.890000001</v>
      </c>
      <c r="S21" s="21">
        <f t="shared" ref="S21:AC21" si="51">SUM(S16:S20)</f>
        <v>32821680.5</v>
      </c>
      <c r="T21" s="21">
        <f t="shared" si="51"/>
        <v>32993910.109999999</v>
      </c>
      <c r="U21" s="21">
        <f t="shared" si="51"/>
        <v>0</v>
      </c>
      <c r="V21" s="21">
        <f t="shared" si="51"/>
        <v>0</v>
      </c>
      <c r="W21" s="21">
        <f t="shared" si="51"/>
        <v>0</v>
      </c>
      <c r="X21" s="21">
        <f t="shared" si="51"/>
        <v>0</v>
      </c>
      <c r="Y21" s="21">
        <f t="shared" si="51"/>
        <v>0</v>
      </c>
      <c r="Z21" s="21">
        <f t="shared" si="51"/>
        <v>0</v>
      </c>
      <c r="AA21" s="21">
        <f t="shared" si="51"/>
        <v>0</v>
      </c>
      <c r="AB21" s="21">
        <f t="shared" si="51"/>
        <v>0</v>
      </c>
      <c r="AC21" s="21">
        <f t="shared" si="51"/>
        <v>0</v>
      </c>
      <c r="AE21" s="20"/>
      <c r="AF21" s="20" t="s">
        <v>17</v>
      </c>
      <c r="AG21" s="23">
        <f t="shared" si="26"/>
        <v>-4730827.7100000009</v>
      </c>
      <c r="AH21" s="23">
        <f t="shared" si="27"/>
        <v>-16.945060934770641</v>
      </c>
      <c r="AI21" s="23">
        <f t="shared" si="28"/>
        <v>-4741790.4000000022</v>
      </c>
      <c r="AJ21" s="23">
        <f t="shared" si="29"/>
        <v>-16.886784040511621</v>
      </c>
      <c r="AK21" s="23">
        <f t="shared" si="30"/>
        <v>-4747377.5299999975</v>
      </c>
      <c r="AL21" s="23">
        <f t="shared" si="31"/>
        <v>-16.806939105019158</v>
      </c>
      <c r="AM21" s="23">
        <f t="shared" si="32"/>
        <v>0</v>
      </c>
      <c r="AN21" s="23" t="e">
        <f t="shared" si="33"/>
        <v>#DIV/0!</v>
      </c>
      <c r="AO21" s="23">
        <f t="shared" si="34"/>
        <v>0</v>
      </c>
      <c r="AP21" s="23" t="e">
        <f t="shared" si="35"/>
        <v>#DIV/0!</v>
      </c>
      <c r="AQ21" s="23">
        <f t="shared" si="36"/>
        <v>0</v>
      </c>
      <c r="AR21" s="23" t="e">
        <f t="shared" si="37"/>
        <v>#DIV/0!</v>
      </c>
      <c r="AS21" s="23">
        <f t="shared" si="38"/>
        <v>0</v>
      </c>
      <c r="AT21" s="23" t="e">
        <f t="shared" si="39"/>
        <v>#DIV/0!</v>
      </c>
      <c r="AU21" s="23">
        <f t="shared" si="40"/>
        <v>0</v>
      </c>
      <c r="AV21" s="23" t="e">
        <f t="shared" si="41"/>
        <v>#DIV/0!</v>
      </c>
      <c r="AW21" s="23">
        <f t="shared" si="42"/>
        <v>0</v>
      </c>
      <c r="AX21" s="23" t="e">
        <f t="shared" si="43"/>
        <v>#DIV/0!</v>
      </c>
      <c r="AY21" s="23">
        <f t="shared" si="44"/>
        <v>0</v>
      </c>
      <c r="AZ21" s="23" t="e">
        <f t="shared" si="45"/>
        <v>#DIV/0!</v>
      </c>
      <c r="BA21" s="23">
        <f t="shared" si="46"/>
        <v>0</v>
      </c>
      <c r="BB21" s="23" t="e">
        <f t="shared" si="47"/>
        <v>#DIV/0!</v>
      </c>
      <c r="BC21" s="23">
        <f t="shared" si="48"/>
        <v>0</v>
      </c>
      <c r="BD21" s="23" t="e">
        <f t="shared" si="49"/>
        <v>#DIV/0!</v>
      </c>
    </row>
    <row r="22" spans="1:56" ht="25.2" thickTop="1"/>
    <row r="23" spans="1:56">
      <c r="A23" s="37" t="s">
        <v>47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P23" s="37" t="s">
        <v>51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E23" s="37" t="s">
        <v>88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</row>
    <row r="24" spans="1:56">
      <c r="A24" s="37" t="s">
        <v>1949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P24" s="37" t="s">
        <v>1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E24" s="37" t="s">
        <v>1</v>
      </c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</row>
    <row r="25" spans="1:56" s="25" customFormat="1">
      <c r="A25" s="35" t="s">
        <v>2</v>
      </c>
      <c r="B25" s="35" t="s">
        <v>3</v>
      </c>
      <c r="C25" s="38" t="s">
        <v>4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P25" s="35" t="s">
        <v>2</v>
      </c>
      <c r="Q25" s="35" t="s">
        <v>3</v>
      </c>
      <c r="R25" s="38" t="s">
        <v>5</v>
      </c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/>
      <c r="AE25" s="35" t="s">
        <v>2</v>
      </c>
      <c r="AF25" s="35" t="s">
        <v>3</v>
      </c>
      <c r="AG25" s="33">
        <v>25112</v>
      </c>
      <c r="AH25" s="34"/>
      <c r="AI25" s="33">
        <v>25143</v>
      </c>
      <c r="AJ25" s="34"/>
      <c r="AK25" s="33">
        <v>25173</v>
      </c>
      <c r="AL25" s="34"/>
      <c r="AM25" s="33">
        <v>25204</v>
      </c>
      <c r="AN25" s="34"/>
      <c r="AO25" s="33">
        <v>25235</v>
      </c>
      <c r="AP25" s="34"/>
      <c r="AQ25" s="33">
        <v>25263</v>
      </c>
      <c r="AR25" s="34"/>
      <c r="AS25" s="33">
        <v>25294</v>
      </c>
      <c r="AT25" s="34"/>
      <c r="AU25" s="33">
        <v>25324</v>
      </c>
      <c r="AV25" s="34"/>
      <c r="AW25" s="33">
        <v>25355</v>
      </c>
      <c r="AX25" s="34"/>
      <c r="AY25" s="33">
        <v>25385</v>
      </c>
      <c r="AZ25" s="34"/>
      <c r="BA25" s="33">
        <v>25416</v>
      </c>
      <c r="BB25" s="34"/>
      <c r="BC25" s="33">
        <v>25447</v>
      </c>
      <c r="BD25" s="34"/>
    </row>
    <row r="26" spans="1:56" s="25" customFormat="1">
      <c r="A26" s="36"/>
      <c r="B26" s="36"/>
      <c r="C26" s="16">
        <v>25112</v>
      </c>
      <c r="D26" s="16">
        <v>25143</v>
      </c>
      <c r="E26" s="16">
        <v>25173</v>
      </c>
      <c r="F26" s="16">
        <v>25204</v>
      </c>
      <c r="G26" s="16">
        <v>25235</v>
      </c>
      <c r="H26" s="16">
        <v>25263</v>
      </c>
      <c r="I26" s="16">
        <v>25294</v>
      </c>
      <c r="J26" s="16">
        <v>25324</v>
      </c>
      <c r="K26" s="16">
        <v>25355</v>
      </c>
      <c r="L26" s="16">
        <v>25385</v>
      </c>
      <c r="M26" s="16">
        <v>25416</v>
      </c>
      <c r="N26" s="16">
        <v>25447</v>
      </c>
      <c r="P26" s="36"/>
      <c r="Q26" s="36"/>
      <c r="R26" s="16">
        <v>25112</v>
      </c>
      <c r="S26" s="16">
        <v>25143</v>
      </c>
      <c r="T26" s="16">
        <v>25173</v>
      </c>
      <c r="U26" s="16">
        <v>25204</v>
      </c>
      <c r="V26" s="16">
        <v>25235</v>
      </c>
      <c r="W26" s="16">
        <v>25263</v>
      </c>
      <c r="X26" s="16">
        <v>25294</v>
      </c>
      <c r="Y26" s="16">
        <v>25324</v>
      </c>
      <c r="Z26" s="16">
        <v>25355</v>
      </c>
      <c r="AA26" s="16">
        <v>25385</v>
      </c>
      <c r="AB26" s="16">
        <v>25416</v>
      </c>
      <c r="AC26" s="16">
        <v>25447</v>
      </c>
      <c r="AE26" s="36"/>
      <c r="AF26" s="36"/>
      <c r="AG26" s="16" t="s">
        <v>85</v>
      </c>
      <c r="AH26" s="16" t="s">
        <v>86</v>
      </c>
      <c r="AI26" s="16" t="s">
        <v>85</v>
      </c>
      <c r="AJ26" s="16" t="s">
        <v>86</v>
      </c>
      <c r="AK26" s="16" t="s">
        <v>85</v>
      </c>
      <c r="AL26" s="16" t="s">
        <v>86</v>
      </c>
      <c r="AM26" s="16" t="s">
        <v>85</v>
      </c>
      <c r="AN26" s="16" t="s">
        <v>86</v>
      </c>
      <c r="AO26" s="16" t="s">
        <v>85</v>
      </c>
      <c r="AP26" s="16" t="s">
        <v>86</v>
      </c>
      <c r="AQ26" s="16" t="s">
        <v>85</v>
      </c>
      <c r="AR26" s="16" t="s">
        <v>86</v>
      </c>
      <c r="AS26" s="16" t="s">
        <v>85</v>
      </c>
      <c r="AT26" s="16" t="s">
        <v>86</v>
      </c>
      <c r="AU26" s="16" t="s">
        <v>85</v>
      </c>
      <c r="AV26" s="16" t="s">
        <v>86</v>
      </c>
      <c r="AW26" s="16" t="s">
        <v>85</v>
      </c>
      <c r="AX26" s="16" t="s">
        <v>86</v>
      </c>
      <c r="AY26" s="16" t="s">
        <v>85</v>
      </c>
      <c r="AZ26" s="16" t="s">
        <v>86</v>
      </c>
      <c r="BA26" s="16" t="s">
        <v>85</v>
      </c>
      <c r="BB26" s="16" t="s">
        <v>86</v>
      </c>
      <c r="BC26" s="16" t="s">
        <v>85</v>
      </c>
      <c r="BD26" s="16" t="s">
        <v>86</v>
      </c>
    </row>
    <row r="27" spans="1:56">
      <c r="A27" s="17">
        <v>1</v>
      </c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>
        <v>104270</v>
      </c>
      <c r="M27" s="19"/>
      <c r="N27" s="19"/>
      <c r="O27" s="26"/>
      <c r="P27" s="17">
        <v>1</v>
      </c>
      <c r="Q27" s="18" t="s">
        <v>18</v>
      </c>
      <c r="R27" s="19">
        <v>221085</v>
      </c>
      <c r="S27" s="19">
        <v>221085</v>
      </c>
      <c r="T27" s="19">
        <v>221085</v>
      </c>
      <c r="U27" s="19"/>
      <c r="V27" s="19"/>
      <c r="W27" s="19"/>
      <c r="X27" s="19"/>
      <c r="Y27" s="19"/>
      <c r="Z27" s="19"/>
      <c r="AA27" s="19">
        <v>104270</v>
      </c>
      <c r="AB27" s="19"/>
      <c r="AC27" s="19"/>
      <c r="AE27" s="17">
        <v>1</v>
      </c>
      <c r="AF27" s="18" t="s">
        <v>18</v>
      </c>
      <c r="AG27" s="19">
        <f t="shared" ref="AG27:AG41" si="52">+C27-R27</f>
        <v>-221085</v>
      </c>
      <c r="AH27" s="19" t="e">
        <f t="shared" ref="AH27:AH41" si="53">+AG27/C27*100</f>
        <v>#DIV/0!</v>
      </c>
      <c r="AI27" s="19">
        <f t="shared" ref="AI27:AI41" si="54">+D27-S27</f>
        <v>-221085</v>
      </c>
      <c r="AJ27" s="19" t="e">
        <f t="shared" ref="AJ27:AJ41" si="55">+AI27/D27*100</f>
        <v>#DIV/0!</v>
      </c>
      <c r="AK27" s="19">
        <f t="shared" ref="AK27:AK41" si="56">+E27-T27</f>
        <v>-221085</v>
      </c>
      <c r="AL27" s="19" t="e">
        <f t="shared" ref="AL27:AL41" si="57">+AK27/E27*100</f>
        <v>#DIV/0!</v>
      </c>
      <c r="AM27" s="19">
        <f t="shared" ref="AM27:AM41" si="58">+F27-U27</f>
        <v>0</v>
      </c>
      <c r="AN27" s="19" t="e">
        <f t="shared" ref="AN27:AN41" si="59">+AM27/F27*100</f>
        <v>#DIV/0!</v>
      </c>
      <c r="AO27" s="19">
        <f t="shared" ref="AO27:AO41" si="60">+G27-V27</f>
        <v>0</v>
      </c>
      <c r="AP27" s="19" t="e">
        <f t="shared" ref="AP27:AP41" si="61">+AO27/G27*100</f>
        <v>#DIV/0!</v>
      </c>
      <c r="AQ27" s="19">
        <f t="shared" ref="AQ27:AQ41" si="62">+H27-W27</f>
        <v>0</v>
      </c>
      <c r="AR27" s="19" t="e">
        <f t="shared" ref="AR27:AR41" si="63">+AQ27/H27*100</f>
        <v>#DIV/0!</v>
      </c>
      <c r="AS27" s="19">
        <f t="shared" ref="AS27:AS41" si="64">+I27-X27</f>
        <v>0</v>
      </c>
      <c r="AT27" s="19" t="e">
        <f t="shared" ref="AT27:AT41" si="65">+AS27/I27*100</f>
        <v>#DIV/0!</v>
      </c>
      <c r="AU27" s="19">
        <f t="shared" ref="AU27:AU41" si="66">+J27-Y27</f>
        <v>0</v>
      </c>
      <c r="AV27" s="19" t="e">
        <f t="shared" ref="AV27:AV41" si="67">+AU27/J27*100</f>
        <v>#DIV/0!</v>
      </c>
      <c r="AW27" s="19">
        <f t="shared" ref="AW27:AW41" si="68">+K27-Z27</f>
        <v>0</v>
      </c>
      <c r="AX27" s="19" t="e">
        <f t="shared" ref="AX27:AX41" si="69">+AW27/K27*100</f>
        <v>#DIV/0!</v>
      </c>
      <c r="AY27" s="19">
        <f t="shared" ref="AY27:AY41" si="70">+L27-AA27</f>
        <v>0</v>
      </c>
      <c r="AZ27" s="19">
        <f t="shared" ref="AZ27:AZ41" si="71">+AY27/L27*100</f>
        <v>0</v>
      </c>
      <c r="BA27" s="19">
        <f t="shared" ref="BA27:BA41" si="72">+M27-AB27</f>
        <v>0</v>
      </c>
      <c r="BB27" s="19" t="e">
        <f t="shared" ref="BB27:BB41" si="73">+BA27/M27*100</f>
        <v>#DIV/0!</v>
      </c>
      <c r="BC27" s="19">
        <f t="shared" ref="BC27:BC41" si="74">+N27-AC27</f>
        <v>0</v>
      </c>
      <c r="BD27" s="19" t="e">
        <f t="shared" ref="BD27:BD41" si="75">+BC27/N27*100</f>
        <v>#DIV/0!</v>
      </c>
    </row>
    <row r="28" spans="1:56">
      <c r="A28" s="17">
        <v>2</v>
      </c>
      <c r="B28" s="18" t="s">
        <v>20</v>
      </c>
      <c r="C28" s="19"/>
      <c r="D28" s="19"/>
      <c r="E28" s="19"/>
      <c r="F28" s="19"/>
      <c r="G28" s="19"/>
      <c r="H28" s="19"/>
      <c r="I28" s="19"/>
      <c r="J28" s="19"/>
      <c r="K28" s="19"/>
      <c r="L28" s="19">
        <v>1645000</v>
      </c>
      <c r="M28" s="19"/>
      <c r="N28" s="19"/>
      <c r="O28" s="26"/>
      <c r="P28" s="17">
        <v>2</v>
      </c>
      <c r="Q28" s="18" t="s">
        <v>20</v>
      </c>
      <c r="R28" s="19">
        <v>1200000</v>
      </c>
      <c r="S28" s="19">
        <v>1200000</v>
      </c>
      <c r="T28" s="19">
        <v>1200000</v>
      </c>
      <c r="U28" s="19"/>
      <c r="V28" s="19"/>
      <c r="W28" s="19"/>
      <c r="X28" s="19"/>
      <c r="Y28" s="19"/>
      <c r="Z28" s="19"/>
      <c r="AA28" s="19">
        <v>1645000</v>
      </c>
      <c r="AB28" s="19"/>
      <c r="AC28" s="19"/>
      <c r="AE28" s="17">
        <v>2</v>
      </c>
      <c r="AF28" s="18" t="s">
        <v>20</v>
      </c>
      <c r="AG28" s="19">
        <f t="shared" si="52"/>
        <v>-1200000</v>
      </c>
      <c r="AH28" s="19" t="e">
        <f t="shared" si="53"/>
        <v>#DIV/0!</v>
      </c>
      <c r="AI28" s="19">
        <f t="shared" si="54"/>
        <v>-1200000</v>
      </c>
      <c r="AJ28" s="19" t="e">
        <f t="shared" si="55"/>
        <v>#DIV/0!</v>
      </c>
      <c r="AK28" s="19">
        <f t="shared" si="56"/>
        <v>-1200000</v>
      </c>
      <c r="AL28" s="19" t="e">
        <f t="shared" si="57"/>
        <v>#DIV/0!</v>
      </c>
      <c r="AM28" s="19">
        <f t="shared" si="58"/>
        <v>0</v>
      </c>
      <c r="AN28" s="19" t="e">
        <f t="shared" si="59"/>
        <v>#DIV/0!</v>
      </c>
      <c r="AO28" s="19">
        <f t="shared" si="60"/>
        <v>0</v>
      </c>
      <c r="AP28" s="19" t="e">
        <f t="shared" si="61"/>
        <v>#DIV/0!</v>
      </c>
      <c r="AQ28" s="19">
        <f t="shared" si="62"/>
        <v>0</v>
      </c>
      <c r="AR28" s="19" t="e">
        <f t="shared" si="63"/>
        <v>#DIV/0!</v>
      </c>
      <c r="AS28" s="19">
        <f t="shared" si="64"/>
        <v>0</v>
      </c>
      <c r="AT28" s="19" t="e">
        <f t="shared" si="65"/>
        <v>#DIV/0!</v>
      </c>
      <c r="AU28" s="19">
        <f t="shared" si="66"/>
        <v>0</v>
      </c>
      <c r="AV28" s="19" t="e">
        <f t="shared" si="67"/>
        <v>#DIV/0!</v>
      </c>
      <c r="AW28" s="19">
        <f t="shared" si="68"/>
        <v>0</v>
      </c>
      <c r="AX28" s="19" t="e">
        <f t="shared" si="69"/>
        <v>#DIV/0!</v>
      </c>
      <c r="AY28" s="19">
        <f t="shared" si="70"/>
        <v>0</v>
      </c>
      <c r="AZ28" s="19">
        <f t="shared" si="71"/>
        <v>0</v>
      </c>
      <c r="BA28" s="19">
        <f t="shared" si="72"/>
        <v>0</v>
      </c>
      <c r="BB28" s="19" t="e">
        <f t="shared" si="73"/>
        <v>#DIV/0!</v>
      </c>
      <c r="BC28" s="19">
        <f t="shared" si="74"/>
        <v>0</v>
      </c>
      <c r="BD28" s="19" t="e">
        <f t="shared" si="75"/>
        <v>#DIV/0!</v>
      </c>
    </row>
    <row r="29" spans="1:56">
      <c r="A29" s="17">
        <v>3</v>
      </c>
      <c r="B29" s="18" t="s">
        <v>22</v>
      </c>
      <c r="C29" s="19"/>
      <c r="D29" s="19"/>
      <c r="E29" s="19"/>
      <c r="F29" s="19"/>
      <c r="G29" s="19"/>
      <c r="H29" s="19"/>
      <c r="I29" s="19"/>
      <c r="J29" s="19"/>
      <c r="K29" s="19"/>
      <c r="L29" s="19">
        <v>745000</v>
      </c>
      <c r="M29" s="19"/>
      <c r="N29" s="19"/>
      <c r="O29" s="26"/>
      <c r="P29" s="17">
        <v>3</v>
      </c>
      <c r="Q29" s="18" t="s">
        <v>22</v>
      </c>
      <c r="R29" s="19"/>
      <c r="S29" s="19"/>
      <c r="T29" s="19"/>
      <c r="U29" s="19"/>
      <c r="V29" s="19"/>
      <c r="W29" s="19"/>
      <c r="X29" s="19"/>
      <c r="Y29" s="19"/>
      <c r="Z29" s="19"/>
      <c r="AA29" s="19">
        <v>745000</v>
      </c>
      <c r="AB29" s="19"/>
      <c r="AC29" s="19"/>
      <c r="AE29" s="17">
        <v>3</v>
      </c>
      <c r="AF29" s="18" t="s">
        <v>22</v>
      </c>
      <c r="AG29" s="19">
        <f t="shared" si="52"/>
        <v>0</v>
      </c>
      <c r="AH29" s="19" t="e">
        <f t="shared" si="53"/>
        <v>#DIV/0!</v>
      </c>
      <c r="AI29" s="19">
        <f t="shared" si="54"/>
        <v>0</v>
      </c>
      <c r="AJ29" s="19" t="e">
        <f t="shared" si="55"/>
        <v>#DIV/0!</v>
      </c>
      <c r="AK29" s="19">
        <f t="shared" si="56"/>
        <v>0</v>
      </c>
      <c r="AL29" s="19" t="e">
        <f t="shared" si="57"/>
        <v>#DIV/0!</v>
      </c>
      <c r="AM29" s="19">
        <f t="shared" si="58"/>
        <v>0</v>
      </c>
      <c r="AN29" s="19" t="e">
        <f t="shared" si="59"/>
        <v>#DIV/0!</v>
      </c>
      <c r="AO29" s="19">
        <f t="shared" si="60"/>
        <v>0</v>
      </c>
      <c r="AP29" s="19" t="e">
        <f t="shared" si="61"/>
        <v>#DIV/0!</v>
      </c>
      <c r="AQ29" s="19">
        <f t="shared" si="62"/>
        <v>0</v>
      </c>
      <c r="AR29" s="19" t="e">
        <f t="shared" si="63"/>
        <v>#DIV/0!</v>
      </c>
      <c r="AS29" s="19">
        <f t="shared" si="64"/>
        <v>0</v>
      </c>
      <c r="AT29" s="19" t="e">
        <f t="shared" si="65"/>
        <v>#DIV/0!</v>
      </c>
      <c r="AU29" s="19">
        <f t="shared" si="66"/>
        <v>0</v>
      </c>
      <c r="AV29" s="19" t="e">
        <f t="shared" si="67"/>
        <v>#DIV/0!</v>
      </c>
      <c r="AW29" s="19">
        <f t="shared" si="68"/>
        <v>0</v>
      </c>
      <c r="AX29" s="19" t="e">
        <f t="shared" si="69"/>
        <v>#DIV/0!</v>
      </c>
      <c r="AY29" s="19">
        <f t="shared" si="70"/>
        <v>0</v>
      </c>
      <c r="AZ29" s="19">
        <f t="shared" si="71"/>
        <v>0</v>
      </c>
      <c r="BA29" s="19">
        <f t="shared" si="72"/>
        <v>0</v>
      </c>
      <c r="BB29" s="19" t="e">
        <f t="shared" si="73"/>
        <v>#DIV/0!</v>
      </c>
      <c r="BC29" s="19">
        <f t="shared" si="74"/>
        <v>0</v>
      </c>
      <c r="BD29" s="19" t="e">
        <f t="shared" si="75"/>
        <v>#DIV/0!</v>
      </c>
    </row>
    <row r="30" spans="1:56">
      <c r="A30" s="17">
        <v>4</v>
      </c>
      <c r="B30" s="18" t="s">
        <v>24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6"/>
      <c r="P30" s="17">
        <v>4</v>
      </c>
      <c r="Q30" s="18" t="s">
        <v>24</v>
      </c>
      <c r="R30" s="19">
        <v>179000</v>
      </c>
      <c r="S30" s="19">
        <v>179000</v>
      </c>
      <c r="T30" s="19">
        <v>179000</v>
      </c>
      <c r="U30" s="19"/>
      <c r="V30" s="19"/>
      <c r="W30" s="19"/>
      <c r="X30" s="19"/>
      <c r="Y30" s="19"/>
      <c r="Z30" s="19"/>
      <c r="AA30" s="19"/>
      <c r="AB30" s="19"/>
      <c r="AC30" s="19"/>
      <c r="AE30" s="17">
        <v>4</v>
      </c>
      <c r="AF30" s="18" t="s">
        <v>24</v>
      </c>
      <c r="AG30" s="19">
        <f t="shared" si="52"/>
        <v>-179000</v>
      </c>
      <c r="AH30" s="19" t="e">
        <f t="shared" si="53"/>
        <v>#DIV/0!</v>
      </c>
      <c r="AI30" s="19">
        <f t="shared" si="54"/>
        <v>-179000</v>
      </c>
      <c r="AJ30" s="19" t="e">
        <f t="shared" si="55"/>
        <v>#DIV/0!</v>
      </c>
      <c r="AK30" s="19">
        <f t="shared" si="56"/>
        <v>-179000</v>
      </c>
      <c r="AL30" s="19" t="e">
        <f t="shared" si="57"/>
        <v>#DIV/0!</v>
      </c>
      <c r="AM30" s="19">
        <f t="shared" si="58"/>
        <v>0</v>
      </c>
      <c r="AN30" s="19" t="e">
        <f t="shared" si="59"/>
        <v>#DIV/0!</v>
      </c>
      <c r="AO30" s="19">
        <f t="shared" si="60"/>
        <v>0</v>
      </c>
      <c r="AP30" s="19" t="e">
        <f t="shared" si="61"/>
        <v>#DIV/0!</v>
      </c>
      <c r="AQ30" s="19">
        <f t="shared" si="62"/>
        <v>0</v>
      </c>
      <c r="AR30" s="19" t="e">
        <f t="shared" si="63"/>
        <v>#DIV/0!</v>
      </c>
      <c r="AS30" s="19">
        <f t="shared" si="64"/>
        <v>0</v>
      </c>
      <c r="AT30" s="19" t="e">
        <f t="shared" si="65"/>
        <v>#DIV/0!</v>
      </c>
      <c r="AU30" s="19">
        <f t="shared" si="66"/>
        <v>0</v>
      </c>
      <c r="AV30" s="19" t="e">
        <f t="shared" si="67"/>
        <v>#DIV/0!</v>
      </c>
      <c r="AW30" s="19">
        <f t="shared" si="68"/>
        <v>0</v>
      </c>
      <c r="AX30" s="19" t="e">
        <f t="shared" si="69"/>
        <v>#DIV/0!</v>
      </c>
      <c r="AY30" s="19">
        <f t="shared" si="70"/>
        <v>0</v>
      </c>
      <c r="AZ30" s="19" t="e">
        <f t="shared" si="71"/>
        <v>#DIV/0!</v>
      </c>
      <c r="BA30" s="19">
        <f t="shared" si="72"/>
        <v>0</v>
      </c>
      <c r="BB30" s="19" t="e">
        <f t="shared" si="73"/>
        <v>#DIV/0!</v>
      </c>
      <c r="BC30" s="19">
        <f t="shared" si="74"/>
        <v>0</v>
      </c>
      <c r="BD30" s="19" t="e">
        <f t="shared" si="75"/>
        <v>#DIV/0!</v>
      </c>
    </row>
    <row r="31" spans="1:56">
      <c r="A31" s="17">
        <v>5</v>
      </c>
      <c r="B31" s="18" t="s">
        <v>26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6"/>
      <c r="P31" s="17">
        <v>5</v>
      </c>
      <c r="Q31" s="18" t="s">
        <v>26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E31" s="17">
        <v>5</v>
      </c>
      <c r="AF31" s="18" t="s">
        <v>26</v>
      </c>
      <c r="AG31" s="19">
        <f t="shared" si="52"/>
        <v>0</v>
      </c>
      <c r="AH31" s="19" t="e">
        <f t="shared" si="53"/>
        <v>#DIV/0!</v>
      </c>
      <c r="AI31" s="19">
        <f t="shared" si="54"/>
        <v>0</v>
      </c>
      <c r="AJ31" s="19" t="e">
        <f t="shared" si="55"/>
        <v>#DIV/0!</v>
      </c>
      <c r="AK31" s="19">
        <f t="shared" si="56"/>
        <v>0</v>
      </c>
      <c r="AL31" s="19" t="e">
        <f t="shared" si="57"/>
        <v>#DIV/0!</v>
      </c>
      <c r="AM31" s="19">
        <f t="shared" si="58"/>
        <v>0</v>
      </c>
      <c r="AN31" s="19" t="e">
        <f t="shared" si="59"/>
        <v>#DIV/0!</v>
      </c>
      <c r="AO31" s="19">
        <f t="shared" si="60"/>
        <v>0</v>
      </c>
      <c r="AP31" s="19" t="e">
        <f t="shared" si="61"/>
        <v>#DIV/0!</v>
      </c>
      <c r="AQ31" s="19">
        <f t="shared" si="62"/>
        <v>0</v>
      </c>
      <c r="AR31" s="19" t="e">
        <f t="shared" si="63"/>
        <v>#DIV/0!</v>
      </c>
      <c r="AS31" s="19">
        <f t="shared" si="64"/>
        <v>0</v>
      </c>
      <c r="AT31" s="19" t="e">
        <f t="shared" si="65"/>
        <v>#DIV/0!</v>
      </c>
      <c r="AU31" s="19">
        <f t="shared" si="66"/>
        <v>0</v>
      </c>
      <c r="AV31" s="19" t="e">
        <f t="shared" si="67"/>
        <v>#DIV/0!</v>
      </c>
      <c r="AW31" s="19">
        <f t="shared" si="68"/>
        <v>0</v>
      </c>
      <c r="AX31" s="19" t="e">
        <f t="shared" si="69"/>
        <v>#DIV/0!</v>
      </c>
      <c r="AY31" s="19">
        <f t="shared" si="70"/>
        <v>0</v>
      </c>
      <c r="AZ31" s="19" t="e">
        <f t="shared" si="71"/>
        <v>#DIV/0!</v>
      </c>
      <c r="BA31" s="19">
        <f t="shared" si="72"/>
        <v>0</v>
      </c>
      <c r="BB31" s="19" t="e">
        <f t="shared" si="73"/>
        <v>#DIV/0!</v>
      </c>
      <c r="BC31" s="19">
        <f t="shared" si="74"/>
        <v>0</v>
      </c>
      <c r="BD31" s="19" t="e">
        <f t="shared" si="75"/>
        <v>#DIV/0!</v>
      </c>
    </row>
    <row r="32" spans="1:56">
      <c r="A32" s="17">
        <v>6</v>
      </c>
      <c r="B32" s="18" t="s">
        <v>28</v>
      </c>
      <c r="C32" s="19">
        <v>13661307</v>
      </c>
      <c r="D32" s="19">
        <v>13661307</v>
      </c>
      <c r="E32" s="19">
        <v>13661307</v>
      </c>
      <c r="F32" s="19"/>
      <c r="G32" s="19"/>
      <c r="H32" s="19"/>
      <c r="I32" s="19"/>
      <c r="J32" s="19"/>
      <c r="K32" s="19"/>
      <c r="L32" s="19">
        <v>7908423</v>
      </c>
      <c r="M32" s="19"/>
      <c r="N32" s="19"/>
      <c r="O32" s="26"/>
      <c r="P32" s="17">
        <v>6</v>
      </c>
      <c r="Q32" s="18" t="s">
        <v>28</v>
      </c>
      <c r="R32" s="19">
        <v>18281250</v>
      </c>
      <c r="S32" s="19">
        <v>18281250</v>
      </c>
      <c r="T32" s="19">
        <v>18281250</v>
      </c>
      <c r="U32" s="19"/>
      <c r="V32" s="19"/>
      <c r="W32" s="19"/>
      <c r="X32" s="19"/>
      <c r="Y32" s="19"/>
      <c r="Z32" s="19"/>
      <c r="AA32" s="19">
        <v>7908423</v>
      </c>
      <c r="AB32" s="19"/>
      <c r="AC32" s="19"/>
      <c r="AE32" s="17">
        <v>6</v>
      </c>
      <c r="AF32" s="18" t="s">
        <v>28</v>
      </c>
      <c r="AG32" s="19">
        <f t="shared" si="52"/>
        <v>-4619943</v>
      </c>
      <c r="AH32" s="19">
        <f t="shared" si="53"/>
        <v>-33.817723296899779</v>
      </c>
      <c r="AI32" s="19">
        <f t="shared" si="54"/>
        <v>-4619943</v>
      </c>
      <c r="AJ32" s="19">
        <f t="shared" si="55"/>
        <v>-33.817723296899779</v>
      </c>
      <c r="AK32" s="19">
        <f t="shared" si="56"/>
        <v>-4619943</v>
      </c>
      <c r="AL32" s="19">
        <f t="shared" si="57"/>
        <v>-33.817723296899779</v>
      </c>
      <c r="AM32" s="19">
        <f t="shared" si="58"/>
        <v>0</v>
      </c>
      <c r="AN32" s="19" t="e">
        <f t="shared" si="59"/>
        <v>#DIV/0!</v>
      </c>
      <c r="AO32" s="19">
        <f t="shared" si="60"/>
        <v>0</v>
      </c>
      <c r="AP32" s="19" t="e">
        <f t="shared" si="61"/>
        <v>#DIV/0!</v>
      </c>
      <c r="AQ32" s="19">
        <f t="shared" si="62"/>
        <v>0</v>
      </c>
      <c r="AR32" s="19" t="e">
        <f t="shared" si="63"/>
        <v>#DIV/0!</v>
      </c>
      <c r="AS32" s="19">
        <f t="shared" si="64"/>
        <v>0</v>
      </c>
      <c r="AT32" s="19" t="e">
        <f t="shared" si="65"/>
        <v>#DIV/0!</v>
      </c>
      <c r="AU32" s="19">
        <f t="shared" si="66"/>
        <v>0</v>
      </c>
      <c r="AV32" s="19" t="e">
        <f t="shared" si="67"/>
        <v>#DIV/0!</v>
      </c>
      <c r="AW32" s="19">
        <f t="shared" si="68"/>
        <v>0</v>
      </c>
      <c r="AX32" s="19" t="e">
        <f t="shared" si="69"/>
        <v>#DIV/0!</v>
      </c>
      <c r="AY32" s="19">
        <f t="shared" si="70"/>
        <v>0</v>
      </c>
      <c r="AZ32" s="19">
        <f t="shared" si="71"/>
        <v>0</v>
      </c>
      <c r="BA32" s="19">
        <f t="shared" si="72"/>
        <v>0</v>
      </c>
      <c r="BB32" s="19" t="e">
        <f t="shared" si="73"/>
        <v>#DIV/0!</v>
      </c>
      <c r="BC32" s="19">
        <f t="shared" si="74"/>
        <v>0</v>
      </c>
      <c r="BD32" s="19" t="e">
        <f t="shared" si="75"/>
        <v>#DIV/0!</v>
      </c>
    </row>
    <row r="33" spans="1:56">
      <c r="A33" s="17">
        <v>7</v>
      </c>
      <c r="B33" s="18" t="s">
        <v>30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6"/>
      <c r="P33" s="17">
        <v>7</v>
      </c>
      <c r="Q33" s="18" t="s">
        <v>30</v>
      </c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E33" s="17">
        <v>7</v>
      </c>
      <c r="AF33" s="18" t="s">
        <v>30</v>
      </c>
      <c r="AG33" s="19">
        <f t="shared" si="52"/>
        <v>0</v>
      </c>
      <c r="AH33" s="19" t="e">
        <f t="shared" si="53"/>
        <v>#DIV/0!</v>
      </c>
      <c r="AI33" s="19">
        <f t="shared" si="54"/>
        <v>0</v>
      </c>
      <c r="AJ33" s="19" t="e">
        <f t="shared" si="55"/>
        <v>#DIV/0!</v>
      </c>
      <c r="AK33" s="19">
        <f t="shared" si="56"/>
        <v>0</v>
      </c>
      <c r="AL33" s="19" t="e">
        <f t="shared" si="57"/>
        <v>#DIV/0!</v>
      </c>
      <c r="AM33" s="19">
        <f t="shared" si="58"/>
        <v>0</v>
      </c>
      <c r="AN33" s="19" t="e">
        <f t="shared" si="59"/>
        <v>#DIV/0!</v>
      </c>
      <c r="AO33" s="19">
        <f t="shared" si="60"/>
        <v>0</v>
      </c>
      <c r="AP33" s="19" t="e">
        <f t="shared" si="61"/>
        <v>#DIV/0!</v>
      </c>
      <c r="AQ33" s="19">
        <f t="shared" si="62"/>
        <v>0</v>
      </c>
      <c r="AR33" s="19" t="e">
        <f t="shared" si="63"/>
        <v>#DIV/0!</v>
      </c>
      <c r="AS33" s="19">
        <f t="shared" si="64"/>
        <v>0</v>
      </c>
      <c r="AT33" s="19" t="e">
        <f t="shared" si="65"/>
        <v>#DIV/0!</v>
      </c>
      <c r="AU33" s="19">
        <f t="shared" si="66"/>
        <v>0</v>
      </c>
      <c r="AV33" s="19" t="e">
        <f t="shared" si="67"/>
        <v>#DIV/0!</v>
      </c>
      <c r="AW33" s="19">
        <f t="shared" si="68"/>
        <v>0</v>
      </c>
      <c r="AX33" s="19" t="e">
        <f t="shared" si="69"/>
        <v>#DIV/0!</v>
      </c>
      <c r="AY33" s="19">
        <f t="shared" si="70"/>
        <v>0</v>
      </c>
      <c r="AZ33" s="19" t="e">
        <f t="shared" si="71"/>
        <v>#DIV/0!</v>
      </c>
      <c r="BA33" s="19">
        <f t="shared" si="72"/>
        <v>0</v>
      </c>
      <c r="BB33" s="19" t="e">
        <f t="shared" si="73"/>
        <v>#DIV/0!</v>
      </c>
      <c r="BC33" s="19">
        <f t="shared" si="74"/>
        <v>0</v>
      </c>
      <c r="BD33" s="19" t="e">
        <f t="shared" si="75"/>
        <v>#DIV/0!</v>
      </c>
    </row>
    <row r="34" spans="1:56">
      <c r="A34" s="17">
        <v>8</v>
      </c>
      <c r="B34" s="18" t="s">
        <v>32</v>
      </c>
      <c r="C34" s="19"/>
      <c r="D34" s="19"/>
      <c r="E34" s="19"/>
      <c r="F34" s="19"/>
      <c r="G34" s="19"/>
      <c r="H34" s="19"/>
      <c r="I34" s="19"/>
      <c r="J34" s="19"/>
      <c r="K34" s="19"/>
      <c r="L34" s="19">
        <v>18280</v>
      </c>
      <c r="M34" s="19"/>
      <c r="N34" s="19"/>
      <c r="O34" s="26"/>
      <c r="P34" s="17">
        <v>8</v>
      </c>
      <c r="Q34" s="18" t="s">
        <v>32</v>
      </c>
      <c r="R34" s="19">
        <v>16540</v>
      </c>
      <c r="S34" s="19">
        <v>16540</v>
      </c>
      <c r="T34" s="19">
        <v>16540</v>
      </c>
      <c r="U34" s="19"/>
      <c r="V34" s="19"/>
      <c r="W34" s="19"/>
      <c r="X34" s="19"/>
      <c r="Y34" s="19"/>
      <c r="Z34" s="19"/>
      <c r="AA34" s="19">
        <v>18280</v>
      </c>
      <c r="AB34" s="19"/>
      <c r="AC34" s="19"/>
      <c r="AE34" s="17">
        <v>8</v>
      </c>
      <c r="AF34" s="18" t="s">
        <v>32</v>
      </c>
      <c r="AG34" s="19">
        <f t="shared" si="52"/>
        <v>-16540</v>
      </c>
      <c r="AH34" s="19" t="e">
        <f t="shared" si="53"/>
        <v>#DIV/0!</v>
      </c>
      <c r="AI34" s="19">
        <f t="shared" si="54"/>
        <v>-16540</v>
      </c>
      <c r="AJ34" s="19" t="e">
        <f t="shared" si="55"/>
        <v>#DIV/0!</v>
      </c>
      <c r="AK34" s="19">
        <f t="shared" si="56"/>
        <v>-16540</v>
      </c>
      <c r="AL34" s="19" t="e">
        <f t="shared" si="57"/>
        <v>#DIV/0!</v>
      </c>
      <c r="AM34" s="19">
        <f t="shared" si="58"/>
        <v>0</v>
      </c>
      <c r="AN34" s="19" t="e">
        <f t="shared" si="59"/>
        <v>#DIV/0!</v>
      </c>
      <c r="AO34" s="19">
        <f t="shared" si="60"/>
        <v>0</v>
      </c>
      <c r="AP34" s="19" t="e">
        <f t="shared" si="61"/>
        <v>#DIV/0!</v>
      </c>
      <c r="AQ34" s="19">
        <f t="shared" si="62"/>
        <v>0</v>
      </c>
      <c r="AR34" s="19" t="e">
        <f t="shared" si="63"/>
        <v>#DIV/0!</v>
      </c>
      <c r="AS34" s="19">
        <f t="shared" si="64"/>
        <v>0</v>
      </c>
      <c r="AT34" s="19" t="e">
        <f t="shared" si="65"/>
        <v>#DIV/0!</v>
      </c>
      <c r="AU34" s="19">
        <f t="shared" si="66"/>
        <v>0</v>
      </c>
      <c r="AV34" s="19" t="e">
        <f t="shared" si="67"/>
        <v>#DIV/0!</v>
      </c>
      <c r="AW34" s="19">
        <f t="shared" si="68"/>
        <v>0</v>
      </c>
      <c r="AX34" s="19" t="e">
        <f t="shared" si="69"/>
        <v>#DIV/0!</v>
      </c>
      <c r="AY34" s="19">
        <f t="shared" si="70"/>
        <v>0</v>
      </c>
      <c r="AZ34" s="19">
        <f t="shared" si="71"/>
        <v>0</v>
      </c>
      <c r="BA34" s="19">
        <f t="shared" si="72"/>
        <v>0</v>
      </c>
      <c r="BB34" s="19" t="e">
        <f t="shared" si="73"/>
        <v>#DIV/0!</v>
      </c>
      <c r="BC34" s="19">
        <f t="shared" si="74"/>
        <v>0</v>
      </c>
      <c r="BD34" s="19" t="e">
        <f t="shared" si="75"/>
        <v>#DIV/0!</v>
      </c>
    </row>
    <row r="35" spans="1:56">
      <c r="A35" s="17">
        <v>9</v>
      </c>
      <c r="B35" s="18" t="s">
        <v>34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6"/>
      <c r="P35" s="17">
        <v>9</v>
      </c>
      <c r="Q35" s="18" t="s">
        <v>34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E35" s="17">
        <v>9</v>
      </c>
      <c r="AF35" s="18" t="s">
        <v>34</v>
      </c>
      <c r="AG35" s="19">
        <f t="shared" si="52"/>
        <v>0</v>
      </c>
      <c r="AH35" s="19" t="e">
        <f t="shared" si="53"/>
        <v>#DIV/0!</v>
      </c>
      <c r="AI35" s="19">
        <f t="shared" si="54"/>
        <v>0</v>
      </c>
      <c r="AJ35" s="19" t="e">
        <f t="shared" si="55"/>
        <v>#DIV/0!</v>
      </c>
      <c r="AK35" s="19">
        <f t="shared" si="56"/>
        <v>0</v>
      </c>
      <c r="AL35" s="19" t="e">
        <f t="shared" si="57"/>
        <v>#DIV/0!</v>
      </c>
      <c r="AM35" s="19">
        <f t="shared" si="58"/>
        <v>0</v>
      </c>
      <c r="AN35" s="19" t="e">
        <f t="shared" si="59"/>
        <v>#DIV/0!</v>
      </c>
      <c r="AO35" s="19">
        <f t="shared" si="60"/>
        <v>0</v>
      </c>
      <c r="AP35" s="19" t="e">
        <f t="shared" si="61"/>
        <v>#DIV/0!</v>
      </c>
      <c r="AQ35" s="19">
        <f t="shared" si="62"/>
        <v>0</v>
      </c>
      <c r="AR35" s="19" t="e">
        <f t="shared" si="63"/>
        <v>#DIV/0!</v>
      </c>
      <c r="AS35" s="19">
        <f t="shared" si="64"/>
        <v>0</v>
      </c>
      <c r="AT35" s="19" t="e">
        <f t="shared" si="65"/>
        <v>#DIV/0!</v>
      </c>
      <c r="AU35" s="19">
        <f t="shared" si="66"/>
        <v>0</v>
      </c>
      <c r="AV35" s="19" t="e">
        <f t="shared" si="67"/>
        <v>#DIV/0!</v>
      </c>
      <c r="AW35" s="19">
        <f t="shared" si="68"/>
        <v>0</v>
      </c>
      <c r="AX35" s="19" t="e">
        <f t="shared" si="69"/>
        <v>#DIV/0!</v>
      </c>
      <c r="AY35" s="19">
        <f t="shared" si="70"/>
        <v>0</v>
      </c>
      <c r="AZ35" s="19" t="e">
        <f t="shared" si="71"/>
        <v>#DIV/0!</v>
      </c>
      <c r="BA35" s="19">
        <f t="shared" si="72"/>
        <v>0</v>
      </c>
      <c r="BB35" s="19" t="e">
        <f t="shared" si="73"/>
        <v>#DIV/0!</v>
      </c>
      <c r="BC35" s="19">
        <f t="shared" si="74"/>
        <v>0</v>
      </c>
      <c r="BD35" s="19" t="e">
        <f t="shared" si="75"/>
        <v>#DIV/0!</v>
      </c>
    </row>
    <row r="36" spans="1:56">
      <c r="A36" s="17">
        <v>10</v>
      </c>
      <c r="B36" s="18" t="s">
        <v>36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6"/>
      <c r="P36" s="17">
        <v>10</v>
      </c>
      <c r="Q36" s="18" t="s">
        <v>36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E36" s="17">
        <v>10</v>
      </c>
      <c r="AF36" s="18" t="s">
        <v>36</v>
      </c>
      <c r="AG36" s="19">
        <f t="shared" si="52"/>
        <v>0</v>
      </c>
      <c r="AH36" s="19" t="e">
        <f t="shared" si="53"/>
        <v>#DIV/0!</v>
      </c>
      <c r="AI36" s="19">
        <f t="shared" si="54"/>
        <v>0</v>
      </c>
      <c r="AJ36" s="19" t="e">
        <f t="shared" si="55"/>
        <v>#DIV/0!</v>
      </c>
      <c r="AK36" s="19">
        <f t="shared" si="56"/>
        <v>0</v>
      </c>
      <c r="AL36" s="19" t="e">
        <f t="shared" si="57"/>
        <v>#DIV/0!</v>
      </c>
      <c r="AM36" s="19">
        <f t="shared" si="58"/>
        <v>0</v>
      </c>
      <c r="AN36" s="19" t="e">
        <f t="shared" si="59"/>
        <v>#DIV/0!</v>
      </c>
      <c r="AO36" s="19">
        <f t="shared" si="60"/>
        <v>0</v>
      </c>
      <c r="AP36" s="19" t="e">
        <f t="shared" si="61"/>
        <v>#DIV/0!</v>
      </c>
      <c r="AQ36" s="19">
        <f t="shared" si="62"/>
        <v>0</v>
      </c>
      <c r="AR36" s="19" t="e">
        <f t="shared" si="63"/>
        <v>#DIV/0!</v>
      </c>
      <c r="AS36" s="19">
        <f t="shared" si="64"/>
        <v>0</v>
      </c>
      <c r="AT36" s="19" t="e">
        <f t="shared" si="65"/>
        <v>#DIV/0!</v>
      </c>
      <c r="AU36" s="19">
        <f t="shared" si="66"/>
        <v>0</v>
      </c>
      <c r="AV36" s="19" t="e">
        <f t="shared" si="67"/>
        <v>#DIV/0!</v>
      </c>
      <c r="AW36" s="19">
        <f t="shared" si="68"/>
        <v>0</v>
      </c>
      <c r="AX36" s="19" t="e">
        <f t="shared" si="69"/>
        <v>#DIV/0!</v>
      </c>
      <c r="AY36" s="19">
        <f t="shared" si="70"/>
        <v>0</v>
      </c>
      <c r="AZ36" s="19" t="e">
        <f t="shared" si="71"/>
        <v>#DIV/0!</v>
      </c>
      <c r="BA36" s="19">
        <f t="shared" si="72"/>
        <v>0</v>
      </c>
      <c r="BB36" s="19" t="e">
        <f t="shared" si="73"/>
        <v>#DIV/0!</v>
      </c>
      <c r="BC36" s="19">
        <f t="shared" si="74"/>
        <v>0</v>
      </c>
      <c r="BD36" s="19" t="e">
        <f t="shared" si="75"/>
        <v>#DIV/0!</v>
      </c>
    </row>
    <row r="37" spans="1:56">
      <c r="A37" s="17">
        <v>11</v>
      </c>
      <c r="B37" s="18" t="s">
        <v>38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6"/>
      <c r="P37" s="17">
        <v>11</v>
      </c>
      <c r="Q37" s="18" t="s">
        <v>38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E37" s="17">
        <v>11</v>
      </c>
      <c r="AF37" s="18" t="s">
        <v>38</v>
      </c>
      <c r="AG37" s="19">
        <f t="shared" si="52"/>
        <v>0</v>
      </c>
      <c r="AH37" s="19" t="e">
        <f t="shared" si="53"/>
        <v>#DIV/0!</v>
      </c>
      <c r="AI37" s="19">
        <f t="shared" si="54"/>
        <v>0</v>
      </c>
      <c r="AJ37" s="19" t="e">
        <f t="shared" si="55"/>
        <v>#DIV/0!</v>
      </c>
      <c r="AK37" s="19">
        <f t="shared" si="56"/>
        <v>0</v>
      </c>
      <c r="AL37" s="19" t="e">
        <f t="shared" si="57"/>
        <v>#DIV/0!</v>
      </c>
      <c r="AM37" s="19">
        <f t="shared" si="58"/>
        <v>0</v>
      </c>
      <c r="AN37" s="19" t="e">
        <f t="shared" si="59"/>
        <v>#DIV/0!</v>
      </c>
      <c r="AO37" s="19">
        <f t="shared" si="60"/>
        <v>0</v>
      </c>
      <c r="AP37" s="19" t="e">
        <f t="shared" si="61"/>
        <v>#DIV/0!</v>
      </c>
      <c r="AQ37" s="19">
        <f t="shared" si="62"/>
        <v>0</v>
      </c>
      <c r="AR37" s="19" t="e">
        <f t="shared" si="63"/>
        <v>#DIV/0!</v>
      </c>
      <c r="AS37" s="19">
        <f t="shared" si="64"/>
        <v>0</v>
      </c>
      <c r="AT37" s="19" t="e">
        <f t="shared" si="65"/>
        <v>#DIV/0!</v>
      </c>
      <c r="AU37" s="19">
        <f t="shared" si="66"/>
        <v>0</v>
      </c>
      <c r="AV37" s="19" t="e">
        <f t="shared" si="67"/>
        <v>#DIV/0!</v>
      </c>
      <c r="AW37" s="19">
        <f t="shared" si="68"/>
        <v>0</v>
      </c>
      <c r="AX37" s="19" t="e">
        <f t="shared" si="69"/>
        <v>#DIV/0!</v>
      </c>
      <c r="AY37" s="19">
        <f t="shared" si="70"/>
        <v>0</v>
      </c>
      <c r="AZ37" s="19" t="e">
        <f t="shared" si="71"/>
        <v>#DIV/0!</v>
      </c>
      <c r="BA37" s="19">
        <f t="shared" si="72"/>
        <v>0</v>
      </c>
      <c r="BB37" s="19" t="e">
        <f t="shared" si="73"/>
        <v>#DIV/0!</v>
      </c>
      <c r="BC37" s="19">
        <f t="shared" si="74"/>
        <v>0</v>
      </c>
      <c r="BD37" s="19" t="e">
        <f t="shared" si="75"/>
        <v>#DIV/0!</v>
      </c>
    </row>
    <row r="38" spans="1:56">
      <c r="A38" s="17">
        <v>12</v>
      </c>
      <c r="B38" s="18" t="s">
        <v>40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6"/>
      <c r="P38" s="17">
        <v>12</v>
      </c>
      <c r="Q38" s="18" t="s">
        <v>40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E38" s="17">
        <v>12</v>
      </c>
      <c r="AF38" s="18" t="s">
        <v>40</v>
      </c>
      <c r="AG38" s="19">
        <f t="shared" si="52"/>
        <v>0</v>
      </c>
      <c r="AH38" s="19" t="e">
        <f t="shared" si="53"/>
        <v>#DIV/0!</v>
      </c>
      <c r="AI38" s="19">
        <f t="shared" si="54"/>
        <v>0</v>
      </c>
      <c r="AJ38" s="19" t="e">
        <f t="shared" si="55"/>
        <v>#DIV/0!</v>
      </c>
      <c r="AK38" s="19">
        <f t="shared" si="56"/>
        <v>0</v>
      </c>
      <c r="AL38" s="19" t="e">
        <f t="shared" si="57"/>
        <v>#DIV/0!</v>
      </c>
      <c r="AM38" s="19">
        <f t="shared" si="58"/>
        <v>0</v>
      </c>
      <c r="AN38" s="19" t="e">
        <f t="shared" si="59"/>
        <v>#DIV/0!</v>
      </c>
      <c r="AO38" s="19">
        <f t="shared" si="60"/>
        <v>0</v>
      </c>
      <c r="AP38" s="19" t="e">
        <f t="shared" si="61"/>
        <v>#DIV/0!</v>
      </c>
      <c r="AQ38" s="19">
        <f t="shared" si="62"/>
        <v>0</v>
      </c>
      <c r="AR38" s="19" t="e">
        <f t="shared" si="63"/>
        <v>#DIV/0!</v>
      </c>
      <c r="AS38" s="19">
        <f t="shared" si="64"/>
        <v>0</v>
      </c>
      <c r="AT38" s="19" t="e">
        <f t="shared" si="65"/>
        <v>#DIV/0!</v>
      </c>
      <c r="AU38" s="19">
        <f t="shared" si="66"/>
        <v>0</v>
      </c>
      <c r="AV38" s="19" t="e">
        <f t="shared" si="67"/>
        <v>#DIV/0!</v>
      </c>
      <c r="AW38" s="19">
        <f t="shared" si="68"/>
        <v>0</v>
      </c>
      <c r="AX38" s="19" t="e">
        <f t="shared" si="69"/>
        <v>#DIV/0!</v>
      </c>
      <c r="AY38" s="19">
        <f t="shared" si="70"/>
        <v>0</v>
      </c>
      <c r="AZ38" s="19" t="e">
        <f t="shared" si="71"/>
        <v>#DIV/0!</v>
      </c>
      <c r="BA38" s="19">
        <f t="shared" si="72"/>
        <v>0</v>
      </c>
      <c r="BB38" s="19" t="e">
        <f t="shared" si="73"/>
        <v>#DIV/0!</v>
      </c>
      <c r="BC38" s="19">
        <f t="shared" si="74"/>
        <v>0</v>
      </c>
      <c r="BD38" s="19" t="e">
        <f t="shared" si="75"/>
        <v>#DIV/0!</v>
      </c>
    </row>
    <row r="39" spans="1:56">
      <c r="A39" s="17">
        <v>13</v>
      </c>
      <c r="B39" s="18" t="s">
        <v>42</v>
      </c>
      <c r="C39" s="19"/>
      <c r="D39" s="19"/>
      <c r="E39" s="19"/>
      <c r="F39" s="19"/>
      <c r="G39" s="19"/>
      <c r="H39" s="19"/>
      <c r="I39" s="19"/>
      <c r="J39" s="19"/>
      <c r="K39" s="19"/>
      <c r="L39" s="19">
        <v>172860</v>
      </c>
      <c r="M39" s="19"/>
      <c r="N39" s="19"/>
      <c r="O39" s="26"/>
      <c r="P39" s="17">
        <v>13</v>
      </c>
      <c r="Q39" s="18" t="s">
        <v>42</v>
      </c>
      <c r="R39" s="19">
        <v>10188.75</v>
      </c>
      <c r="S39" s="19">
        <v>10188.75</v>
      </c>
      <c r="T39" s="19">
        <v>10188.75</v>
      </c>
      <c r="U39" s="19"/>
      <c r="V39" s="19"/>
      <c r="W39" s="19"/>
      <c r="X39" s="19"/>
      <c r="Y39" s="19"/>
      <c r="Z39" s="19"/>
      <c r="AA39" s="19">
        <v>172860</v>
      </c>
      <c r="AB39" s="19"/>
      <c r="AC39" s="19"/>
      <c r="AE39" s="17">
        <v>13</v>
      </c>
      <c r="AF39" s="18" t="s">
        <v>42</v>
      </c>
      <c r="AG39" s="19">
        <f t="shared" si="52"/>
        <v>-10188.75</v>
      </c>
      <c r="AH39" s="19" t="e">
        <f t="shared" si="53"/>
        <v>#DIV/0!</v>
      </c>
      <c r="AI39" s="19">
        <f t="shared" si="54"/>
        <v>-10188.75</v>
      </c>
      <c r="AJ39" s="19" t="e">
        <f t="shared" si="55"/>
        <v>#DIV/0!</v>
      </c>
      <c r="AK39" s="19">
        <f t="shared" si="56"/>
        <v>-10188.75</v>
      </c>
      <c r="AL39" s="19" t="e">
        <f t="shared" si="57"/>
        <v>#DIV/0!</v>
      </c>
      <c r="AM39" s="19">
        <f t="shared" si="58"/>
        <v>0</v>
      </c>
      <c r="AN39" s="19" t="e">
        <f t="shared" si="59"/>
        <v>#DIV/0!</v>
      </c>
      <c r="AO39" s="19">
        <f t="shared" si="60"/>
        <v>0</v>
      </c>
      <c r="AP39" s="19" t="e">
        <f t="shared" si="61"/>
        <v>#DIV/0!</v>
      </c>
      <c r="AQ39" s="19">
        <f t="shared" si="62"/>
        <v>0</v>
      </c>
      <c r="AR39" s="19" t="e">
        <f t="shared" si="63"/>
        <v>#DIV/0!</v>
      </c>
      <c r="AS39" s="19">
        <f t="shared" si="64"/>
        <v>0</v>
      </c>
      <c r="AT39" s="19" t="e">
        <f t="shared" si="65"/>
        <v>#DIV/0!</v>
      </c>
      <c r="AU39" s="19">
        <f t="shared" si="66"/>
        <v>0</v>
      </c>
      <c r="AV39" s="19" t="e">
        <f t="shared" si="67"/>
        <v>#DIV/0!</v>
      </c>
      <c r="AW39" s="19">
        <f t="shared" si="68"/>
        <v>0</v>
      </c>
      <c r="AX39" s="19" t="e">
        <f t="shared" si="69"/>
        <v>#DIV/0!</v>
      </c>
      <c r="AY39" s="19">
        <f t="shared" si="70"/>
        <v>0</v>
      </c>
      <c r="AZ39" s="19">
        <f t="shared" si="71"/>
        <v>0</v>
      </c>
      <c r="BA39" s="19">
        <f t="shared" si="72"/>
        <v>0</v>
      </c>
      <c r="BB39" s="19" t="e">
        <f t="shared" si="73"/>
        <v>#DIV/0!</v>
      </c>
      <c r="BC39" s="19">
        <f t="shared" si="74"/>
        <v>0</v>
      </c>
      <c r="BD39" s="19" t="e">
        <f t="shared" si="75"/>
        <v>#DIV/0!</v>
      </c>
    </row>
    <row r="40" spans="1:56">
      <c r="A40" s="17">
        <v>14</v>
      </c>
      <c r="B40" s="18" t="s">
        <v>44</v>
      </c>
      <c r="C40" s="19"/>
      <c r="D40" s="19"/>
      <c r="E40" s="19"/>
      <c r="F40" s="19"/>
      <c r="G40" s="19"/>
      <c r="H40" s="19"/>
      <c r="I40" s="19"/>
      <c r="J40" s="19"/>
      <c r="K40" s="19"/>
      <c r="L40" s="19">
        <v>21400</v>
      </c>
      <c r="M40" s="19"/>
      <c r="N40" s="19"/>
      <c r="O40" s="26"/>
      <c r="P40" s="17">
        <v>14</v>
      </c>
      <c r="Q40" s="18" t="s">
        <v>44</v>
      </c>
      <c r="R40" s="19"/>
      <c r="S40" s="19"/>
      <c r="T40" s="19"/>
      <c r="U40" s="19"/>
      <c r="V40" s="19"/>
      <c r="W40" s="19"/>
      <c r="X40" s="19"/>
      <c r="Y40" s="19"/>
      <c r="Z40" s="19"/>
      <c r="AA40" s="19">
        <v>21400</v>
      </c>
      <c r="AB40" s="19"/>
      <c r="AC40" s="19"/>
      <c r="AE40" s="17">
        <v>14</v>
      </c>
      <c r="AF40" s="18" t="s">
        <v>44</v>
      </c>
      <c r="AG40" s="19">
        <f t="shared" si="52"/>
        <v>0</v>
      </c>
      <c r="AH40" s="19" t="e">
        <f t="shared" si="53"/>
        <v>#DIV/0!</v>
      </c>
      <c r="AI40" s="19">
        <f t="shared" si="54"/>
        <v>0</v>
      </c>
      <c r="AJ40" s="19" t="e">
        <f t="shared" si="55"/>
        <v>#DIV/0!</v>
      </c>
      <c r="AK40" s="19">
        <f t="shared" si="56"/>
        <v>0</v>
      </c>
      <c r="AL40" s="19" t="e">
        <f t="shared" si="57"/>
        <v>#DIV/0!</v>
      </c>
      <c r="AM40" s="19">
        <f t="shared" si="58"/>
        <v>0</v>
      </c>
      <c r="AN40" s="19" t="e">
        <f t="shared" si="59"/>
        <v>#DIV/0!</v>
      </c>
      <c r="AO40" s="19">
        <f t="shared" si="60"/>
        <v>0</v>
      </c>
      <c r="AP40" s="19" t="e">
        <f t="shared" si="61"/>
        <v>#DIV/0!</v>
      </c>
      <c r="AQ40" s="19">
        <f t="shared" si="62"/>
        <v>0</v>
      </c>
      <c r="AR40" s="19" t="e">
        <f t="shared" si="63"/>
        <v>#DIV/0!</v>
      </c>
      <c r="AS40" s="19">
        <f t="shared" si="64"/>
        <v>0</v>
      </c>
      <c r="AT40" s="19" t="e">
        <f t="shared" si="65"/>
        <v>#DIV/0!</v>
      </c>
      <c r="AU40" s="19">
        <f t="shared" si="66"/>
        <v>0</v>
      </c>
      <c r="AV40" s="19" t="e">
        <f t="shared" si="67"/>
        <v>#DIV/0!</v>
      </c>
      <c r="AW40" s="19">
        <f t="shared" si="68"/>
        <v>0</v>
      </c>
      <c r="AX40" s="19" t="e">
        <f t="shared" si="69"/>
        <v>#DIV/0!</v>
      </c>
      <c r="AY40" s="19">
        <f t="shared" si="70"/>
        <v>0</v>
      </c>
      <c r="AZ40" s="19">
        <f t="shared" si="71"/>
        <v>0</v>
      </c>
      <c r="BA40" s="19">
        <f t="shared" si="72"/>
        <v>0</v>
      </c>
      <c r="BB40" s="19" t="e">
        <f t="shared" si="73"/>
        <v>#DIV/0!</v>
      </c>
      <c r="BC40" s="19">
        <f t="shared" si="74"/>
        <v>0</v>
      </c>
      <c r="BD40" s="19" t="e">
        <f t="shared" si="75"/>
        <v>#DIV/0!</v>
      </c>
    </row>
    <row r="41" spans="1:56" ht="25.2" thickBot="1">
      <c r="A41" s="17"/>
      <c r="B41" s="20" t="s">
        <v>17</v>
      </c>
      <c r="C41" s="27">
        <f>SUM(C27:C40)</f>
        <v>13661307</v>
      </c>
      <c r="D41" s="27">
        <f t="shared" ref="D41:N41" si="76">SUM(D27:D40)</f>
        <v>13661307</v>
      </c>
      <c r="E41" s="27">
        <f t="shared" si="76"/>
        <v>13661307</v>
      </c>
      <c r="F41" s="27">
        <f t="shared" si="76"/>
        <v>0</v>
      </c>
      <c r="G41" s="27">
        <f t="shared" si="76"/>
        <v>0</v>
      </c>
      <c r="H41" s="27">
        <f t="shared" si="76"/>
        <v>0</v>
      </c>
      <c r="I41" s="27">
        <f t="shared" si="76"/>
        <v>0</v>
      </c>
      <c r="J41" s="27">
        <f t="shared" si="76"/>
        <v>0</v>
      </c>
      <c r="K41" s="27">
        <f t="shared" si="76"/>
        <v>0</v>
      </c>
      <c r="L41" s="27">
        <f t="shared" si="76"/>
        <v>10615233</v>
      </c>
      <c r="M41" s="27">
        <f t="shared" si="76"/>
        <v>0</v>
      </c>
      <c r="N41" s="27">
        <f t="shared" si="76"/>
        <v>0</v>
      </c>
      <c r="P41" s="17"/>
      <c r="Q41" s="20" t="s">
        <v>17</v>
      </c>
      <c r="R41" s="27">
        <f>SUM(R27:R40)</f>
        <v>19908063.75</v>
      </c>
      <c r="S41" s="27">
        <f t="shared" ref="S41:AC41" si="77">SUM(S27:S40)</f>
        <v>19908063.75</v>
      </c>
      <c r="T41" s="27">
        <f t="shared" si="77"/>
        <v>19908063.75</v>
      </c>
      <c r="U41" s="27">
        <f t="shared" si="77"/>
        <v>0</v>
      </c>
      <c r="V41" s="27">
        <f t="shared" si="77"/>
        <v>0</v>
      </c>
      <c r="W41" s="27">
        <f t="shared" si="77"/>
        <v>0</v>
      </c>
      <c r="X41" s="27">
        <f t="shared" si="77"/>
        <v>0</v>
      </c>
      <c r="Y41" s="27">
        <f t="shared" si="77"/>
        <v>0</v>
      </c>
      <c r="Z41" s="27">
        <f t="shared" si="77"/>
        <v>0</v>
      </c>
      <c r="AA41" s="27">
        <f t="shared" si="77"/>
        <v>10615233</v>
      </c>
      <c r="AB41" s="27">
        <f t="shared" si="77"/>
        <v>0</v>
      </c>
      <c r="AC41" s="27">
        <f t="shared" si="77"/>
        <v>0</v>
      </c>
      <c r="AE41" s="17"/>
      <c r="AF41" s="20" t="s">
        <v>17</v>
      </c>
      <c r="AG41" s="23">
        <f t="shared" si="52"/>
        <v>-6246756.75</v>
      </c>
      <c r="AH41" s="23">
        <f t="shared" si="53"/>
        <v>-45.725908582538992</v>
      </c>
      <c r="AI41" s="23">
        <f t="shared" si="54"/>
        <v>-6246756.75</v>
      </c>
      <c r="AJ41" s="23">
        <f t="shared" si="55"/>
        <v>-45.725908582538992</v>
      </c>
      <c r="AK41" s="23">
        <f t="shared" si="56"/>
        <v>-6246756.75</v>
      </c>
      <c r="AL41" s="23">
        <f t="shared" si="57"/>
        <v>-45.725908582538992</v>
      </c>
      <c r="AM41" s="23">
        <f t="shared" si="58"/>
        <v>0</v>
      </c>
      <c r="AN41" s="23" t="e">
        <f t="shared" si="59"/>
        <v>#DIV/0!</v>
      </c>
      <c r="AO41" s="23">
        <f t="shared" si="60"/>
        <v>0</v>
      </c>
      <c r="AP41" s="23" t="e">
        <f t="shared" si="61"/>
        <v>#DIV/0!</v>
      </c>
      <c r="AQ41" s="23">
        <f t="shared" si="62"/>
        <v>0</v>
      </c>
      <c r="AR41" s="23" t="e">
        <f t="shared" si="63"/>
        <v>#DIV/0!</v>
      </c>
      <c r="AS41" s="23">
        <f t="shared" si="64"/>
        <v>0</v>
      </c>
      <c r="AT41" s="23" t="e">
        <f t="shared" si="65"/>
        <v>#DIV/0!</v>
      </c>
      <c r="AU41" s="23">
        <f t="shared" si="66"/>
        <v>0</v>
      </c>
      <c r="AV41" s="23" t="e">
        <f t="shared" si="67"/>
        <v>#DIV/0!</v>
      </c>
      <c r="AW41" s="23">
        <f t="shared" si="68"/>
        <v>0</v>
      </c>
      <c r="AX41" s="23" t="e">
        <f t="shared" si="69"/>
        <v>#DIV/0!</v>
      </c>
      <c r="AY41" s="23">
        <f t="shared" si="70"/>
        <v>0</v>
      </c>
      <c r="AZ41" s="23">
        <f t="shared" si="71"/>
        <v>0</v>
      </c>
      <c r="BA41" s="23">
        <f t="shared" si="72"/>
        <v>0</v>
      </c>
      <c r="BB41" s="23" t="e">
        <f t="shared" si="73"/>
        <v>#DIV/0!</v>
      </c>
      <c r="BC41" s="23">
        <f t="shared" si="74"/>
        <v>0</v>
      </c>
      <c r="BD41" s="23" t="e">
        <f t="shared" si="75"/>
        <v>#DIV/0!</v>
      </c>
    </row>
    <row r="42" spans="1:56" ht="25.2" thickTop="1"/>
    <row r="43" spans="1:56">
      <c r="A43" s="37" t="s">
        <v>48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P43" s="37" t="s">
        <v>52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E43" s="37" t="s">
        <v>89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1:56">
      <c r="A44" s="37" t="s">
        <v>1949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P44" s="37" t="s">
        <v>1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E44" s="37" t="s">
        <v>1</v>
      </c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</row>
    <row r="45" spans="1:56" s="15" customFormat="1">
      <c r="A45" s="35" t="s">
        <v>2</v>
      </c>
      <c r="B45" s="35" t="s">
        <v>3</v>
      </c>
      <c r="C45" s="38" t="s">
        <v>4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P45" s="35" t="s">
        <v>2</v>
      </c>
      <c r="Q45" s="35" t="s">
        <v>3</v>
      </c>
      <c r="R45" s="38" t="s">
        <v>5</v>
      </c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40"/>
      <c r="AE45" s="35" t="s">
        <v>2</v>
      </c>
      <c r="AF45" s="35" t="s">
        <v>3</v>
      </c>
      <c r="AG45" s="33">
        <v>25112</v>
      </c>
      <c r="AH45" s="34"/>
      <c r="AI45" s="33">
        <v>25143</v>
      </c>
      <c r="AJ45" s="34"/>
      <c r="AK45" s="33">
        <v>25173</v>
      </c>
      <c r="AL45" s="34"/>
      <c r="AM45" s="33">
        <v>25204</v>
      </c>
      <c r="AN45" s="34"/>
      <c r="AO45" s="33">
        <v>25235</v>
      </c>
      <c r="AP45" s="34"/>
      <c r="AQ45" s="33">
        <v>25263</v>
      </c>
      <c r="AR45" s="34"/>
      <c r="AS45" s="33">
        <v>25294</v>
      </c>
      <c r="AT45" s="34"/>
      <c r="AU45" s="33">
        <v>25324</v>
      </c>
      <c r="AV45" s="34"/>
      <c r="AW45" s="33">
        <v>25355</v>
      </c>
      <c r="AX45" s="34"/>
      <c r="AY45" s="33">
        <v>25385</v>
      </c>
      <c r="AZ45" s="34"/>
      <c r="BA45" s="33">
        <v>25416</v>
      </c>
      <c r="BB45" s="34"/>
      <c r="BC45" s="33">
        <v>25447</v>
      </c>
      <c r="BD45" s="34"/>
    </row>
    <row r="46" spans="1:56" s="15" customFormat="1">
      <c r="A46" s="36"/>
      <c r="B46" s="36"/>
      <c r="C46" s="16">
        <v>25112</v>
      </c>
      <c r="D46" s="16">
        <v>25143</v>
      </c>
      <c r="E46" s="16">
        <v>25173</v>
      </c>
      <c r="F46" s="16">
        <v>25204</v>
      </c>
      <c r="G46" s="16">
        <v>25235</v>
      </c>
      <c r="H46" s="16">
        <v>25263</v>
      </c>
      <c r="I46" s="16">
        <v>25294</v>
      </c>
      <c r="J46" s="16">
        <v>25324</v>
      </c>
      <c r="K46" s="16">
        <v>25355</v>
      </c>
      <c r="L46" s="16">
        <v>25385</v>
      </c>
      <c r="M46" s="16">
        <v>25416</v>
      </c>
      <c r="N46" s="16">
        <v>25447</v>
      </c>
      <c r="P46" s="36"/>
      <c r="Q46" s="36"/>
      <c r="R46" s="16">
        <v>25112</v>
      </c>
      <c r="S46" s="16">
        <v>25143</v>
      </c>
      <c r="T46" s="16">
        <v>25173</v>
      </c>
      <c r="U46" s="16">
        <v>25204</v>
      </c>
      <c r="V46" s="16">
        <v>25235</v>
      </c>
      <c r="W46" s="16">
        <v>25263</v>
      </c>
      <c r="X46" s="16">
        <v>25294</v>
      </c>
      <c r="Y46" s="16">
        <v>25324</v>
      </c>
      <c r="Z46" s="16">
        <v>25355</v>
      </c>
      <c r="AA46" s="16">
        <v>25385</v>
      </c>
      <c r="AB46" s="16">
        <v>25416</v>
      </c>
      <c r="AC46" s="16">
        <v>25447</v>
      </c>
      <c r="AE46" s="36"/>
      <c r="AF46" s="36"/>
      <c r="AG46" s="16" t="s">
        <v>85</v>
      </c>
      <c r="AH46" s="16" t="s">
        <v>86</v>
      </c>
      <c r="AI46" s="16" t="s">
        <v>85</v>
      </c>
      <c r="AJ46" s="16" t="s">
        <v>86</v>
      </c>
      <c r="AK46" s="16" t="s">
        <v>85</v>
      </c>
      <c r="AL46" s="16" t="s">
        <v>86</v>
      </c>
      <c r="AM46" s="16" t="s">
        <v>85</v>
      </c>
      <c r="AN46" s="16" t="s">
        <v>86</v>
      </c>
      <c r="AO46" s="16" t="s">
        <v>85</v>
      </c>
      <c r="AP46" s="16" t="s">
        <v>86</v>
      </c>
      <c r="AQ46" s="16" t="s">
        <v>85</v>
      </c>
      <c r="AR46" s="16" t="s">
        <v>86</v>
      </c>
      <c r="AS46" s="16" t="s">
        <v>85</v>
      </c>
      <c r="AT46" s="16" t="s">
        <v>86</v>
      </c>
      <c r="AU46" s="16" t="s">
        <v>85</v>
      </c>
      <c r="AV46" s="16" t="s">
        <v>86</v>
      </c>
      <c r="AW46" s="16" t="s">
        <v>85</v>
      </c>
      <c r="AX46" s="16" t="s">
        <v>86</v>
      </c>
      <c r="AY46" s="16" t="s">
        <v>85</v>
      </c>
      <c r="AZ46" s="16" t="s">
        <v>86</v>
      </c>
      <c r="BA46" s="16" t="s">
        <v>85</v>
      </c>
      <c r="BB46" s="16" t="s">
        <v>86</v>
      </c>
      <c r="BC46" s="16" t="s">
        <v>85</v>
      </c>
      <c r="BD46" s="16" t="s">
        <v>86</v>
      </c>
    </row>
    <row r="47" spans="1:56">
      <c r="A47" s="17">
        <v>1</v>
      </c>
      <c r="B47" s="18" t="s">
        <v>19</v>
      </c>
      <c r="C47" s="19"/>
      <c r="D47" s="19"/>
      <c r="E47" s="19"/>
      <c r="F47" s="19"/>
      <c r="G47" s="18"/>
      <c r="H47" s="18"/>
      <c r="I47" s="18"/>
      <c r="J47" s="18"/>
      <c r="K47" s="18"/>
      <c r="L47" s="18"/>
      <c r="M47" s="18"/>
      <c r="N47" s="18"/>
      <c r="P47" s="17">
        <v>1</v>
      </c>
      <c r="Q47" s="18" t="s">
        <v>19</v>
      </c>
      <c r="R47" s="19">
        <v>221067</v>
      </c>
      <c r="S47" s="19">
        <v>221067</v>
      </c>
      <c r="T47" s="19">
        <v>221067</v>
      </c>
      <c r="U47" s="19"/>
      <c r="V47" s="18"/>
      <c r="W47" s="18"/>
      <c r="X47" s="18"/>
      <c r="Y47" s="18"/>
      <c r="Z47" s="18"/>
      <c r="AA47" s="18"/>
      <c r="AB47" s="18"/>
      <c r="AC47" s="18"/>
      <c r="AE47" s="17">
        <v>1</v>
      </c>
      <c r="AF47" s="18" t="s">
        <v>19</v>
      </c>
      <c r="AG47" s="19">
        <f t="shared" ref="AG47:AG61" si="78">+C47-R47</f>
        <v>-221067</v>
      </c>
      <c r="AH47" s="19" t="e">
        <f t="shared" ref="AH47:AH61" si="79">+AG47/C47*100</f>
        <v>#DIV/0!</v>
      </c>
      <c r="AI47" s="19">
        <f t="shared" ref="AI47:AI61" si="80">+D47-S47</f>
        <v>-221067</v>
      </c>
      <c r="AJ47" s="19" t="e">
        <f t="shared" ref="AJ47:AJ61" si="81">+AI47/D47*100</f>
        <v>#DIV/0!</v>
      </c>
      <c r="AK47" s="19">
        <f t="shared" ref="AK47:AK61" si="82">+E47-T47</f>
        <v>-221067</v>
      </c>
      <c r="AL47" s="19" t="e">
        <f t="shared" ref="AL47:AL61" si="83">+AK47/E47*100</f>
        <v>#DIV/0!</v>
      </c>
      <c r="AM47" s="19">
        <f t="shared" ref="AM47:AM61" si="84">+F47-U47</f>
        <v>0</v>
      </c>
      <c r="AN47" s="19" t="e">
        <f t="shared" ref="AN47:AN61" si="85">+AM47/F47*100</f>
        <v>#DIV/0!</v>
      </c>
      <c r="AO47" s="19">
        <f t="shared" ref="AO47:AO61" si="86">+G47-V47</f>
        <v>0</v>
      </c>
      <c r="AP47" s="19" t="e">
        <f t="shared" ref="AP47:AP61" si="87">+AO47/G47*100</f>
        <v>#DIV/0!</v>
      </c>
      <c r="AQ47" s="19">
        <f t="shared" ref="AQ47:AQ61" si="88">+H47-W47</f>
        <v>0</v>
      </c>
      <c r="AR47" s="19" t="e">
        <f t="shared" ref="AR47:AR61" si="89">+AQ47/H47*100</f>
        <v>#DIV/0!</v>
      </c>
      <c r="AS47" s="19">
        <f t="shared" ref="AS47:AS61" si="90">+I47-X47</f>
        <v>0</v>
      </c>
      <c r="AT47" s="19" t="e">
        <f t="shared" ref="AT47:AT61" si="91">+AS47/I47*100</f>
        <v>#DIV/0!</v>
      </c>
      <c r="AU47" s="19">
        <f t="shared" ref="AU47:AU61" si="92">+J47-Y47</f>
        <v>0</v>
      </c>
      <c r="AV47" s="19" t="e">
        <f t="shared" ref="AV47:AV61" si="93">+AU47/J47*100</f>
        <v>#DIV/0!</v>
      </c>
      <c r="AW47" s="19">
        <f t="shared" ref="AW47:AW61" si="94">+K47-Z47</f>
        <v>0</v>
      </c>
      <c r="AX47" s="19" t="e">
        <f t="shared" ref="AX47:AX61" si="95">+AW47/K47*100</f>
        <v>#DIV/0!</v>
      </c>
      <c r="AY47" s="19">
        <f t="shared" ref="AY47:AY61" si="96">+L47-AA47</f>
        <v>0</v>
      </c>
      <c r="AZ47" s="19" t="e">
        <f t="shared" ref="AZ47:AZ61" si="97">+AY47/L47*100</f>
        <v>#DIV/0!</v>
      </c>
      <c r="BA47" s="19">
        <f t="shared" ref="BA47:BA61" si="98">+M47-AB47</f>
        <v>0</v>
      </c>
      <c r="BB47" s="19" t="e">
        <f t="shared" ref="BB47:BB61" si="99">+BA47/M47*100</f>
        <v>#DIV/0!</v>
      </c>
      <c r="BC47" s="19">
        <f t="shared" ref="BC47:BC61" si="100">+N47-AC47</f>
        <v>0</v>
      </c>
      <c r="BD47" s="19" t="e">
        <f t="shared" ref="BD47:BD61" si="101">+BC47/N47*100</f>
        <v>#DIV/0!</v>
      </c>
    </row>
    <row r="48" spans="1:56">
      <c r="A48" s="17">
        <v>2</v>
      </c>
      <c r="B48" s="18" t="s">
        <v>21</v>
      </c>
      <c r="C48" s="19"/>
      <c r="D48" s="19"/>
      <c r="E48" s="19"/>
      <c r="F48" s="19"/>
      <c r="G48" s="18"/>
      <c r="H48" s="18"/>
      <c r="I48" s="18"/>
      <c r="J48" s="18"/>
      <c r="K48" s="18"/>
      <c r="L48" s="18"/>
      <c r="M48" s="18"/>
      <c r="N48" s="18"/>
      <c r="P48" s="17">
        <v>2</v>
      </c>
      <c r="Q48" s="18" t="s">
        <v>21</v>
      </c>
      <c r="R48" s="19">
        <v>1199999</v>
      </c>
      <c r="S48" s="19">
        <v>1199999</v>
      </c>
      <c r="T48" s="19">
        <v>1199999</v>
      </c>
      <c r="U48" s="19"/>
      <c r="V48" s="18"/>
      <c r="W48" s="18"/>
      <c r="X48" s="18"/>
      <c r="Y48" s="18"/>
      <c r="Z48" s="18"/>
      <c r="AA48" s="18"/>
      <c r="AB48" s="18"/>
      <c r="AC48" s="18"/>
      <c r="AE48" s="17">
        <v>2</v>
      </c>
      <c r="AF48" s="18" t="s">
        <v>21</v>
      </c>
      <c r="AG48" s="19">
        <f t="shared" si="78"/>
        <v>-1199999</v>
      </c>
      <c r="AH48" s="19" t="e">
        <f t="shared" si="79"/>
        <v>#DIV/0!</v>
      </c>
      <c r="AI48" s="19">
        <f t="shared" si="80"/>
        <v>-1199999</v>
      </c>
      <c r="AJ48" s="19" t="e">
        <f t="shared" si="81"/>
        <v>#DIV/0!</v>
      </c>
      <c r="AK48" s="19">
        <f t="shared" si="82"/>
        <v>-1199999</v>
      </c>
      <c r="AL48" s="19" t="e">
        <f t="shared" si="83"/>
        <v>#DIV/0!</v>
      </c>
      <c r="AM48" s="19">
        <f t="shared" si="84"/>
        <v>0</v>
      </c>
      <c r="AN48" s="19" t="e">
        <f t="shared" si="85"/>
        <v>#DIV/0!</v>
      </c>
      <c r="AO48" s="19">
        <f t="shared" si="86"/>
        <v>0</v>
      </c>
      <c r="AP48" s="19" t="e">
        <f t="shared" si="87"/>
        <v>#DIV/0!</v>
      </c>
      <c r="AQ48" s="19">
        <f t="shared" si="88"/>
        <v>0</v>
      </c>
      <c r="AR48" s="19" t="e">
        <f t="shared" si="89"/>
        <v>#DIV/0!</v>
      </c>
      <c r="AS48" s="19">
        <f t="shared" si="90"/>
        <v>0</v>
      </c>
      <c r="AT48" s="19" t="e">
        <f t="shared" si="91"/>
        <v>#DIV/0!</v>
      </c>
      <c r="AU48" s="19">
        <f t="shared" si="92"/>
        <v>0</v>
      </c>
      <c r="AV48" s="19" t="e">
        <f t="shared" si="93"/>
        <v>#DIV/0!</v>
      </c>
      <c r="AW48" s="19">
        <f t="shared" si="94"/>
        <v>0</v>
      </c>
      <c r="AX48" s="19" t="e">
        <f t="shared" si="95"/>
        <v>#DIV/0!</v>
      </c>
      <c r="AY48" s="19">
        <f t="shared" si="96"/>
        <v>0</v>
      </c>
      <c r="AZ48" s="19" t="e">
        <f t="shared" si="97"/>
        <v>#DIV/0!</v>
      </c>
      <c r="BA48" s="19">
        <f t="shared" si="98"/>
        <v>0</v>
      </c>
      <c r="BB48" s="19" t="e">
        <f t="shared" si="99"/>
        <v>#DIV/0!</v>
      </c>
      <c r="BC48" s="19">
        <f t="shared" si="100"/>
        <v>0</v>
      </c>
      <c r="BD48" s="19" t="e">
        <f t="shared" si="101"/>
        <v>#DIV/0!</v>
      </c>
    </row>
    <row r="49" spans="1:56">
      <c r="A49" s="17">
        <v>3</v>
      </c>
      <c r="B49" s="18" t="s">
        <v>23</v>
      </c>
      <c r="C49" s="19"/>
      <c r="D49" s="19"/>
      <c r="E49" s="19"/>
      <c r="F49" s="19"/>
      <c r="G49" s="18"/>
      <c r="H49" s="18"/>
      <c r="I49" s="18"/>
      <c r="J49" s="18"/>
      <c r="K49" s="18"/>
      <c r="L49" s="18"/>
      <c r="M49" s="18"/>
      <c r="N49" s="18"/>
      <c r="P49" s="17">
        <v>3</v>
      </c>
      <c r="Q49" s="18" t="s">
        <v>23</v>
      </c>
      <c r="R49" s="19"/>
      <c r="S49" s="19"/>
      <c r="T49" s="19"/>
      <c r="U49" s="19"/>
      <c r="V49" s="18"/>
      <c r="W49" s="18"/>
      <c r="X49" s="18"/>
      <c r="Y49" s="18"/>
      <c r="Z49" s="18"/>
      <c r="AA49" s="18"/>
      <c r="AB49" s="18"/>
      <c r="AC49" s="18"/>
      <c r="AE49" s="17">
        <v>3</v>
      </c>
      <c r="AF49" s="18" t="s">
        <v>23</v>
      </c>
      <c r="AG49" s="19">
        <f t="shared" si="78"/>
        <v>0</v>
      </c>
      <c r="AH49" s="19" t="e">
        <f t="shared" si="79"/>
        <v>#DIV/0!</v>
      </c>
      <c r="AI49" s="19">
        <f t="shared" si="80"/>
        <v>0</v>
      </c>
      <c r="AJ49" s="19" t="e">
        <f t="shared" si="81"/>
        <v>#DIV/0!</v>
      </c>
      <c r="AK49" s="19">
        <f t="shared" si="82"/>
        <v>0</v>
      </c>
      <c r="AL49" s="19" t="e">
        <f t="shared" si="83"/>
        <v>#DIV/0!</v>
      </c>
      <c r="AM49" s="19">
        <f t="shared" si="84"/>
        <v>0</v>
      </c>
      <c r="AN49" s="19" t="e">
        <f t="shared" si="85"/>
        <v>#DIV/0!</v>
      </c>
      <c r="AO49" s="19">
        <f t="shared" si="86"/>
        <v>0</v>
      </c>
      <c r="AP49" s="19" t="e">
        <f t="shared" si="87"/>
        <v>#DIV/0!</v>
      </c>
      <c r="AQ49" s="19">
        <f t="shared" si="88"/>
        <v>0</v>
      </c>
      <c r="AR49" s="19" t="e">
        <f t="shared" si="89"/>
        <v>#DIV/0!</v>
      </c>
      <c r="AS49" s="19">
        <f t="shared" si="90"/>
        <v>0</v>
      </c>
      <c r="AT49" s="19" t="e">
        <f t="shared" si="91"/>
        <v>#DIV/0!</v>
      </c>
      <c r="AU49" s="19">
        <f t="shared" si="92"/>
        <v>0</v>
      </c>
      <c r="AV49" s="19" t="e">
        <f t="shared" si="93"/>
        <v>#DIV/0!</v>
      </c>
      <c r="AW49" s="19">
        <f t="shared" si="94"/>
        <v>0</v>
      </c>
      <c r="AX49" s="19" t="e">
        <f t="shared" si="95"/>
        <v>#DIV/0!</v>
      </c>
      <c r="AY49" s="19">
        <f t="shared" si="96"/>
        <v>0</v>
      </c>
      <c r="AZ49" s="19" t="e">
        <f t="shared" si="97"/>
        <v>#DIV/0!</v>
      </c>
      <c r="BA49" s="19">
        <f t="shared" si="98"/>
        <v>0</v>
      </c>
      <c r="BB49" s="19" t="e">
        <f t="shared" si="99"/>
        <v>#DIV/0!</v>
      </c>
      <c r="BC49" s="19">
        <f t="shared" si="100"/>
        <v>0</v>
      </c>
      <c r="BD49" s="19" t="e">
        <f t="shared" si="101"/>
        <v>#DIV/0!</v>
      </c>
    </row>
    <row r="50" spans="1:56">
      <c r="A50" s="17">
        <v>4</v>
      </c>
      <c r="B50" s="18" t="s">
        <v>25</v>
      </c>
      <c r="C50" s="19"/>
      <c r="D50" s="19"/>
      <c r="E50" s="19"/>
      <c r="F50" s="19"/>
      <c r="G50" s="18"/>
      <c r="H50" s="18"/>
      <c r="I50" s="18"/>
      <c r="J50" s="18"/>
      <c r="K50" s="18"/>
      <c r="L50" s="18"/>
      <c r="M50" s="18"/>
      <c r="N50" s="18"/>
      <c r="P50" s="17">
        <v>4</v>
      </c>
      <c r="Q50" s="18" t="s">
        <v>25</v>
      </c>
      <c r="R50" s="19">
        <v>178995</v>
      </c>
      <c r="S50" s="19">
        <v>178995</v>
      </c>
      <c r="T50" s="19">
        <v>178995</v>
      </c>
      <c r="U50" s="19"/>
      <c r="V50" s="18"/>
      <c r="W50" s="18"/>
      <c r="X50" s="18"/>
      <c r="Y50" s="18"/>
      <c r="Z50" s="18"/>
      <c r="AA50" s="18"/>
      <c r="AB50" s="18"/>
      <c r="AC50" s="18"/>
      <c r="AE50" s="17">
        <v>4</v>
      </c>
      <c r="AF50" s="18" t="s">
        <v>25</v>
      </c>
      <c r="AG50" s="19">
        <f t="shared" si="78"/>
        <v>-178995</v>
      </c>
      <c r="AH50" s="19" t="e">
        <f t="shared" si="79"/>
        <v>#DIV/0!</v>
      </c>
      <c r="AI50" s="19">
        <f t="shared" si="80"/>
        <v>-178995</v>
      </c>
      <c r="AJ50" s="19" t="e">
        <f t="shared" si="81"/>
        <v>#DIV/0!</v>
      </c>
      <c r="AK50" s="19">
        <f t="shared" si="82"/>
        <v>-178995</v>
      </c>
      <c r="AL50" s="19" t="e">
        <f t="shared" si="83"/>
        <v>#DIV/0!</v>
      </c>
      <c r="AM50" s="19">
        <f t="shared" si="84"/>
        <v>0</v>
      </c>
      <c r="AN50" s="19" t="e">
        <f t="shared" si="85"/>
        <v>#DIV/0!</v>
      </c>
      <c r="AO50" s="19">
        <f t="shared" si="86"/>
        <v>0</v>
      </c>
      <c r="AP50" s="19" t="e">
        <f t="shared" si="87"/>
        <v>#DIV/0!</v>
      </c>
      <c r="AQ50" s="19">
        <f t="shared" si="88"/>
        <v>0</v>
      </c>
      <c r="AR50" s="19" t="e">
        <f t="shared" si="89"/>
        <v>#DIV/0!</v>
      </c>
      <c r="AS50" s="19">
        <f t="shared" si="90"/>
        <v>0</v>
      </c>
      <c r="AT50" s="19" t="e">
        <f t="shared" si="91"/>
        <v>#DIV/0!</v>
      </c>
      <c r="AU50" s="19">
        <f t="shared" si="92"/>
        <v>0</v>
      </c>
      <c r="AV50" s="19" t="e">
        <f t="shared" si="93"/>
        <v>#DIV/0!</v>
      </c>
      <c r="AW50" s="19">
        <f t="shared" si="94"/>
        <v>0</v>
      </c>
      <c r="AX50" s="19" t="e">
        <f t="shared" si="95"/>
        <v>#DIV/0!</v>
      </c>
      <c r="AY50" s="19">
        <f t="shared" si="96"/>
        <v>0</v>
      </c>
      <c r="AZ50" s="19" t="e">
        <f t="shared" si="97"/>
        <v>#DIV/0!</v>
      </c>
      <c r="BA50" s="19">
        <f t="shared" si="98"/>
        <v>0</v>
      </c>
      <c r="BB50" s="19" t="e">
        <f t="shared" si="99"/>
        <v>#DIV/0!</v>
      </c>
      <c r="BC50" s="19">
        <f t="shared" si="100"/>
        <v>0</v>
      </c>
      <c r="BD50" s="19" t="e">
        <f t="shared" si="101"/>
        <v>#DIV/0!</v>
      </c>
    </row>
    <row r="51" spans="1:56">
      <c r="A51" s="17">
        <v>5</v>
      </c>
      <c r="B51" s="18" t="s">
        <v>27</v>
      </c>
      <c r="C51" s="19"/>
      <c r="D51" s="19"/>
      <c r="E51" s="19"/>
      <c r="F51" s="19"/>
      <c r="G51" s="18"/>
      <c r="H51" s="18"/>
      <c r="I51" s="18"/>
      <c r="J51" s="18"/>
      <c r="K51" s="18"/>
      <c r="L51" s="18"/>
      <c r="M51" s="18"/>
      <c r="N51" s="18"/>
      <c r="P51" s="17">
        <v>5</v>
      </c>
      <c r="Q51" s="18" t="s">
        <v>27</v>
      </c>
      <c r="R51" s="19"/>
      <c r="S51" s="19"/>
      <c r="T51" s="19"/>
      <c r="U51" s="19"/>
      <c r="V51" s="18"/>
      <c r="W51" s="18"/>
      <c r="X51" s="18"/>
      <c r="Y51" s="18"/>
      <c r="Z51" s="18"/>
      <c r="AA51" s="18"/>
      <c r="AB51" s="18"/>
      <c r="AC51" s="18"/>
      <c r="AE51" s="17">
        <v>5</v>
      </c>
      <c r="AF51" s="18" t="s">
        <v>27</v>
      </c>
      <c r="AG51" s="19">
        <f t="shared" si="78"/>
        <v>0</v>
      </c>
      <c r="AH51" s="19" t="e">
        <f t="shared" si="79"/>
        <v>#DIV/0!</v>
      </c>
      <c r="AI51" s="19">
        <f t="shared" si="80"/>
        <v>0</v>
      </c>
      <c r="AJ51" s="19" t="e">
        <f t="shared" si="81"/>
        <v>#DIV/0!</v>
      </c>
      <c r="AK51" s="19">
        <f t="shared" si="82"/>
        <v>0</v>
      </c>
      <c r="AL51" s="19" t="e">
        <f t="shared" si="83"/>
        <v>#DIV/0!</v>
      </c>
      <c r="AM51" s="19">
        <f t="shared" si="84"/>
        <v>0</v>
      </c>
      <c r="AN51" s="19" t="e">
        <f t="shared" si="85"/>
        <v>#DIV/0!</v>
      </c>
      <c r="AO51" s="19">
        <f t="shared" si="86"/>
        <v>0</v>
      </c>
      <c r="AP51" s="19" t="e">
        <f t="shared" si="87"/>
        <v>#DIV/0!</v>
      </c>
      <c r="AQ51" s="19">
        <f t="shared" si="88"/>
        <v>0</v>
      </c>
      <c r="AR51" s="19" t="e">
        <f t="shared" si="89"/>
        <v>#DIV/0!</v>
      </c>
      <c r="AS51" s="19">
        <f t="shared" si="90"/>
        <v>0</v>
      </c>
      <c r="AT51" s="19" t="e">
        <f t="shared" si="91"/>
        <v>#DIV/0!</v>
      </c>
      <c r="AU51" s="19">
        <f t="shared" si="92"/>
        <v>0</v>
      </c>
      <c r="AV51" s="19" t="e">
        <f t="shared" si="93"/>
        <v>#DIV/0!</v>
      </c>
      <c r="AW51" s="19">
        <f t="shared" si="94"/>
        <v>0</v>
      </c>
      <c r="AX51" s="19" t="e">
        <f t="shared" si="95"/>
        <v>#DIV/0!</v>
      </c>
      <c r="AY51" s="19">
        <f t="shared" si="96"/>
        <v>0</v>
      </c>
      <c r="AZ51" s="19" t="e">
        <f t="shared" si="97"/>
        <v>#DIV/0!</v>
      </c>
      <c r="BA51" s="19">
        <f t="shared" si="98"/>
        <v>0</v>
      </c>
      <c r="BB51" s="19" t="e">
        <f t="shared" si="99"/>
        <v>#DIV/0!</v>
      </c>
      <c r="BC51" s="19">
        <f t="shared" si="100"/>
        <v>0</v>
      </c>
      <c r="BD51" s="19" t="e">
        <f t="shared" si="101"/>
        <v>#DIV/0!</v>
      </c>
    </row>
    <row r="52" spans="1:56">
      <c r="A52" s="17">
        <v>6</v>
      </c>
      <c r="B52" s="18" t="s">
        <v>29</v>
      </c>
      <c r="C52" s="19">
        <v>7577740.8899999997</v>
      </c>
      <c r="D52" s="19">
        <v>7781755.0199999996</v>
      </c>
      <c r="E52" s="19">
        <v>7992569.54</v>
      </c>
      <c r="F52" s="19"/>
      <c r="G52" s="18"/>
      <c r="H52" s="18"/>
      <c r="I52" s="18"/>
      <c r="J52" s="18"/>
      <c r="K52" s="18"/>
      <c r="L52" s="18"/>
      <c r="M52" s="18"/>
      <c r="N52" s="18"/>
      <c r="P52" s="17">
        <v>6</v>
      </c>
      <c r="Q52" s="18" t="s">
        <v>29</v>
      </c>
      <c r="R52" s="19">
        <v>11992192.460000001</v>
      </c>
      <c r="S52" s="19">
        <v>12229240.35</v>
      </c>
      <c r="T52" s="19">
        <v>12466288.24</v>
      </c>
      <c r="U52" s="19"/>
      <c r="V52" s="18"/>
      <c r="W52" s="18"/>
      <c r="X52" s="18"/>
      <c r="Y52" s="18"/>
      <c r="Z52" s="18"/>
      <c r="AA52" s="18"/>
      <c r="AB52" s="18"/>
      <c r="AC52" s="18"/>
      <c r="AE52" s="17">
        <v>6</v>
      </c>
      <c r="AF52" s="18" t="s">
        <v>29</v>
      </c>
      <c r="AG52" s="19">
        <f t="shared" si="78"/>
        <v>-4414451.5700000012</v>
      </c>
      <c r="AH52" s="19">
        <f t="shared" si="79"/>
        <v>-58.255509578396278</v>
      </c>
      <c r="AI52" s="19">
        <f t="shared" si="80"/>
        <v>-4447485.33</v>
      </c>
      <c r="AJ52" s="19">
        <f t="shared" si="81"/>
        <v>-57.15272863986921</v>
      </c>
      <c r="AK52" s="19">
        <f t="shared" si="82"/>
        <v>-4473718.7</v>
      </c>
      <c r="AL52" s="19">
        <f t="shared" si="83"/>
        <v>-55.973472330901984</v>
      </c>
      <c r="AM52" s="19">
        <f t="shared" si="84"/>
        <v>0</v>
      </c>
      <c r="AN52" s="19" t="e">
        <f t="shared" si="85"/>
        <v>#DIV/0!</v>
      </c>
      <c r="AO52" s="19">
        <f t="shared" si="86"/>
        <v>0</v>
      </c>
      <c r="AP52" s="19" t="e">
        <f t="shared" si="87"/>
        <v>#DIV/0!</v>
      </c>
      <c r="AQ52" s="19">
        <f t="shared" si="88"/>
        <v>0</v>
      </c>
      <c r="AR52" s="19" t="e">
        <f t="shared" si="89"/>
        <v>#DIV/0!</v>
      </c>
      <c r="AS52" s="19">
        <f t="shared" si="90"/>
        <v>0</v>
      </c>
      <c r="AT52" s="19" t="e">
        <f t="shared" si="91"/>
        <v>#DIV/0!</v>
      </c>
      <c r="AU52" s="19">
        <f t="shared" si="92"/>
        <v>0</v>
      </c>
      <c r="AV52" s="19" t="e">
        <f t="shared" si="93"/>
        <v>#DIV/0!</v>
      </c>
      <c r="AW52" s="19">
        <f t="shared" si="94"/>
        <v>0</v>
      </c>
      <c r="AX52" s="19" t="e">
        <f t="shared" si="95"/>
        <v>#DIV/0!</v>
      </c>
      <c r="AY52" s="19">
        <f t="shared" si="96"/>
        <v>0</v>
      </c>
      <c r="AZ52" s="19" t="e">
        <f t="shared" si="97"/>
        <v>#DIV/0!</v>
      </c>
      <c r="BA52" s="19">
        <f t="shared" si="98"/>
        <v>0</v>
      </c>
      <c r="BB52" s="19" t="e">
        <f t="shared" si="99"/>
        <v>#DIV/0!</v>
      </c>
      <c r="BC52" s="19">
        <f t="shared" si="100"/>
        <v>0</v>
      </c>
      <c r="BD52" s="19" t="e">
        <f t="shared" si="101"/>
        <v>#DIV/0!</v>
      </c>
    </row>
    <row r="53" spans="1:56">
      <c r="A53" s="17">
        <v>7</v>
      </c>
      <c r="B53" s="18" t="s">
        <v>31</v>
      </c>
      <c r="C53" s="19"/>
      <c r="D53" s="19"/>
      <c r="E53" s="19"/>
      <c r="F53" s="19"/>
      <c r="G53" s="18"/>
      <c r="H53" s="18"/>
      <c r="I53" s="18"/>
      <c r="J53" s="18"/>
      <c r="K53" s="18"/>
      <c r="L53" s="18"/>
      <c r="M53" s="18"/>
      <c r="N53" s="18"/>
      <c r="P53" s="17">
        <v>7</v>
      </c>
      <c r="Q53" s="18" t="s">
        <v>31</v>
      </c>
      <c r="R53" s="19"/>
      <c r="S53" s="19"/>
      <c r="T53" s="19"/>
      <c r="U53" s="19"/>
      <c r="V53" s="18"/>
      <c r="W53" s="18"/>
      <c r="X53" s="18"/>
      <c r="Y53" s="18"/>
      <c r="Z53" s="18"/>
      <c r="AA53" s="18"/>
      <c r="AB53" s="18"/>
      <c r="AC53" s="18"/>
      <c r="AE53" s="17">
        <v>7</v>
      </c>
      <c r="AF53" s="18" t="s">
        <v>31</v>
      </c>
      <c r="AG53" s="19">
        <f t="shared" si="78"/>
        <v>0</v>
      </c>
      <c r="AH53" s="19" t="e">
        <f t="shared" si="79"/>
        <v>#DIV/0!</v>
      </c>
      <c r="AI53" s="19">
        <f t="shared" si="80"/>
        <v>0</v>
      </c>
      <c r="AJ53" s="19" t="e">
        <f t="shared" si="81"/>
        <v>#DIV/0!</v>
      </c>
      <c r="AK53" s="19">
        <f t="shared" si="82"/>
        <v>0</v>
      </c>
      <c r="AL53" s="19" t="e">
        <f t="shared" si="83"/>
        <v>#DIV/0!</v>
      </c>
      <c r="AM53" s="19">
        <f t="shared" si="84"/>
        <v>0</v>
      </c>
      <c r="AN53" s="19" t="e">
        <f t="shared" si="85"/>
        <v>#DIV/0!</v>
      </c>
      <c r="AO53" s="19">
        <f t="shared" si="86"/>
        <v>0</v>
      </c>
      <c r="AP53" s="19" t="e">
        <f t="shared" si="87"/>
        <v>#DIV/0!</v>
      </c>
      <c r="AQ53" s="19">
        <f t="shared" si="88"/>
        <v>0</v>
      </c>
      <c r="AR53" s="19" t="e">
        <f t="shared" si="89"/>
        <v>#DIV/0!</v>
      </c>
      <c r="AS53" s="19">
        <f t="shared" si="90"/>
        <v>0</v>
      </c>
      <c r="AT53" s="19" t="e">
        <f t="shared" si="91"/>
        <v>#DIV/0!</v>
      </c>
      <c r="AU53" s="19">
        <f t="shared" si="92"/>
        <v>0</v>
      </c>
      <c r="AV53" s="19" t="e">
        <f t="shared" si="93"/>
        <v>#DIV/0!</v>
      </c>
      <c r="AW53" s="19">
        <f t="shared" si="94"/>
        <v>0</v>
      </c>
      <c r="AX53" s="19" t="e">
        <f t="shared" si="95"/>
        <v>#DIV/0!</v>
      </c>
      <c r="AY53" s="19">
        <f t="shared" si="96"/>
        <v>0</v>
      </c>
      <c r="AZ53" s="19" t="e">
        <f t="shared" si="97"/>
        <v>#DIV/0!</v>
      </c>
      <c r="BA53" s="19">
        <f t="shared" si="98"/>
        <v>0</v>
      </c>
      <c r="BB53" s="19" t="e">
        <f t="shared" si="99"/>
        <v>#DIV/0!</v>
      </c>
      <c r="BC53" s="19">
        <f t="shared" si="100"/>
        <v>0</v>
      </c>
      <c r="BD53" s="19" t="e">
        <f t="shared" si="101"/>
        <v>#DIV/0!</v>
      </c>
    </row>
    <row r="54" spans="1:56">
      <c r="A54" s="17">
        <v>8</v>
      </c>
      <c r="B54" s="18" t="s">
        <v>33</v>
      </c>
      <c r="C54" s="19"/>
      <c r="D54" s="19"/>
      <c r="E54" s="19"/>
      <c r="F54" s="19"/>
      <c r="G54" s="18"/>
      <c r="H54" s="18"/>
      <c r="I54" s="18"/>
      <c r="J54" s="18"/>
      <c r="K54" s="18"/>
      <c r="L54" s="18"/>
      <c r="M54" s="18"/>
      <c r="N54" s="18"/>
      <c r="P54" s="17">
        <v>8</v>
      </c>
      <c r="Q54" s="18" t="s">
        <v>33</v>
      </c>
      <c r="R54" s="19">
        <v>16538</v>
      </c>
      <c r="S54" s="19">
        <v>16538</v>
      </c>
      <c r="T54" s="19">
        <v>16538</v>
      </c>
      <c r="U54" s="19"/>
      <c r="V54" s="18"/>
      <c r="W54" s="18"/>
      <c r="X54" s="18"/>
      <c r="Y54" s="18"/>
      <c r="Z54" s="18"/>
      <c r="AA54" s="18"/>
      <c r="AB54" s="18"/>
      <c r="AC54" s="18"/>
      <c r="AE54" s="17">
        <v>8</v>
      </c>
      <c r="AF54" s="18" t="s">
        <v>33</v>
      </c>
      <c r="AG54" s="19">
        <f t="shared" si="78"/>
        <v>-16538</v>
      </c>
      <c r="AH54" s="19" t="e">
        <f t="shared" si="79"/>
        <v>#DIV/0!</v>
      </c>
      <c r="AI54" s="19">
        <f t="shared" si="80"/>
        <v>-16538</v>
      </c>
      <c r="AJ54" s="19" t="e">
        <f t="shared" si="81"/>
        <v>#DIV/0!</v>
      </c>
      <c r="AK54" s="19">
        <f t="shared" si="82"/>
        <v>-16538</v>
      </c>
      <c r="AL54" s="19" t="e">
        <f t="shared" si="83"/>
        <v>#DIV/0!</v>
      </c>
      <c r="AM54" s="19">
        <f t="shared" si="84"/>
        <v>0</v>
      </c>
      <c r="AN54" s="19" t="e">
        <f t="shared" si="85"/>
        <v>#DIV/0!</v>
      </c>
      <c r="AO54" s="19">
        <f t="shared" si="86"/>
        <v>0</v>
      </c>
      <c r="AP54" s="19" t="e">
        <f t="shared" si="87"/>
        <v>#DIV/0!</v>
      </c>
      <c r="AQ54" s="19">
        <f t="shared" si="88"/>
        <v>0</v>
      </c>
      <c r="AR54" s="19" t="e">
        <f t="shared" si="89"/>
        <v>#DIV/0!</v>
      </c>
      <c r="AS54" s="19">
        <f t="shared" si="90"/>
        <v>0</v>
      </c>
      <c r="AT54" s="19" t="e">
        <f t="shared" si="91"/>
        <v>#DIV/0!</v>
      </c>
      <c r="AU54" s="19">
        <f t="shared" si="92"/>
        <v>0</v>
      </c>
      <c r="AV54" s="19" t="e">
        <f t="shared" si="93"/>
        <v>#DIV/0!</v>
      </c>
      <c r="AW54" s="19">
        <f t="shared" si="94"/>
        <v>0</v>
      </c>
      <c r="AX54" s="19" t="e">
        <f t="shared" si="95"/>
        <v>#DIV/0!</v>
      </c>
      <c r="AY54" s="19">
        <f t="shared" si="96"/>
        <v>0</v>
      </c>
      <c r="AZ54" s="19" t="e">
        <f t="shared" si="97"/>
        <v>#DIV/0!</v>
      </c>
      <c r="BA54" s="19">
        <f t="shared" si="98"/>
        <v>0</v>
      </c>
      <c r="BB54" s="19" t="e">
        <f t="shared" si="99"/>
        <v>#DIV/0!</v>
      </c>
      <c r="BC54" s="19">
        <f t="shared" si="100"/>
        <v>0</v>
      </c>
      <c r="BD54" s="19" t="e">
        <f t="shared" si="101"/>
        <v>#DIV/0!</v>
      </c>
    </row>
    <row r="55" spans="1:56">
      <c r="A55" s="17">
        <v>9</v>
      </c>
      <c r="B55" s="18" t="s">
        <v>35</v>
      </c>
      <c r="C55" s="19"/>
      <c r="D55" s="19"/>
      <c r="E55" s="19"/>
      <c r="F55" s="19"/>
      <c r="G55" s="18"/>
      <c r="H55" s="18"/>
      <c r="I55" s="18"/>
      <c r="J55" s="18"/>
      <c r="K55" s="18"/>
      <c r="L55" s="18"/>
      <c r="M55" s="18"/>
      <c r="N55" s="18"/>
      <c r="P55" s="17">
        <v>9</v>
      </c>
      <c r="Q55" s="18" t="s">
        <v>35</v>
      </c>
      <c r="R55" s="19"/>
      <c r="S55" s="19"/>
      <c r="T55" s="19"/>
      <c r="U55" s="19"/>
      <c r="V55" s="18"/>
      <c r="W55" s="18"/>
      <c r="X55" s="18"/>
      <c r="Y55" s="18"/>
      <c r="Z55" s="18"/>
      <c r="AA55" s="18"/>
      <c r="AB55" s="18"/>
      <c r="AC55" s="18"/>
      <c r="AE55" s="17">
        <v>9</v>
      </c>
      <c r="AF55" s="18" t="s">
        <v>35</v>
      </c>
      <c r="AG55" s="19">
        <f t="shared" si="78"/>
        <v>0</v>
      </c>
      <c r="AH55" s="19" t="e">
        <f t="shared" si="79"/>
        <v>#DIV/0!</v>
      </c>
      <c r="AI55" s="19">
        <f t="shared" si="80"/>
        <v>0</v>
      </c>
      <c r="AJ55" s="19" t="e">
        <f t="shared" si="81"/>
        <v>#DIV/0!</v>
      </c>
      <c r="AK55" s="19">
        <f t="shared" si="82"/>
        <v>0</v>
      </c>
      <c r="AL55" s="19" t="e">
        <f t="shared" si="83"/>
        <v>#DIV/0!</v>
      </c>
      <c r="AM55" s="19">
        <f t="shared" si="84"/>
        <v>0</v>
      </c>
      <c r="AN55" s="19" t="e">
        <f t="shared" si="85"/>
        <v>#DIV/0!</v>
      </c>
      <c r="AO55" s="19">
        <f t="shared" si="86"/>
        <v>0</v>
      </c>
      <c r="AP55" s="19" t="e">
        <f t="shared" si="87"/>
        <v>#DIV/0!</v>
      </c>
      <c r="AQ55" s="19">
        <f t="shared" si="88"/>
        <v>0</v>
      </c>
      <c r="AR55" s="19" t="e">
        <f t="shared" si="89"/>
        <v>#DIV/0!</v>
      </c>
      <c r="AS55" s="19">
        <f t="shared" si="90"/>
        <v>0</v>
      </c>
      <c r="AT55" s="19" t="e">
        <f t="shared" si="91"/>
        <v>#DIV/0!</v>
      </c>
      <c r="AU55" s="19">
        <f t="shared" si="92"/>
        <v>0</v>
      </c>
      <c r="AV55" s="19" t="e">
        <f t="shared" si="93"/>
        <v>#DIV/0!</v>
      </c>
      <c r="AW55" s="19">
        <f t="shared" si="94"/>
        <v>0</v>
      </c>
      <c r="AX55" s="19" t="e">
        <f t="shared" si="95"/>
        <v>#DIV/0!</v>
      </c>
      <c r="AY55" s="19">
        <f t="shared" si="96"/>
        <v>0</v>
      </c>
      <c r="AZ55" s="19" t="e">
        <f t="shared" si="97"/>
        <v>#DIV/0!</v>
      </c>
      <c r="BA55" s="19">
        <f t="shared" si="98"/>
        <v>0</v>
      </c>
      <c r="BB55" s="19" t="e">
        <f t="shared" si="99"/>
        <v>#DIV/0!</v>
      </c>
      <c r="BC55" s="19">
        <f t="shared" si="100"/>
        <v>0</v>
      </c>
      <c r="BD55" s="19" t="e">
        <f t="shared" si="101"/>
        <v>#DIV/0!</v>
      </c>
    </row>
    <row r="56" spans="1:56">
      <c r="A56" s="17">
        <v>10</v>
      </c>
      <c r="B56" s="18" t="s">
        <v>37</v>
      </c>
      <c r="C56" s="19"/>
      <c r="D56" s="19"/>
      <c r="E56" s="19"/>
      <c r="F56" s="19"/>
      <c r="G56" s="18"/>
      <c r="H56" s="18"/>
      <c r="I56" s="18"/>
      <c r="J56" s="18"/>
      <c r="K56" s="18"/>
      <c r="L56" s="18"/>
      <c r="M56" s="18"/>
      <c r="N56" s="18"/>
      <c r="P56" s="17">
        <v>10</v>
      </c>
      <c r="Q56" s="18" t="s">
        <v>37</v>
      </c>
      <c r="R56" s="19"/>
      <c r="S56" s="19"/>
      <c r="T56" s="19"/>
      <c r="U56" s="19"/>
      <c r="V56" s="18"/>
      <c r="W56" s="18"/>
      <c r="X56" s="18"/>
      <c r="Y56" s="18"/>
      <c r="Z56" s="18"/>
      <c r="AA56" s="18"/>
      <c r="AB56" s="18"/>
      <c r="AC56" s="18"/>
      <c r="AE56" s="17">
        <v>10</v>
      </c>
      <c r="AF56" s="18" t="s">
        <v>37</v>
      </c>
      <c r="AG56" s="19">
        <f t="shared" si="78"/>
        <v>0</v>
      </c>
      <c r="AH56" s="19" t="e">
        <f t="shared" si="79"/>
        <v>#DIV/0!</v>
      </c>
      <c r="AI56" s="19">
        <f t="shared" si="80"/>
        <v>0</v>
      </c>
      <c r="AJ56" s="19" t="e">
        <f t="shared" si="81"/>
        <v>#DIV/0!</v>
      </c>
      <c r="AK56" s="19">
        <f t="shared" si="82"/>
        <v>0</v>
      </c>
      <c r="AL56" s="19" t="e">
        <f t="shared" si="83"/>
        <v>#DIV/0!</v>
      </c>
      <c r="AM56" s="19">
        <f t="shared" si="84"/>
        <v>0</v>
      </c>
      <c r="AN56" s="19" t="e">
        <f t="shared" si="85"/>
        <v>#DIV/0!</v>
      </c>
      <c r="AO56" s="19">
        <f t="shared" si="86"/>
        <v>0</v>
      </c>
      <c r="AP56" s="19" t="e">
        <f t="shared" si="87"/>
        <v>#DIV/0!</v>
      </c>
      <c r="AQ56" s="19">
        <f t="shared" si="88"/>
        <v>0</v>
      </c>
      <c r="AR56" s="19" t="e">
        <f t="shared" si="89"/>
        <v>#DIV/0!</v>
      </c>
      <c r="AS56" s="19">
        <f t="shared" si="90"/>
        <v>0</v>
      </c>
      <c r="AT56" s="19" t="e">
        <f t="shared" si="91"/>
        <v>#DIV/0!</v>
      </c>
      <c r="AU56" s="19">
        <f t="shared" si="92"/>
        <v>0</v>
      </c>
      <c r="AV56" s="19" t="e">
        <f t="shared" si="93"/>
        <v>#DIV/0!</v>
      </c>
      <c r="AW56" s="19">
        <f t="shared" si="94"/>
        <v>0</v>
      </c>
      <c r="AX56" s="19" t="e">
        <f t="shared" si="95"/>
        <v>#DIV/0!</v>
      </c>
      <c r="AY56" s="19">
        <f t="shared" si="96"/>
        <v>0</v>
      </c>
      <c r="AZ56" s="19" t="e">
        <f t="shared" si="97"/>
        <v>#DIV/0!</v>
      </c>
      <c r="BA56" s="19">
        <f t="shared" si="98"/>
        <v>0</v>
      </c>
      <c r="BB56" s="19" t="e">
        <f t="shared" si="99"/>
        <v>#DIV/0!</v>
      </c>
      <c r="BC56" s="19">
        <f t="shared" si="100"/>
        <v>0</v>
      </c>
      <c r="BD56" s="19" t="e">
        <f t="shared" si="101"/>
        <v>#DIV/0!</v>
      </c>
    </row>
    <row r="57" spans="1:56">
      <c r="A57" s="17">
        <v>11</v>
      </c>
      <c r="B57" s="18" t="s">
        <v>39</v>
      </c>
      <c r="C57" s="19"/>
      <c r="D57" s="19"/>
      <c r="E57" s="19"/>
      <c r="F57" s="19"/>
      <c r="G57" s="18"/>
      <c r="H57" s="18"/>
      <c r="I57" s="18"/>
      <c r="J57" s="18"/>
      <c r="K57" s="18"/>
      <c r="L57" s="18"/>
      <c r="M57" s="18"/>
      <c r="N57" s="18"/>
      <c r="P57" s="17">
        <v>11</v>
      </c>
      <c r="Q57" s="18" t="s">
        <v>39</v>
      </c>
      <c r="R57" s="19"/>
      <c r="S57" s="19"/>
      <c r="T57" s="19"/>
      <c r="U57" s="19"/>
      <c r="V57" s="18"/>
      <c r="W57" s="18"/>
      <c r="X57" s="18"/>
      <c r="Y57" s="18"/>
      <c r="Z57" s="18"/>
      <c r="AA57" s="18"/>
      <c r="AB57" s="18"/>
      <c r="AC57" s="18"/>
      <c r="AE57" s="17">
        <v>11</v>
      </c>
      <c r="AF57" s="18" t="s">
        <v>39</v>
      </c>
      <c r="AG57" s="19">
        <f t="shared" si="78"/>
        <v>0</v>
      </c>
      <c r="AH57" s="19" t="e">
        <f t="shared" si="79"/>
        <v>#DIV/0!</v>
      </c>
      <c r="AI57" s="19">
        <f t="shared" si="80"/>
        <v>0</v>
      </c>
      <c r="AJ57" s="19" t="e">
        <f t="shared" si="81"/>
        <v>#DIV/0!</v>
      </c>
      <c r="AK57" s="19">
        <f t="shared" si="82"/>
        <v>0</v>
      </c>
      <c r="AL57" s="19" t="e">
        <f t="shared" si="83"/>
        <v>#DIV/0!</v>
      </c>
      <c r="AM57" s="19">
        <f t="shared" si="84"/>
        <v>0</v>
      </c>
      <c r="AN57" s="19" t="e">
        <f t="shared" si="85"/>
        <v>#DIV/0!</v>
      </c>
      <c r="AO57" s="19">
        <f t="shared" si="86"/>
        <v>0</v>
      </c>
      <c r="AP57" s="19" t="e">
        <f t="shared" si="87"/>
        <v>#DIV/0!</v>
      </c>
      <c r="AQ57" s="19">
        <f t="shared" si="88"/>
        <v>0</v>
      </c>
      <c r="AR57" s="19" t="e">
        <f t="shared" si="89"/>
        <v>#DIV/0!</v>
      </c>
      <c r="AS57" s="19">
        <f t="shared" si="90"/>
        <v>0</v>
      </c>
      <c r="AT57" s="19" t="e">
        <f t="shared" si="91"/>
        <v>#DIV/0!</v>
      </c>
      <c r="AU57" s="19">
        <f t="shared" si="92"/>
        <v>0</v>
      </c>
      <c r="AV57" s="19" t="e">
        <f t="shared" si="93"/>
        <v>#DIV/0!</v>
      </c>
      <c r="AW57" s="19">
        <f t="shared" si="94"/>
        <v>0</v>
      </c>
      <c r="AX57" s="19" t="e">
        <f t="shared" si="95"/>
        <v>#DIV/0!</v>
      </c>
      <c r="AY57" s="19">
        <f t="shared" si="96"/>
        <v>0</v>
      </c>
      <c r="AZ57" s="19" t="e">
        <f t="shared" si="97"/>
        <v>#DIV/0!</v>
      </c>
      <c r="BA57" s="19">
        <f t="shared" si="98"/>
        <v>0</v>
      </c>
      <c r="BB57" s="19" t="e">
        <f t="shared" si="99"/>
        <v>#DIV/0!</v>
      </c>
      <c r="BC57" s="19">
        <f t="shared" si="100"/>
        <v>0</v>
      </c>
      <c r="BD57" s="19" t="e">
        <f t="shared" si="101"/>
        <v>#DIV/0!</v>
      </c>
    </row>
    <row r="58" spans="1:56">
      <c r="A58" s="17">
        <v>12</v>
      </c>
      <c r="B58" s="18" t="s">
        <v>41</v>
      </c>
      <c r="C58" s="19"/>
      <c r="D58" s="19"/>
      <c r="E58" s="19"/>
      <c r="F58" s="19"/>
      <c r="G58" s="18"/>
      <c r="H58" s="18"/>
      <c r="I58" s="18"/>
      <c r="J58" s="18"/>
      <c r="K58" s="18"/>
      <c r="L58" s="18"/>
      <c r="M58" s="18"/>
      <c r="N58" s="18"/>
      <c r="P58" s="17">
        <v>12</v>
      </c>
      <c r="Q58" s="18" t="s">
        <v>41</v>
      </c>
      <c r="R58" s="19"/>
      <c r="S58" s="19"/>
      <c r="T58" s="19"/>
      <c r="U58" s="19"/>
      <c r="V58" s="18"/>
      <c r="W58" s="18"/>
      <c r="X58" s="18"/>
      <c r="Y58" s="18"/>
      <c r="Z58" s="18"/>
      <c r="AA58" s="18"/>
      <c r="AB58" s="18"/>
      <c r="AC58" s="18"/>
      <c r="AE58" s="17">
        <v>12</v>
      </c>
      <c r="AF58" s="18" t="s">
        <v>41</v>
      </c>
      <c r="AG58" s="19">
        <f t="shared" si="78"/>
        <v>0</v>
      </c>
      <c r="AH58" s="19" t="e">
        <f t="shared" si="79"/>
        <v>#DIV/0!</v>
      </c>
      <c r="AI58" s="19">
        <f t="shared" si="80"/>
        <v>0</v>
      </c>
      <c r="AJ58" s="19" t="e">
        <f t="shared" si="81"/>
        <v>#DIV/0!</v>
      </c>
      <c r="AK58" s="19">
        <f t="shared" si="82"/>
        <v>0</v>
      </c>
      <c r="AL58" s="19" t="e">
        <f t="shared" si="83"/>
        <v>#DIV/0!</v>
      </c>
      <c r="AM58" s="19">
        <f t="shared" si="84"/>
        <v>0</v>
      </c>
      <c r="AN58" s="19" t="e">
        <f t="shared" si="85"/>
        <v>#DIV/0!</v>
      </c>
      <c r="AO58" s="19">
        <f t="shared" si="86"/>
        <v>0</v>
      </c>
      <c r="AP58" s="19" t="e">
        <f t="shared" si="87"/>
        <v>#DIV/0!</v>
      </c>
      <c r="AQ58" s="19">
        <f t="shared" si="88"/>
        <v>0</v>
      </c>
      <c r="AR58" s="19" t="e">
        <f t="shared" si="89"/>
        <v>#DIV/0!</v>
      </c>
      <c r="AS58" s="19">
        <f t="shared" si="90"/>
        <v>0</v>
      </c>
      <c r="AT58" s="19" t="e">
        <f t="shared" si="91"/>
        <v>#DIV/0!</v>
      </c>
      <c r="AU58" s="19">
        <f t="shared" si="92"/>
        <v>0</v>
      </c>
      <c r="AV58" s="19" t="e">
        <f t="shared" si="93"/>
        <v>#DIV/0!</v>
      </c>
      <c r="AW58" s="19">
        <f t="shared" si="94"/>
        <v>0</v>
      </c>
      <c r="AX58" s="19" t="e">
        <f t="shared" si="95"/>
        <v>#DIV/0!</v>
      </c>
      <c r="AY58" s="19">
        <f t="shared" si="96"/>
        <v>0</v>
      </c>
      <c r="AZ58" s="19" t="e">
        <f t="shared" si="97"/>
        <v>#DIV/0!</v>
      </c>
      <c r="BA58" s="19">
        <f t="shared" si="98"/>
        <v>0</v>
      </c>
      <c r="BB58" s="19" t="e">
        <f t="shared" si="99"/>
        <v>#DIV/0!</v>
      </c>
      <c r="BC58" s="19">
        <f t="shared" si="100"/>
        <v>0</v>
      </c>
      <c r="BD58" s="19" t="e">
        <f t="shared" si="101"/>
        <v>#DIV/0!</v>
      </c>
    </row>
    <row r="59" spans="1:56">
      <c r="A59" s="17">
        <v>13</v>
      </c>
      <c r="B59" s="18" t="s">
        <v>43</v>
      </c>
      <c r="C59" s="19"/>
      <c r="D59" s="19"/>
      <c r="E59" s="19"/>
      <c r="F59" s="19"/>
      <c r="G59" s="18"/>
      <c r="H59" s="18"/>
      <c r="I59" s="18"/>
      <c r="J59" s="18"/>
      <c r="K59" s="18"/>
      <c r="L59" s="18"/>
      <c r="M59" s="18"/>
      <c r="N59" s="18"/>
      <c r="P59" s="17">
        <v>13</v>
      </c>
      <c r="Q59" s="18" t="s">
        <v>43</v>
      </c>
      <c r="R59" s="19"/>
      <c r="S59" s="19"/>
      <c r="T59" s="19"/>
      <c r="U59" s="19"/>
      <c r="V59" s="18"/>
      <c r="W59" s="18"/>
      <c r="X59" s="18"/>
      <c r="Y59" s="18"/>
      <c r="Z59" s="18"/>
      <c r="AA59" s="18"/>
      <c r="AB59" s="18"/>
      <c r="AC59" s="18"/>
      <c r="AE59" s="17">
        <v>13</v>
      </c>
      <c r="AF59" s="18" t="s">
        <v>43</v>
      </c>
      <c r="AG59" s="19">
        <f t="shared" si="78"/>
        <v>0</v>
      </c>
      <c r="AH59" s="19" t="e">
        <f t="shared" si="79"/>
        <v>#DIV/0!</v>
      </c>
      <c r="AI59" s="19">
        <f t="shared" si="80"/>
        <v>0</v>
      </c>
      <c r="AJ59" s="19" t="e">
        <f t="shared" si="81"/>
        <v>#DIV/0!</v>
      </c>
      <c r="AK59" s="19">
        <f t="shared" si="82"/>
        <v>0</v>
      </c>
      <c r="AL59" s="19" t="e">
        <f t="shared" si="83"/>
        <v>#DIV/0!</v>
      </c>
      <c r="AM59" s="19">
        <f t="shared" si="84"/>
        <v>0</v>
      </c>
      <c r="AN59" s="19" t="e">
        <f t="shared" si="85"/>
        <v>#DIV/0!</v>
      </c>
      <c r="AO59" s="19">
        <f t="shared" si="86"/>
        <v>0</v>
      </c>
      <c r="AP59" s="19" t="e">
        <f t="shared" si="87"/>
        <v>#DIV/0!</v>
      </c>
      <c r="AQ59" s="19">
        <f t="shared" si="88"/>
        <v>0</v>
      </c>
      <c r="AR59" s="19" t="e">
        <f t="shared" si="89"/>
        <v>#DIV/0!</v>
      </c>
      <c r="AS59" s="19">
        <f t="shared" si="90"/>
        <v>0</v>
      </c>
      <c r="AT59" s="19" t="e">
        <f t="shared" si="91"/>
        <v>#DIV/0!</v>
      </c>
      <c r="AU59" s="19">
        <f t="shared" si="92"/>
        <v>0</v>
      </c>
      <c r="AV59" s="19" t="e">
        <f t="shared" si="93"/>
        <v>#DIV/0!</v>
      </c>
      <c r="AW59" s="19">
        <f t="shared" si="94"/>
        <v>0</v>
      </c>
      <c r="AX59" s="19" t="e">
        <f t="shared" si="95"/>
        <v>#DIV/0!</v>
      </c>
      <c r="AY59" s="19">
        <f t="shared" si="96"/>
        <v>0</v>
      </c>
      <c r="AZ59" s="19" t="e">
        <f t="shared" si="97"/>
        <v>#DIV/0!</v>
      </c>
      <c r="BA59" s="19">
        <f t="shared" si="98"/>
        <v>0</v>
      </c>
      <c r="BB59" s="19" t="e">
        <f t="shared" si="99"/>
        <v>#DIV/0!</v>
      </c>
      <c r="BC59" s="19">
        <f t="shared" si="100"/>
        <v>0</v>
      </c>
      <c r="BD59" s="19" t="e">
        <f t="shared" si="101"/>
        <v>#DIV/0!</v>
      </c>
    </row>
    <row r="60" spans="1:56">
      <c r="A60" s="17">
        <v>14</v>
      </c>
      <c r="B60" s="18" t="s">
        <v>44</v>
      </c>
      <c r="C60" s="19"/>
      <c r="D60" s="19"/>
      <c r="E60" s="19"/>
      <c r="F60" s="19"/>
      <c r="G60" s="18"/>
      <c r="H60" s="18"/>
      <c r="I60" s="18"/>
      <c r="J60" s="18"/>
      <c r="K60" s="18"/>
      <c r="L60" s="18"/>
      <c r="M60" s="18"/>
      <c r="N60" s="18"/>
      <c r="P60" s="17">
        <v>14</v>
      </c>
      <c r="Q60" s="18" t="s">
        <v>44</v>
      </c>
      <c r="R60" s="19">
        <v>10187.75</v>
      </c>
      <c r="S60" s="19">
        <v>10187.75</v>
      </c>
      <c r="T60" s="19">
        <v>10187.75</v>
      </c>
      <c r="U60" s="19"/>
      <c r="V60" s="18"/>
      <c r="W60" s="18"/>
      <c r="X60" s="18"/>
      <c r="Y60" s="18"/>
      <c r="Z60" s="18"/>
      <c r="AA60" s="18"/>
      <c r="AB60" s="18"/>
      <c r="AC60" s="18"/>
      <c r="AE60" s="17">
        <v>14</v>
      </c>
      <c r="AF60" s="18" t="s">
        <v>44</v>
      </c>
      <c r="AG60" s="19">
        <f t="shared" si="78"/>
        <v>-10187.75</v>
      </c>
      <c r="AH60" s="19" t="e">
        <f t="shared" si="79"/>
        <v>#DIV/0!</v>
      </c>
      <c r="AI60" s="19">
        <f t="shared" si="80"/>
        <v>-10187.75</v>
      </c>
      <c r="AJ60" s="19" t="e">
        <f t="shared" si="81"/>
        <v>#DIV/0!</v>
      </c>
      <c r="AK60" s="19">
        <f t="shared" si="82"/>
        <v>-10187.75</v>
      </c>
      <c r="AL60" s="19" t="e">
        <f t="shared" si="83"/>
        <v>#DIV/0!</v>
      </c>
      <c r="AM60" s="19">
        <f t="shared" si="84"/>
        <v>0</v>
      </c>
      <c r="AN60" s="19" t="e">
        <f t="shared" si="85"/>
        <v>#DIV/0!</v>
      </c>
      <c r="AO60" s="19">
        <f t="shared" si="86"/>
        <v>0</v>
      </c>
      <c r="AP60" s="19" t="e">
        <f t="shared" si="87"/>
        <v>#DIV/0!</v>
      </c>
      <c r="AQ60" s="19">
        <f t="shared" si="88"/>
        <v>0</v>
      </c>
      <c r="AR60" s="19" t="e">
        <f t="shared" si="89"/>
        <v>#DIV/0!</v>
      </c>
      <c r="AS60" s="19">
        <f t="shared" si="90"/>
        <v>0</v>
      </c>
      <c r="AT60" s="19" t="e">
        <f t="shared" si="91"/>
        <v>#DIV/0!</v>
      </c>
      <c r="AU60" s="19">
        <f t="shared" si="92"/>
        <v>0</v>
      </c>
      <c r="AV60" s="19" t="e">
        <f t="shared" si="93"/>
        <v>#DIV/0!</v>
      </c>
      <c r="AW60" s="19">
        <f t="shared" si="94"/>
        <v>0</v>
      </c>
      <c r="AX60" s="19" t="e">
        <f t="shared" si="95"/>
        <v>#DIV/0!</v>
      </c>
      <c r="AY60" s="19">
        <f t="shared" si="96"/>
        <v>0</v>
      </c>
      <c r="AZ60" s="19" t="e">
        <f t="shared" si="97"/>
        <v>#DIV/0!</v>
      </c>
      <c r="BA60" s="19">
        <f t="shared" si="98"/>
        <v>0</v>
      </c>
      <c r="BB60" s="19" t="e">
        <f t="shared" si="99"/>
        <v>#DIV/0!</v>
      </c>
      <c r="BC60" s="19">
        <f t="shared" si="100"/>
        <v>0</v>
      </c>
      <c r="BD60" s="19" t="e">
        <f t="shared" si="101"/>
        <v>#DIV/0!</v>
      </c>
    </row>
    <row r="61" spans="1:56" ht="25.2" thickBot="1">
      <c r="A61" s="17"/>
      <c r="B61" s="20" t="s">
        <v>17</v>
      </c>
      <c r="C61" s="27">
        <f>SUM(C47:C60)</f>
        <v>7577740.8899999997</v>
      </c>
      <c r="D61" s="27">
        <f t="shared" ref="D61:N61" si="102">SUM(D47:D60)</f>
        <v>7781755.0199999996</v>
      </c>
      <c r="E61" s="27">
        <f t="shared" si="102"/>
        <v>7992569.54</v>
      </c>
      <c r="F61" s="27">
        <f t="shared" si="102"/>
        <v>0</v>
      </c>
      <c r="G61" s="27">
        <f t="shared" si="102"/>
        <v>0</v>
      </c>
      <c r="H61" s="27">
        <f t="shared" si="102"/>
        <v>0</v>
      </c>
      <c r="I61" s="27">
        <f t="shared" si="102"/>
        <v>0</v>
      </c>
      <c r="J61" s="27">
        <f t="shared" si="102"/>
        <v>0</v>
      </c>
      <c r="K61" s="27">
        <f t="shared" si="102"/>
        <v>0</v>
      </c>
      <c r="L61" s="27">
        <f t="shared" si="102"/>
        <v>0</v>
      </c>
      <c r="M61" s="27">
        <f t="shared" si="102"/>
        <v>0</v>
      </c>
      <c r="N61" s="27">
        <f t="shared" si="102"/>
        <v>0</v>
      </c>
      <c r="P61" s="17"/>
      <c r="Q61" s="20" t="s">
        <v>17</v>
      </c>
      <c r="R61" s="27">
        <f>SUM(R47:R60)</f>
        <v>13618979.210000001</v>
      </c>
      <c r="S61" s="27">
        <f t="shared" ref="S61:AC61" si="103">SUM(S47:S60)</f>
        <v>13856027.1</v>
      </c>
      <c r="T61" s="27">
        <f t="shared" si="103"/>
        <v>14093074.99</v>
      </c>
      <c r="U61" s="27">
        <f t="shared" si="103"/>
        <v>0</v>
      </c>
      <c r="V61" s="27">
        <f t="shared" si="103"/>
        <v>0</v>
      </c>
      <c r="W61" s="27">
        <f t="shared" si="103"/>
        <v>0</v>
      </c>
      <c r="X61" s="27">
        <f t="shared" si="103"/>
        <v>0</v>
      </c>
      <c r="Y61" s="27">
        <f t="shared" si="103"/>
        <v>0</v>
      </c>
      <c r="Z61" s="27">
        <f t="shared" si="103"/>
        <v>0</v>
      </c>
      <c r="AA61" s="27">
        <f t="shared" si="103"/>
        <v>0</v>
      </c>
      <c r="AB61" s="27">
        <f t="shared" si="103"/>
        <v>0</v>
      </c>
      <c r="AC61" s="27">
        <f t="shared" si="103"/>
        <v>0</v>
      </c>
      <c r="AE61" s="17"/>
      <c r="AF61" s="20" t="s">
        <v>17</v>
      </c>
      <c r="AG61" s="23">
        <f t="shared" si="78"/>
        <v>-6041238.3200000012</v>
      </c>
      <c r="AH61" s="23">
        <f t="shared" si="79"/>
        <v>-79.723474419300203</v>
      </c>
      <c r="AI61" s="23">
        <f t="shared" si="80"/>
        <v>-6074272.0800000001</v>
      </c>
      <c r="AJ61" s="23">
        <f t="shared" si="81"/>
        <v>-78.05786823651512</v>
      </c>
      <c r="AK61" s="23">
        <f t="shared" si="82"/>
        <v>-6100505.4500000002</v>
      </c>
      <c r="AL61" s="23">
        <f t="shared" si="83"/>
        <v>-76.327211411413003</v>
      </c>
      <c r="AM61" s="23">
        <f t="shared" si="84"/>
        <v>0</v>
      </c>
      <c r="AN61" s="23" t="e">
        <f t="shared" si="85"/>
        <v>#DIV/0!</v>
      </c>
      <c r="AO61" s="23">
        <f t="shared" si="86"/>
        <v>0</v>
      </c>
      <c r="AP61" s="23" t="e">
        <f t="shared" si="87"/>
        <v>#DIV/0!</v>
      </c>
      <c r="AQ61" s="23">
        <f t="shared" si="88"/>
        <v>0</v>
      </c>
      <c r="AR61" s="23" t="e">
        <f t="shared" si="89"/>
        <v>#DIV/0!</v>
      </c>
      <c r="AS61" s="23">
        <f t="shared" si="90"/>
        <v>0</v>
      </c>
      <c r="AT61" s="23" t="e">
        <f t="shared" si="91"/>
        <v>#DIV/0!</v>
      </c>
      <c r="AU61" s="23">
        <f t="shared" si="92"/>
        <v>0</v>
      </c>
      <c r="AV61" s="23" t="e">
        <f t="shared" si="93"/>
        <v>#DIV/0!</v>
      </c>
      <c r="AW61" s="23">
        <f t="shared" si="94"/>
        <v>0</v>
      </c>
      <c r="AX61" s="23" t="e">
        <f t="shared" si="95"/>
        <v>#DIV/0!</v>
      </c>
      <c r="AY61" s="23">
        <f t="shared" si="96"/>
        <v>0</v>
      </c>
      <c r="AZ61" s="23" t="e">
        <f t="shared" si="97"/>
        <v>#DIV/0!</v>
      </c>
      <c r="BA61" s="23">
        <f t="shared" si="98"/>
        <v>0</v>
      </c>
      <c r="BB61" s="23" t="e">
        <f t="shared" si="99"/>
        <v>#DIV/0!</v>
      </c>
      <c r="BC61" s="23">
        <f t="shared" si="100"/>
        <v>0</v>
      </c>
      <c r="BD61" s="23" t="e">
        <f t="shared" si="101"/>
        <v>#DIV/0!</v>
      </c>
    </row>
    <row r="62" spans="1:56" ht="25.2" thickTop="1"/>
    <row r="63" spans="1:56">
      <c r="A63" s="32" t="s">
        <v>1942</v>
      </c>
      <c r="B63" s="32"/>
      <c r="C63" s="32"/>
      <c r="D63" s="32"/>
      <c r="E63" s="32"/>
      <c r="F63" s="32"/>
      <c r="G63" s="32"/>
      <c r="H63" s="32"/>
      <c r="I63" s="32"/>
    </row>
    <row r="64" spans="1:56" customFormat="1" ht="21">
      <c r="A64" s="28" t="s">
        <v>659</v>
      </c>
      <c r="B64" s="28" t="s">
        <v>660</v>
      </c>
      <c r="C64" s="28" t="s">
        <v>661</v>
      </c>
      <c r="D64" s="28" t="s">
        <v>662</v>
      </c>
      <c r="E64" s="28" t="s">
        <v>663</v>
      </c>
      <c r="F64" s="28" t="s">
        <v>664</v>
      </c>
      <c r="G64" s="28" t="s">
        <v>665</v>
      </c>
    </row>
    <row r="65" spans="1:9" customFormat="1" ht="21">
      <c r="A65" s="28" t="s">
        <v>326</v>
      </c>
      <c r="B65" s="28" t="s">
        <v>91</v>
      </c>
      <c r="C65" s="28" t="s">
        <v>92</v>
      </c>
      <c r="D65" s="28" t="s">
        <v>327</v>
      </c>
      <c r="E65" s="29">
        <v>447274</v>
      </c>
      <c r="F65" s="29">
        <v>-447273</v>
      </c>
      <c r="G65" s="29">
        <v>1</v>
      </c>
      <c r="H65" t="s">
        <v>1462</v>
      </c>
      <c r="I65" t="s">
        <v>11</v>
      </c>
    </row>
    <row r="66" spans="1:9" customFormat="1" ht="21">
      <c r="A66" s="28" t="s">
        <v>328</v>
      </c>
      <c r="B66" s="28" t="s">
        <v>91</v>
      </c>
      <c r="C66" s="28" t="s">
        <v>92</v>
      </c>
      <c r="D66" s="28" t="s">
        <v>329</v>
      </c>
      <c r="E66" s="29">
        <v>6280580</v>
      </c>
      <c r="F66" s="29">
        <v>-560876.14</v>
      </c>
      <c r="G66" s="29">
        <v>5719703.8600000003</v>
      </c>
      <c r="H66" t="s">
        <v>1462</v>
      </c>
      <c r="I66" t="s">
        <v>11</v>
      </c>
    </row>
    <row r="67" spans="1:9" customFormat="1" ht="21">
      <c r="A67" s="28" t="s">
        <v>328</v>
      </c>
      <c r="B67" s="28" t="s">
        <v>108</v>
      </c>
      <c r="C67" s="28" t="s">
        <v>92</v>
      </c>
      <c r="D67" s="28" t="s">
        <v>329</v>
      </c>
      <c r="E67" s="29">
        <v>3093420</v>
      </c>
      <c r="F67" s="29">
        <v>-3093419</v>
      </c>
      <c r="G67" s="29">
        <v>1</v>
      </c>
      <c r="H67" t="s">
        <v>1462</v>
      </c>
      <c r="I67" t="s">
        <v>11</v>
      </c>
    </row>
    <row r="68" spans="1:9" customFormat="1" ht="21">
      <c r="A68" s="28" t="s">
        <v>330</v>
      </c>
      <c r="B68" s="28" t="s">
        <v>91</v>
      </c>
      <c r="C68" s="28" t="s">
        <v>92</v>
      </c>
      <c r="D68" s="28" t="s">
        <v>331</v>
      </c>
      <c r="E68" s="29">
        <v>409300</v>
      </c>
      <c r="F68" s="29">
        <v>-409299</v>
      </c>
      <c r="G68" s="29">
        <v>1</v>
      </c>
      <c r="H68" t="s">
        <v>1462</v>
      </c>
      <c r="I68" t="s">
        <v>11</v>
      </c>
    </row>
    <row r="69" spans="1:9" customFormat="1" ht="21">
      <c r="A69" s="28" t="s">
        <v>332</v>
      </c>
      <c r="B69" s="28" t="s">
        <v>91</v>
      </c>
      <c r="C69" s="28" t="s">
        <v>92</v>
      </c>
      <c r="D69" s="28" t="s">
        <v>333</v>
      </c>
      <c r="E69" s="29">
        <v>1164000</v>
      </c>
      <c r="F69" s="29">
        <v>-1163999</v>
      </c>
      <c r="G69" s="29">
        <v>1</v>
      </c>
      <c r="H69" t="s">
        <v>1462</v>
      </c>
      <c r="I69" t="s">
        <v>11</v>
      </c>
    </row>
    <row r="70" spans="1:9" customFormat="1" ht="21">
      <c r="A70" s="28" t="s">
        <v>334</v>
      </c>
      <c r="B70" s="28" t="s">
        <v>91</v>
      </c>
      <c r="C70" s="28" t="s">
        <v>92</v>
      </c>
      <c r="D70" s="28" t="s">
        <v>335</v>
      </c>
      <c r="E70" s="29">
        <v>225500</v>
      </c>
      <c r="F70" s="29">
        <v>-67464.66</v>
      </c>
      <c r="G70" s="29">
        <v>158035.34</v>
      </c>
      <c r="H70" t="s">
        <v>1462</v>
      </c>
      <c r="I70" t="s">
        <v>11</v>
      </c>
    </row>
    <row r="71" spans="1:9" customFormat="1" ht="21">
      <c r="A71" s="28" t="s">
        <v>334</v>
      </c>
      <c r="B71" s="28" t="s">
        <v>108</v>
      </c>
      <c r="C71" s="28" t="s">
        <v>92</v>
      </c>
      <c r="D71" s="28" t="s">
        <v>335</v>
      </c>
      <c r="E71" s="29">
        <v>902000</v>
      </c>
      <c r="F71" s="29">
        <v>-901999</v>
      </c>
      <c r="G71" s="29">
        <v>1</v>
      </c>
      <c r="H71" t="s">
        <v>1462</v>
      </c>
      <c r="I71" t="s">
        <v>11</v>
      </c>
    </row>
    <row r="72" spans="1:9" customFormat="1" ht="21">
      <c r="A72" s="28" t="s">
        <v>336</v>
      </c>
      <c r="B72" s="28" t="s">
        <v>91</v>
      </c>
      <c r="C72" s="28" t="s">
        <v>92</v>
      </c>
      <c r="D72" s="28" t="s">
        <v>337</v>
      </c>
      <c r="E72" s="29">
        <v>447274</v>
      </c>
      <c r="F72" s="29">
        <v>-447273</v>
      </c>
      <c r="G72" s="29">
        <v>1</v>
      </c>
      <c r="H72" t="s">
        <v>1462</v>
      </c>
      <c r="I72" t="s">
        <v>11</v>
      </c>
    </row>
    <row r="73" spans="1:9" customFormat="1" ht="21">
      <c r="A73" s="28" t="s">
        <v>556</v>
      </c>
      <c r="B73" s="28" t="s">
        <v>91</v>
      </c>
      <c r="C73" s="28" t="s">
        <v>92</v>
      </c>
      <c r="D73" s="28" t="s">
        <v>557</v>
      </c>
      <c r="E73" s="29">
        <v>4145000</v>
      </c>
      <c r="F73" s="29">
        <v>-4144999</v>
      </c>
      <c r="G73" s="29">
        <v>1</v>
      </c>
      <c r="H73" t="s">
        <v>1462</v>
      </c>
      <c r="I73" t="s">
        <v>9</v>
      </c>
    </row>
    <row r="74" spans="1:9" customFormat="1" ht="21">
      <c r="A74" s="28" t="s">
        <v>558</v>
      </c>
      <c r="B74" s="28" t="s">
        <v>91</v>
      </c>
      <c r="C74" s="28" t="s">
        <v>92</v>
      </c>
      <c r="D74" s="28" t="s">
        <v>559</v>
      </c>
      <c r="E74" s="29">
        <v>3127400</v>
      </c>
      <c r="F74" s="29">
        <v>-3127399</v>
      </c>
      <c r="G74" s="29">
        <v>1</v>
      </c>
      <c r="H74" t="s">
        <v>1462</v>
      </c>
      <c r="I74" t="s">
        <v>9</v>
      </c>
    </row>
    <row r="75" spans="1:9" customFormat="1" ht="21">
      <c r="A75" s="28" t="s">
        <v>560</v>
      </c>
      <c r="B75" s="28" t="s">
        <v>91</v>
      </c>
      <c r="C75" s="28" t="s">
        <v>92</v>
      </c>
      <c r="D75" s="28" t="s">
        <v>561</v>
      </c>
      <c r="E75" s="29">
        <v>26374999.300000001</v>
      </c>
      <c r="F75" s="29">
        <v>-2243806.42</v>
      </c>
      <c r="G75" s="29">
        <v>24131192.879999999</v>
      </c>
      <c r="H75" t="s">
        <v>1462</v>
      </c>
      <c r="I75" t="s">
        <v>9</v>
      </c>
    </row>
    <row r="76" spans="1:9" customFormat="1" ht="21">
      <c r="A76" s="28" t="s">
        <v>560</v>
      </c>
      <c r="B76" s="28" t="s">
        <v>108</v>
      </c>
      <c r="C76" s="28" t="s">
        <v>92</v>
      </c>
      <c r="D76" s="28" t="s">
        <v>561</v>
      </c>
      <c r="E76" s="29">
        <v>11124999.699999999</v>
      </c>
      <c r="F76" s="29">
        <v>-11124998.699999999</v>
      </c>
      <c r="G76" s="29">
        <v>1</v>
      </c>
      <c r="H76" t="s">
        <v>1462</v>
      </c>
      <c r="I76" t="s">
        <v>9</v>
      </c>
    </row>
    <row r="77" spans="1:9" customFormat="1" ht="21">
      <c r="A77" s="28" t="s">
        <v>1463</v>
      </c>
      <c r="B77" s="28" t="s">
        <v>91</v>
      </c>
      <c r="C77" s="28" t="s">
        <v>92</v>
      </c>
      <c r="D77" s="28" t="s">
        <v>1464</v>
      </c>
      <c r="E77" s="29">
        <v>656200</v>
      </c>
      <c r="F77" s="29">
        <v>-656199</v>
      </c>
      <c r="G77" s="29">
        <v>1</v>
      </c>
      <c r="H77" t="s">
        <v>1462</v>
      </c>
      <c r="I77" t="s">
        <v>13</v>
      </c>
    </row>
    <row r="78" spans="1:9" customFormat="1" ht="21">
      <c r="A78" s="28" t="s">
        <v>1465</v>
      </c>
      <c r="B78" s="28" t="s">
        <v>91</v>
      </c>
      <c r="C78" s="28" t="s">
        <v>92</v>
      </c>
      <c r="D78" s="28" t="s">
        <v>1466</v>
      </c>
      <c r="E78" s="29">
        <v>283905</v>
      </c>
      <c r="F78" s="29">
        <v>-62910.76</v>
      </c>
      <c r="G78" s="29">
        <v>220994.24</v>
      </c>
      <c r="H78" t="s">
        <v>1462</v>
      </c>
      <c r="I78" t="s">
        <v>13</v>
      </c>
    </row>
    <row r="79" spans="1:9" customFormat="1" ht="21">
      <c r="A79" s="28" t="s">
        <v>1465</v>
      </c>
      <c r="B79" s="28" t="s">
        <v>108</v>
      </c>
      <c r="C79" s="28" t="s">
        <v>92</v>
      </c>
      <c r="D79" s="28" t="s">
        <v>1466</v>
      </c>
      <c r="E79" s="29">
        <v>767595</v>
      </c>
      <c r="F79" s="29">
        <v>-767594</v>
      </c>
      <c r="G79" s="29">
        <v>1</v>
      </c>
      <c r="H79" t="s">
        <v>1462</v>
      </c>
      <c r="I79" t="s">
        <v>13</v>
      </c>
    </row>
    <row r="80" spans="1:9" customFormat="1" ht="21">
      <c r="A80" s="28" t="s">
        <v>1467</v>
      </c>
      <c r="B80" s="28" t="s">
        <v>91</v>
      </c>
      <c r="C80" s="28" t="s">
        <v>1230</v>
      </c>
      <c r="D80" s="28" t="s">
        <v>1231</v>
      </c>
      <c r="E80" s="29">
        <v>998000</v>
      </c>
      <c r="F80" s="29">
        <v>-238426.3</v>
      </c>
      <c r="G80" s="29">
        <v>759573.7</v>
      </c>
      <c r="H80" t="s">
        <v>1462</v>
      </c>
      <c r="I80" t="s">
        <v>681</v>
      </c>
    </row>
    <row r="81" spans="1:9" customFormat="1" ht="21">
      <c r="A81" s="28" t="s">
        <v>1468</v>
      </c>
      <c r="B81" s="28" t="s">
        <v>91</v>
      </c>
      <c r="C81" s="28" t="s">
        <v>1230</v>
      </c>
      <c r="D81" s="28" t="s">
        <v>1231</v>
      </c>
      <c r="E81" s="29">
        <v>998000</v>
      </c>
      <c r="F81" s="29">
        <v>-238426.3</v>
      </c>
      <c r="G81" s="29">
        <v>759573.7</v>
      </c>
      <c r="H81" t="s">
        <v>1462</v>
      </c>
      <c r="I81" t="s">
        <v>681</v>
      </c>
    </row>
    <row r="82" spans="1:9" customFormat="1" ht="21">
      <c r="A82" s="28" t="s">
        <v>1469</v>
      </c>
      <c r="B82" s="28" t="s">
        <v>91</v>
      </c>
      <c r="C82" s="28" t="s">
        <v>679</v>
      </c>
      <c r="D82" s="28" t="s">
        <v>680</v>
      </c>
      <c r="E82" s="29">
        <v>449663</v>
      </c>
      <c r="F82" s="29">
        <v>-103237.7</v>
      </c>
      <c r="G82" s="29">
        <v>346425.3</v>
      </c>
      <c r="H82" t="s">
        <v>1462</v>
      </c>
      <c r="I82" t="s">
        <v>681</v>
      </c>
    </row>
    <row r="83" spans="1:9" customFormat="1" ht="21">
      <c r="A83" s="28" t="s">
        <v>1470</v>
      </c>
      <c r="B83" s="28" t="s">
        <v>91</v>
      </c>
      <c r="C83" s="28" t="s">
        <v>679</v>
      </c>
      <c r="D83" s="28" t="s">
        <v>683</v>
      </c>
      <c r="E83" s="29">
        <v>49870</v>
      </c>
      <c r="F83" s="29">
        <v>-11449.61</v>
      </c>
      <c r="G83" s="29">
        <v>38420.39</v>
      </c>
      <c r="H83" t="s">
        <v>1462</v>
      </c>
      <c r="I83" t="s">
        <v>681</v>
      </c>
    </row>
    <row r="84" spans="1:9" customFormat="1" ht="21">
      <c r="A84" s="28" t="s">
        <v>1471</v>
      </c>
      <c r="B84" s="28" t="s">
        <v>91</v>
      </c>
      <c r="C84" s="28" t="s">
        <v>679</v>
      </c>
      <c r="D84" s="28" t="s">
        <v>683</v>
      </c>
      <c r="E84" s="29">
        <v>49870</v>
      </c>
      <c r="F84" s="29">
        <v>-11449.61</v>
      </c>
      <c r="G84" s="29">
        <v>38420.39</v>
      </c>
      <c r="H84" t="s">
        <v>1462</v>
      </c>
      <c r="I84" t="s">
        <v>681</v>
      </c>
    </row>
    <row r="85" spans="1:9" customFormat="1" ht="21">
      <c r="A85" s="28" t="s">
        <v>1472</v>
      </c>
      <c r="B85" s="28" t="s">
        <v>91</v>
      </c>
      <c r="C85" s="28" t="s">
        <v>679</v>
      </c>
      <c r="D85" s="28" t="s">
        <v>683</v>
      </c>
      <c r="E85" s="29">
        <v>49870</v>
      </c>
      <c r="F85" s="29">
        <v>-11449.61</v>
      </c>
      <c r="G85" s="29">
        <v>38420.39</v>
      </c>
      <c r="H85" t="s">
        <v>1462</v>
      </c>
      <c r="I85" t="s">
        <v>681</v>
      </c>
    </row>
    <row r="86" spans="1:9" customFormat="1" ht="21">
      <c r="A86" s="28" t="s">
        <v>1473</v>
      </c>
      <c r="B86" s="28" t="s">
        <v>91</v>
      </c>
      <c r="C86" s="28" t="s">
        <v>679</v>
      </c>
      <c r="D86" s="28" t="s">
        <v>683</v>
      </c>
      <c r="E86" s="29">
        <v>49870</v>
      </c>
      <c r="F86" s="29">
        <v>-11449.61</v>
      </c>
      <c r="G86" s="29">
        <v>38420.39</v>
      </c>
      <c r="H86" t="s">
        <v>1462</v>
      </c>
      <c r="I86" t="s">
        <v>681</v>
      </c>
    </row>
    <row r="87" spans="1:9" customFormat="1" ht="21">
      <c r="A87" s="28" t="s">
        <v>1474</v>
      </c>
      <c r="B87" s="28" t="s">
        <v>91</v>
      </c>
      <c r="C87" s="28" t="s">
        <v>679</v>
      </c>
      <c r="D87" s="28" t="s">
        <v>683</v>
      </c>
      <c r="E87" s="29">
        <v>49870</v>
      </c>
      <c r="F87" s="29">
        <v>-11449.61</v>
      </c>
      <c r="G87" s="29">
        <v>38420.39</v>
      </c>
      <c r="H87" t="s">
        <v>1462</v>
      </c>
      <c r="I87" t="s">
        <v>681</v>
      </c>
    </row>
    <row r="88" spans="1:9" customFormat="1" ht="21">
      <c r="A88" s="28" t="s">
        <v>1475</v>
      </c>
      <c r="B88" s="28" t="s">
        <v>91</v>
      </c>
      <c r="C88" s="28" t="s">
        <v>686</v>
      </c>
      <c r="D88" s="28" t="s">
        <v>687</v>
      </c>
      <c r="E88" s="29">
        <v>349650</v>
      </c>
      <c r="F88" s="29">
        <v>-91004.800000000003</v>
      </c>
      <c r="G88" s="29">
        <v>258645.2</v>
      </c>
      <c r="H88" t="s">
        <v>1462</v>
      </c>
      <c r="I88" t="s">
        <v>681</v>
      </c>
    </row>
    <row r="89" spans="1:9" customFormat="1" ht="21">
      <c r="A89" s="28" t="s">
        <v>1476</v>
      </c>
      <c r="B89" s="28" t="s">
        <v>91</v>
      </c>
      <c r="C89" s="28" t="s">
        <v>605</v>
      </c>
      <c r="D89" s="28" t="s">
        <v>1477</v>
      </c>
      <c r="E89" s="29">
        <v>1999800</v>
      </c>
      <c r="F89" s="29">
        <v>-1947894.59</v>
      </c>
      <c r="G89" s="29">
        <v>51905.41</v>
      </c>
      <c r="H89" t="s">
        <v>1462</v>
      </c>
      <c r="I89" t="s">
        <v>681</v>
      </c>
    </row>
    <row r="90" spans="1:9" customFormat="1" ht="21">
      <c r="A90" s="28" t="s">
        <v>1478</v>
      </c>
      <c r="B90" s="28" t="s">
        <v>91</v>
      </c>
      <c r="C90" s="28" t="s">
        <v>605</v>
      </c>
      <c r="D90" s="28" t="s">
        <v>697</v>
      </c>
      <c r="E90" s="29">
        <v>82692</v>
      </c>
      <c r="F90" s="29">
        <v>-79445.83</v>
      </c>
      <c r="G90" s="29">
        <v>3246.17</v>
      </c>
      <c r="H90" t="s">
        <v>1462</v>
      </c>
      <c r="I90" t="s">
        <v>681</v>
      </c>
    </row>
    <row r="91" spans="1:9" customFormat="1" ht="21">
      <c r="A91" s="28" t="s">
        <v>1479</v>
      </c>
      <c r="B91" s="28" t="s">
        <v>91</v>
      </c>
      <c r="C91" s="28" t="s">
        <v>605</v>
      </c>
      <c r="D91" s="28" t="s">
        <v>697</v>
      </c>
      <c r="E91" s="29">
        <v>82692</v>
      </c>
      <c r="F91" s="29">
        <v>-79445.83</v>
      </c>
      <c r="G91" s="29">
        <v>3246.17</v>
      </c>
      <c r="H91" t="s">
        <v>1462</v>
      </c>
      <c r="I91" t="s">
        <v>681</v>
      </c>
    </row>
    <row r="92" spans="1:9" customFormat="1" ht="21">
      <c r="A92" s="28" t="s">
        <v>1480</v>
      </c>
      <c r="B92" s="28" t="s">
        <v>91</v>
      </c>
      <c r="C92" s="28" t="s">
        <v>605</v>
      </c>
      <c r="D92" s="28" t="s">
        <v>1481</v>
      </c>
      <c r="E92" s="29">
        <v>81180</v>
      </c>
      <c r="F92" s="29">
        <v>-77993.179999999993</v>
      </c>
      <c r="G92" s="29">
        <v>3186.82</v>
      </c>
      <c r="H92" t="s">
        <v>1462</v>
      </c>
      <c r="I92" t="s">
        <v>681</v>
      </c>
    </row>
    <row r="93" spans="1:9" customFormat="1" ht="21">
      <c r="A93" s="28" t="s">
        <v>1482</v>
      </c>
      <c r="B93" s="28" t="s">
        <v>91</v>
      </c>
      <c r="C93" s="28" t="s">
        <v>605</v>
      </c>
      <c r="D93" s="28" t="s">
        <v>1481</v>
      </c>
      <c r="E93" s="29">
        <v>81180</v>
      </c>
      <c r="F93" s="29">
        <v>-77993.179999999993</v>
      </c>
      <c r="G93" s="29">
        <v>3186.82</v>
      </c>
      <c r="H93" t="s">
        <v>1462</v>
      </c>
      <c r="I93" t="s">
        <v>681</v>
      </c>
    </row>
    <row r="94" spans="1:9" customFormat="1" ht="21">
      <c r="A94" s="28" t="s">
        <v>1483</v>
      </c>
      <c r="B94" s="28" t="s">
        <v>91</v>
      </c>
      <c r="C94" s="28" t="s">
        <v>605</v>
      </c>
      <c r="D94" s="28" t="s">
        <v>1119</v>
      </c>
      <c r="E94" s="29">
        <v>69900</v>
      </c>
      <c r="F94" s="29">
        <v>-66249.919999999998</v>
      </c>
      <c r="G94" s="29">
        <v>3650.08</v>
      </c>
      <c r="H94" t="s">
        <v>1462</v>
      </c>
      <c r="I94" t="s">
        <v>681</v>
      </c>
    </row>
    <row r="95" spans="1:9" customFormat="1" ht="21">
      <c r="A95" s="28" t="s">
        <v>1484</v>
      </c>
      <c r="B95" s="28" t="s">
        <v>91</v>
      </c>
      <c r="C95" s="28" t="s">
        <v>605</v>
      </c>
      <c r="D95" s="28" t="s">
        <v>928</v>
      </c>
      <c r="E95" s="29">
        <v>1019000</v>
      </c>
      <c r="F95" s="29">
        <v>-935667.83</v>
      </c>
      <c r="G95" s="29">
        <v>83332.17</v>
      </c>
      <c r="H95" t="s">
        <v>1462</v>
      </c>
      <c r="I95" t="s">
        <v>681</v>
      </c>
    </row>
    <row r="96" spans="1:9" customFormat="1" ht="21">
      <c r="A96" s="28" t="s">
        <v>1485</v>
      </c>
      <c r="B96" s="28" t="s">
        <v>91</v>
      </c>
      <c r="C96" s="28" t="s">
        <v>605</v>
      </c>
      <c r="D96" s="28" t="s">
        <v>1312</v>
      </c>
      <c r="E96" s="29">
        <v>199740</v>
      </c>
      <c r="F96" s="29">
        <v>-162876.57999999999</v>
      </c>
      <c r="G96" s="29">
        <v>36863.42</v>
      </c>
      <c r="H96" t="s">
        <v>1462</v>
      </c>
      <c r="I96" t="s">
        <v>681</v>
      </c>
    </row>
    <row r="97" spans="1:9" customFormat="1" ht="21">
      <c r="A97" s="28" t="s">
        <v>1486</v>
      </c>
      <c r="B97" s="28" t="s">
        <v>91</v>
      </c>
      <c r="C97" s="28" t="s">
        <v>605</v>
      </c>
      <c r="D97" s="28" t="s">
        <v>1312</v>
      </c>
      <c r="E97" s="29">
        <v>199740</v>
      </c>
      <c r="F97" s="29">
        <v>-162876.57999999999</v>
      </c>
      <c r="G97" s="29">
        <v>36863.42</v>
      </c>
      <c r="H97" t="s">
        <v>1462</v>
      </c>
      <c r="I97" t="s">
        <v>681</v>
      </c>
    </row>
    <row r="98" spans="1:9" customFormat="1" ht="21">
      <c r="A98" s="28" t="s">
        <v>1487</v>
      </c>
      <c r="B98" s="28" t="s">
        <v>91</v>
      </c>
      <c r="C98" s="28" t="s">
        <v>605</v>
      </c>
      <c r="D98" s="28" t="s">
        <v>1312</v>
      </c>
      <c r="E98" s="29">
        <v>199740</v>
      </c>
      <c r="F98" s="29">
        <v>-162876.57999999999</v>
      </c>
      <c r="G98" s="29">
        <v>36863.42</v>
      </c>
      <c r="H98" t="s">
        <v>1462</v>
      </c>
      <c r="I98" t="s">
        <v>681</v>
      </c>
    </row>
    <row r="99" spans="1:9" customFormat="1" ht="21">
      <c r="A99" s="28" t="s">
        <v>1488</v>
      </c>
      <c r="B99" s="28" t="s">
        <v>91</v>
      </c>
      <c r="C99" s="28" t="s">
        <v>605</v>
      </c>
      <c r="D99" s="28" t="s">
        <v>1312</v>
      </c>
      <c r="E99" s="29">
        <v>199740</v>
      </c>
      <c r="F99" s="29">
        <v>-162876.57999999999</v>
      </c>
      <c r="G99" s="29">
        <v>36863.42</v>
      </c>
      <c r="H99" t="s">
        <v>1462</v>
      </c>
      <c r="I99" t="s">
        <v>681</v>
      </c>
    </row>
    <row r="100" spans="1:9" customFormat="1" ht="21">
      <c r="A100" s="28" t="s">
        <v>1489</v>
      </c>
      <c r="B100" s="28" t="s">
        <v>91</v>
      </c>
      <c r="C100" s="28" t="s">
        <v>605</v>
      </c>
      <c r="D100" s="28" t="s">
        <v>1312</v>
      </c>
      <c r="E100" s="29">
        <v>199740</v>
      </c>
      <c r="F100" s="29">
        <v>-162876.57999999999</v>
      </c>
      <c r="G100" s="29">
        <v>36863.42</v>
      </c>
      <c r="H100" t="s">
        <v>1462</v>
      </c>
      <c r="I100" t="s">
        <v>681</v>
      </c>
    </row>
    <row r="101" spans="1:9" customFormat="1" ht="21">
      <c r="A101" s="28" t="s">
        <v>1490</v>
      </c>
      <c r="B101" s="28" t="s">
        <v>91</v>
      </c>
      <c r="C101" s="28" t="s">
        <v>605</v>
      </c>
      <c r="D101" s="28" t="s">
        <v>816</v>
      </c>
      <c r="E101" s="29">
        <v>449000</v>
      </c>
      <c r="F101" s="29">
        <v>-346438.76</v>
      </c>
      <c r="G101" s="29">
        <v>102561.24</v>
      </c>
      <c r="H101" t="s">
        <v>1462</v>
      </c>
      <c r="I101" t="s">
        <v>681</v>
      </c>
    </row>
    <row r="102" spans="1:9" customFormat="1" ht="21">
      <c r="A102" s="28" t="s">
        <v>1491</v>
      </c>
      <c r="B102" s="28" t="s">
        <v>91</v>
      </c>
      <c r="C102" s="28" t="s">
        <v>605</v>
      </c>
      <c r="D102" s="28" t="s">
        <v>1492</v>
      </c>
      <c r="E102" s="29">
        <v>5113000</v>
      </c>
      <c r="F102" s="29">
        <v>-3854368.31</v>
      </c>
      <c r="G102" s="29">
        <v>1258631.69</v>
      </c>
      <c r="H102" t="s">
        <v>1462</v>
      </c>
      <c r="I102" t="s">
        <v>681</v>
      </c>
    </row>
    <row r="103" spans="1:9" customFormat="1" ht="21">
      <c r="A103" s="28" t="s">
        <v>1493</v>
      </c>
      <c r="B103" s="28" t="s">
        <v>91</v>
      </c>
      <c r="C103" s="28" t="s">
        <v>605</v>
      </c>
      <c r="D103" s="28" t="s">
        <v>843</v>
      </c>
      <c r="E103" s="29">
        <v>639500</v>
      </c>
      <c r="F103" s="29">
        <v>-215231.39</v>
      </c>
      <c r="G103" s="29">
        <v>424268.61</v>
      </c>
      <c r="H103" t="s">
        <v>1462</v>
      </c>
      <c r="I103" t="s">
        <v>681</v>
      </c>
    </row>
  </sheetData>
  <mergeCells count="105">
    <mergeCell ref="A3:A4"/>
    <mergeCell ref="B3:B4"/>
    <mergeCell ref="C3:N3"/>
    <mergeCell ref="P3:P4"/>
    <mergeCell ref="Q3:Q4"/>
    <mergeCell ref="R3:AC3"/>
    <mergeCell ref="A1:N1"/>
    <mergeCell ref="P1:AC1"/>
    <mergeCell ref="AE1:BD1"/>
    <mergeCell ref="A2:N2"/>
    <mergeCell ref="P2:AC2"/>
    <mergeCell ref="AE2:BD2"/>
    <mergeCell ref="C14:N14"/>
    <mergeCell ref="P14:P15"/>
    <mergeCell ref="Q14:Q15"/>
    <mergeCell ref="R14:AC14"/>
    <mergeCell ref="BA3:BB3"/>
    <mergeCell ref="BC3:BD3"/>
    <mergeCell ref="A12:N12"/>
    <mergeCell ref="P12:AC12"/>
    <mergeCell ref="AE12:BD12"/>
    <mergeCell ref="A13:N13"/>
    <mergeCell ref="P13:AC13"/>
    <mergeCell ref="AE13:BD13"/>
    <mergeCell ref="AO3:AP3"/>
    <mergeCell ref="AQ3:AR3"/>
    <mergeCell ref="AS3:AT3"/>
    <mergeCell ref="AU3:AV3"/>
    <mergeCell ref="AW3:AX3"/>
    <mergeCell ref="AY3:AZ3"/>
    <mergeCell ref="AE3:AE4"/>
    <mergeCell ref="AF3:AF4"/>
    <mergeCell ref="AG3:AH3"/>
    <mergeCell ref="AI3:AJ3"/>
    <mergeCell ref="AK3:AL3"/>
    <mergeCell ref="AM3:AN3"/>
    <mergeCell ref="Q25:Q26"/>
    <mergeCell ref="R25:AC25"/>
    <mergeCell ref="BA14:BB14"/>
    <mergeCell ref="BC14:BD14"/>
    <mergeCell ref="A23:N23"/>
    <mergeCell ref="P23:AC23"/>
    <mergeCell ref="AE23:BD23"/>
    <mergeCell ref="A24:N24"/>
    <mergeCell ref="P24:AC24"/>
    <mergeCell ref="AE24:BD24"/>
    <mergeCell ref="AO14:AP14"/>
    <mergeCell ref="AQ14:AR14"/>
    <mergeCell ref="AS14:AT14"/>
    <mergeCell ref="AU14:AV14"/>
    <mergeCell ref="AW14:AX14"/>
    <mergeCell ref="AY14:AZ14"/>
    <mergeCell ref="AE14:AE15"/>
    <mergeCell ref="AF14:AF15"/>
    <mergeCell ref="AG14:AH14"/>
    <mergeCell ref="AI14:AJ14"/>
    <mergeCell ref="AK14:AL14"/>
    <mergeCell ref="AM14:AN14"/>
    <mergeCell ref="A14:A15"/>
    <mergeCell ref="B14:B15"/>
    <mergeCell ref="BA25:BB25"/>
    <mergeCell ref="BC25:BD25"/>
    <mergeCell ref="A43:N43"/>
    <mergeCell ref="P43:AC43"/>
    <mergeCell ref="AE43:BD43"/>
    <mergeCell ref="A44:N44"/>
    <mergeCell ref="P44:AC44"/>
    <mergeCell ref="AE44:BD44"/>
    <mergeCell ref="AO25:AP25"/>
    <mergeCell ref="AQ25:AR25"/>
    <mergeCell ref="AS25:AT25"/>
    <mergeCell ref="AU25:AV25"/>
    <mergeCell ref="AW25:AX25"/>
    <mergeCell ref="AY25:AZ25"/>
    <mergeCell ref="AE25:AE26"/>
    <mergeCell ref="AF25:AF26"/>
    <mergeCell ref="AG25:AH25"/>
    <mergeCell ref="AI25:AJ25"/>
    <mergeCell ref="AK25:AL25"/>
    <mergeCell ref="AM25:AN25"/>
    <mergeCell ref="A25:A26"/>
    <mergeCell ref="B25:B26"/>
    <mergeCell ref="C25:N25"/>
    <mergeCell ref="P25:P26"/>
    <mergeCell ref="BA45:BB45"/>
    <mergeCell ref="BC45:BD45"/>
    <mergeCell ref="A63:I63"/>
    <mergeCell ref="AO45:AP45"/>
    <mergeCell ref="AQ45:AR45"/>
    <mergeCell ref="AS45:AT45"/>
    <mergeCell ref="AU45:AV45"/>
    <mergeCell ref="AW45:AX45"/>
    <mergeCell ref="AY45:AZ45"/>
    <mergeCell ref="AE45:AE46"/>
    <mergeCell ref="AF45:AF46"/>
    <mergeCell ref="AG45:AH45"/>
    <mergeCell ref="AI45:AJ45"/>
    <mergeCell ref="AK45:AL45"/>
    <mergeCell ref="AM45:AN45"/>
    <mergeCell ref="A45:A46"/>
    <mergeCell ref="B45:B46"/>
    <mergeCell ref="C45:N45"/>
    <mergeCell ref="P45:P46"/>
    <mergeCell ref="Q45:Q46"/>
    <mergeCell ref="R45:AC4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C6E0-384B-4EBB-934C-DAC07C90AA15}">
  <dimension ref="A1:BD163"/>
  <sheetViews>
    <sheetView topLeftCell="A58" workbookViewId="0">
      <selection activeCell="E55" sqref="E55"/>
    </sheetView>
  </sheetViews>
  <sheetFormatPr defaultColWidth="18.75" defaultRowHeight="24.6"/>
  <cols>
    <col min="1" max="1" width="6.75" style="24" bestFit="1" customWidth="1"/>
    <col min="2" max="2" width="53" style="13" bestFit="1" customWidth="1"/>
    <col min="3" max="15" width="18.75" style="13"/>
    <col min="16" max="16" width="6.75" style="24" bestFit="1" customWidth="1"/>
    <col min="17" max="17" width="53" style="13" bestFit="1" customWidth="1"/>
    <col min="18" max="30" width="18.75" style="13"/>
    <col min="31" max="31" width="6.75" style="24" bestFit="1" customWidth="1"/>
    <col min="32" max="32" width="53" style="13" bestFit="1" customWidth="1"/>
    <col min="33" max="16384" width="18.75" style="13"/>
  </cols>
  <sheetData>
    <row r="1" spans="1:56">
      <c r="A1" s="37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2"/>
      <c r="P1" s="37" t="s">
        <v>49</v>
      </c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E1" s="37" t="s">
        <v>0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</row>
    <row r="2" spans="1:56">
      <c r="A2" s="37" t="s">
        <v>1950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2"/>
      <c r="P2" s="37" t="s">
        <v>1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E2" s="37" t="s">
        <v>1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</row>
    <row r="3" spans="1:56" s="15" customFormat="1">
      <c r="A3" s="35" t="s">
        <v>2</v>
      </c>
      <c r="B3" s="35" t="s">
        <v>3</v>
      </c>
      <c r="C3" s="38" t="s">
        <v>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  <c r="O3" s="14"/>
      <c r="P3" s="35" t="s">
        <v>2</v>
      </c>
      <c r="Q3" s="35" t="s">
        <v>3</v>
      </c>
      <c r="R3" s="38" t="s">
        <v>5</v>
      </c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E3" s="35" t="s">
        <v>2</v>
      </c>
      <c r="AF3" s="35" t="s">
        <v>3</v>
      </c>
      <c r="AG3" s="33">
        <v>25112</v>
      </c>
      <c r="AH3" s="34"/>
      <c r="AI3" s="33">
        <v>25143</v>
      </c>
      <c r="AJ3" s="34"/>
      <c r="AK3" s="33">
        <v>25173</v>
      </c>
      <c r="AL3" s="34"/>
      <c r="AM3" s="33">
        <v>25204</v>
      </c>
      <c r="AN3" s="34"/>
      <c r="AO3" s="33">
        <v>25235</v>
      </c>
      <c r="AP3" s="34"/>
      <c r="AQ3" s="33">
        <v>25263</v>
      </c>
      <c r="AR3" s="34"/>
      <c r="AS3" s="33">
        <v>25294</v>
      </c>
      <c r="AT3" s="34"/>
      <c r="AU3" s="33">
        <v>25324</v>
      </c>
      <c r="AV3" s="34"/>
      <c r="AW3" s="33">
        <v>25355</v>
      </c>
      <c r="AX3" s="34"/>
      <c r="AY3" s="33">
        <v>25385</v>
      </c>
      <c r="AZ3" s="34"/>
      <c r="BA3" s="33">
        <v>25416</v>
      </c>
      <c r="BB3" s="34"/>
      <c r="BC3" s="33">
        <v>25447</v>
      </c>
      <c r="BD3" s="34"/>
    </row>
    <row r="4" spans="1:56" s="15" customFormat="1">
      <c r="A4" s="36"/>
      <c r="B4" s="36"/>
      <c r="C4" s="16">
        <v>25112</v>
      </c>
      <c r="D4" s="16">
        <v>25143</v>
      </c>
      <c r="E4" s="16">
        <v>25173</v>
      </c>
      <c r="F4" s="16">
        <v>25204</v>
      </c>
      <c r="G4" s="16">
        <v>25235</v>
      </c>
      <c r="H4" s="16">
        <v>25263</v>
      </c>
      <c r="I4" s="16">
        <v>25294</v>
      </c>
      <c r="J4" s="16">
        <v>25324</v>
      </c>
      <c r="K4" s="16">
        <v>25355</v>
      </c>
      <c r="L4" s="16">
        <v>25385</v>
      </c>
      <c r="M4" s="16">
        <v>25416</v>
      </c>
      <c r="N4" s="16">
        <v>25447</v>
      </c>
      <c r="P4" s="36"/>
      <c r="Q4" s="36"/>
      <c r="R4" s="16">
        <v>25112</v>
      </c>
      <c r="S4" s="16">
        <v>25143</v>
      </c>
      <c r="T4" s="16">
        <v>25173</v>
      </c>
      <c r="U4" s="16">
        <v>25204</v>
      </c>
      <c r="V4" s="16">
        <v>25235</v>
      </c>
      <c r="W4" s="16">
        <v>25263</v>
      </c>
      <c r="X4" s="16">
        <v>25294</v>
      </c>
      <c r="Y4" s="16">
        <v>25324</v>
      </c>
      <c r="Z4" s="16">
        <v>25355</v>
      </c>
      <c r="AA4" s="16">
        <v>25385</v>
      </c>
      <c r="AB4" s="16">
        <v>25416</v>
      </c>
      <c r="AC4" s="16">
        <v>25447</v>
      </c>
      <c r="AE4" s="36"/>
      <c r="AF4" s="36"/>
      <c r="AG4" s="16" t="s">
        <v>85</v>
      </c>
      <c r="AH4" s="16" t="s">
        <v>86</v>
      </c>
      <c r="AI4" s="16" t="s">
        <v>85</v>
      </c>
      <c r="AJ4" s="16" t="s">
        <v>86</v>
      </c>
      <c r="AK4" s="16" t="s">
        <v>85</v>
      </c>
      <c r="AL4" s="16" t="s">
        <v>86</v>
      </c>
      <c r="AM4" s="16" t="s">
        <v>85</v>
      </c>
      <c r="AN4" s="16" t="s">
        <v>86</v>
      </c>
      <c r="AO4" s="16" t="s">
        <v>85</v>
      </c>
      <c r="AP4" s="16" t="s">
        <v>86</v>
      </c>
      <c r="AQ4" s="16" t="s">
        <v>85</v>
      </c>
      <c r="AR4" s="16" t="s">
        <v>86</v>
      </c>
      <c r="AS4" s="16" t="s">
        <v>85</v>
      </c>
      <c r="AT4" s="16" t="s">
        <v>86</v>
      </c>
      <c r="AU4" s="16" t="s">
        <v>85</v>
      </c>
      <c r="AV4" s="16" t="s">
        <v>86</v>
      </c>
      <c r="AW4" s="16" t="s">
        <v>85</v>
      </c>
      <c r="AX4" s="16" t="s">
        <v>86</v>
      </c>
      <c r="AY4" s="16" t="s">
        <v>85</v>
      </c>
      <c r="AZ4" s="16" t="s">
        <v>86</v>
      </c>
      <c r="BA4" s="16" t="s">
        <v>85</v>
      </c>
      <c r="BB4" s="16" t="s">
        <v>86</v>
      </c>
      <c r="BC4" s="16" t="s">
        <v>85</v>
      </c>
      <c r="BD4" s="16" t="s">
        <v>86</v>
      </c>
    </row>
    <row r="5" spans="1:56">
      <c r="A5" s="17">
        <v>1</v>
      </c>
      <c r="B5" s="18" t="s">
        <v>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P5" s="17">
        <v>1</v>
      </c>
      <c r="Q5" s="18" t="s">
        <v>8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E5" s="17">
        <v>1</v>
      </c>
      <c r="AF5" s="18" t="s">
        <v>8</v>
      </c>
      <c r="AG5" s="19">
        <f>+C5-R5</f>
        <v>0</v>
      </c>
      <c r="AH5" s="19" t="e">
        <f>+AG5/C5*100</f>
        <v>#DIV/0!</v>
      </c>
      <c r="AI5" s="19">
        <f>+D5-S5</f>
        <v>0</v>
      </c>
      <c r="AJ5" s="19" t="e">
        <f>+AI5/D5*100</f>
        <v>#DIV/0!</v>
      </c>
      <c r="AK5" s="19">
        <f>+E5-T5</f>
        <v>0</v>
      </c>
      <c r="AL5" s="19" t="e">
        <f>+AK5/E5*100</f>
        <v>#DIV/0!</v>
      </c>
      <c r="AM5" s="19">
        <f>+F5-U5</f>
        <v>0</v>
      </c>
      <c r="AN5" s="19" t="e">
        <f>+AM5/F5*100</f>
        <v>#DIV/0!</v>
      </c>
      <c r="AO5" s="19">
        <f>+G5-V5</f>
        <v>0</v>
      </c>
      <c r="AP5" s="19" t="e">
        <f>+AO5/G5*100</f>
        <v>#DIV/0!</v>
      </c>
      <c r="AQ5" s="19">
        <f>+H5-W5</f>
        <v>0</v>
      </c>
      <c r="AR5" s="19" t="e">
        <f>+AQ5/H5*100</f>
        <v>#DIV/0!</v>
      </c>
      <c r="AS5" s="19">
        <f>+I5-X5</f>
        <v>0</v>
      </c>
      <c r="AT5" s="19" t="e">
        <f>+AS5/I5*100</f>
        <v>#DIV/0!</v>
      </c>
      <c r="AU5" s="19">
        <f>+J5-Y5</f>
        <v>0</v>
      </c>
      <c r="AV5" s="19" t="e">
        <f>+AU5/J5*100</f>
        <v>#DIV/0!</v>
      </c>
      <c r="AW5" s="19">
        <f>+K5-Z5</f>
        <v>0</v>
      </c>
      <c r="AX5" s="19" t="e">
        <f>+AW5/K5*100</f>
        <v>#DIV/0!</v>
      </c>
      <c r="AY5" s="19">
        <f>+L5-AA5</f>
        <v>0</v>
      </c>
      <c r="AZ5" s="19" t="e">
        <f>+AY5/L5*100</f>
        <v>#DIV/0!</v>
      </c>
      <c r="BA5" s="19">
        <f>+M5-AB5</f>
        <v>0</v>
      </c>
      <c r="BB5" s="19" t="e">
        <f>+BA5/M5*100</f>
        <v>#DIV/0!</v>
      </c>
      <c r="BC5" s="19">
        <f>+N5-AC5</f>
        <v>0</v>
      </c>
      <c r="BD5" s="19" t="e">
        <f>+BC5/N5*100</f>
        <v>#DIV/0!</v>
      </c>
    </row>
    <row r="6" spans="1:56">
      <c r="A6" s="17">
        <v>2</v>
      </c>
      <c r="B6" s="18" t="s">
        <v>9</v>
      </c>
      <c r="C6" s="19">
        <v>20834806</v>
      </c>
      <c r="D6" s="19">
        <v>20834806</v>
      </c>
      <c r="E6" s="19">
        <v>20834806</v>
      </c>
      <c r="F6" s="19"/>
      <c r="G6" s="19"/>
      <c r="H6" s="19"/>
      <c r="I6" s="19"/>
      <c r="J6" s="19"/>
      <c r="K6" s="19"/>
      <c r="L6" s="19"/>
      <c r="M6" s="19"/>
      <c r="N6" s="19"/>
      <c r="P6" s="17">
        <v>2</v>
      </c>
      <c r="Q6" s="18" t="s">
        <v>9</v>
      </c>
      <c r="R6" s="19">
        <v>20294820</v>
      </c>
      <c r="S6" s="19">
        <v>20294820</v>
      </c>
      <c r="T6" s="19">
        <v>20294820</v>
      </c>
      <c r="U6" s="19"/>
      <c r="V6" s="19"/>
      <c r="W6" s="19"/>
      <c r="X6" s="19"/>
      <c r="Y6" s="19"/>
      <c r="Z6" s="19"/>
      <c r="AA6" s="19"/>
      <c r="AB6" s="19"/>
      <c r="AC6" s="19"/>
      <c r="AE6" s="17">
        <v>2</v>
      </c>
      <c r="AF6" s="18" t="s">
        <v>9</v>
      </c>
      <c r="AG6" s="19">
        <f t="shared" ref="AG6:AG10" si="0">+C6-R6</f>
        <v>539986</v>
      </c>
      <c r="AH6" s="19">
        <f t="shared" ref="AH6:AH10" si="1">+AG6/C6*100</f>
        <v>2.5917495944046709</v>
      </c>
      <c r="AI6" s="19">
        <f t="shared" ref="AI6:AI10" si="2">+D6-S6</f>
        <v>539986</v>
      </c>
      <c r="AJ6" s="19">
        <f t="shared" ref="AJ6:AJ10" si="3">+AI6/D6*100</f>
        <v>2.5917495944046709</v>
      </c>
      <c r="AK6" s="19">
        <f t="shared" ref="AK6:AK10" si="4">+E6-T6</f>
        <v>539986</v>
      </c>
      <c r="AL6" s="19">
        <f t="shared" ref="AL6:AL10" si="5">+AK6/E6*100</f>
        <v>2.5917495944046709</v>
      </c>
      <c r="AM6" s="19">
        <f t="shared" ref="AM6:AM10" si="6">+F6-U6</f>
        <v>0</v>
      </c>
      <c r="AN6" s="19" t="e">
        <f t="shared" ref="AN6:AN10" si="7">+AM6/F6*100</f>
        <v>#DIV/0!</v>
      </c>
      <c r="AO6" s="19">
        <f t="shared" ref="AO6:AO10" si="8">+G6-V6</f>
        <v>0</v>
      </c>
      <c r="AP6" s="19" t="e">
        <f t="shared" ref="AP6:AP10" si="9">+AO6/G6*100</f>
        <v>#DIV/0!</v>
      </c>
      <c r="AQ6" s="19">
        <f t="shared" ref="AQ6:AQ10" si="10">+H6-W6</f>
        <v>0</v>
      </c>
      <c r="AR6" s="19" t="e">
        <f t="shared" ref="AR6:AR10" si="11">+AQ6/H6*100</f>
        <v>#DIV/0!</v>
      </c>
      <c r="AS6" s="19">
        <f t="shared" ref="AS6:AS10" si="12">+I6-X6</f>
        <v>0</v>
      </c>
      <c r="AT6" s="19" t="e">
        <f t="shared" ref="AT6:AT10" si="13">+AS6/I6*100</f>
        <v>#DIV/0!</v>
      </c>
      <c r="AU6" s="19">
        <f t="shared" ref="AU6:AU10" si="14">+J6-Y6</f>
        <v>0</v>
      </c>
      <c r="AV6" s="19" t="e">
        <f t="shared" ref="AV6:AV10" si="15">+AU6/J6*100</f>
        <v>#DIV/0!</v>
      </c>
      <c r="AW6" s="19">
        <f t="shared" ref="AW6:AW10" si="16">+K6-Z6</f>
        <v>0</v>
      </c>
      <c r="AX6" s="19" t="e">
        <f t="shared" ref="AX6:AX10" si="17">+AW6/K6*100</f>
        <v>#DIV/0!</v>
      </c>
      <c r="AY6" s="19">
        <f t="shared" ref="AY6:AY10" si="18">+L6-AA6</f>
        <v>0</v>
      </c>
      <c r="AZ6" s="19" t="e">
        <f t="shared" ref="AZ6:AZ10" si="19">+AY6/L6*100</f>
        <v>#DIV/0!</v>
      </c>
      <c r="BA6" s="19">
        <f t="shared" ref="BA6:BA10" si="20">+M6-AB6</f>
        <v>0</v>
      </c>
      <c r="BB6" s="19" t="e">
        <f t="shared" ref="BB6:BB10" si="21">+BA6/M6*100</f>
        <v>#DIV/0!</v>
      </c>
      <c r="BC6" s="19">
        <f t="shared" ref="BC6:BC10" si="22">+N6-AC6</f>
        <v>0</v>
      </c>
      <c r="BD6" s="19" t="e">
        <f t="shared" ref="BD6:BD10" si="23">+BC6/N6*100</f>
        <v>#DIV/0!</v>
      </c>
    </row>
    <row r="7" spans="1:56">
      <c r="A7" s="17">
        <v>3</v>
      </c>
      <c r="B7" s="18" t="s">
        <v>11</v>
      </c>
      <c r="C7" s="19">
        <v>30689258</v>
      </c>
      <c r="D7" s="19">
        <v>30689258</v>
      </c>
      <c r="E7" s="19">
        <v>30689258</v>
      </c>
      <c r="F7" s="19"/>
      <c r="G7" s="19"/>
      <c r="H7" s="19"/>
      <c r="I7" s="19"/>
      <c r="J7" s="19"/>
      <c r="K7" s="19"/>
      <c r="L7" s="19"/>
      <c r="M7" s="19"/>
      <c r="N7" s="19"/>
      <c r="P7" s="17">
        <v>3</v>
      </c>
      <c r="Q7" s="18" t="s">
        <v>11</v>
      </c>
      <c r="R7" s="19">
        <v>14215350.4</v>
      </c>
      <c r="S7" s="19">
        <v>14215350.4</v>
      </c>
      <c r="T7" s="19">
        <v>14215350.4</v>
      </c>
      <c r="U7" s="19"/>
      <c r="V7" s="19"/>
      <c r="W7" s="19"/>
      <c r="X7" s="19"/>
      <c r="Y7" s="19"/>
      <c r="Z7" s="19"/>
      <c r="AA7" s="19"/>
      <c r="AB7" s="19"/>
      <c r="AC7" s="19"/>
      <c r="AE7" s="17">
        <v>3</v>
      </c>
      <c r="AF7" s="18" t="s">
        <v>11</v>
      </c>
      <c r="AG7" s="19">
        <f t="shared" si="0"/>
        <v>16473907.6</v>
      </c>
      <c r="AH7" s="19">
        <f t="shared" si="1"/>
        <v>53.67971946405482</v>
      </c>
      <c r="AI7" s="19">
        <f t="shared" si="2"/>
        <v>16473907.6</v>
      </c>
      <c r="AJ7" s="19">
        <f t="shared" si="3"/>
        <v>53.67971946405482</v>
      </c>
      <c r="AK7" s="19">
        <f t="shared" si="4"/>
        <v>16473907.6</v>
      </c>
      <c r="AL7" s="19">
        <f t="shared" si="5"/>
        <v>53.67971946405482</v>
      </c>
      <c r="AM7" s="19">
        <f t="shared" si="6"/>
        <v>0</v>
      </c>
      <c r="AN7" s="19" t="e">
        <f t="shared" si="7"/>
        <v>#DIV/0!</v>
      </c>
      <c r="AO7" s="19">
        <f t="shared" si="8"/>
        <v>0</v>
      </c>
      <c r="AP7" s="19" t="e">
        <f t="shared" si="9"/>
        <v>#DIV/0!</v>
      </c>
      <c r="AQ7" s="19">
        <f t="shared" si="10"/>
        <v>0</v>
      </c>
      <c r="AR7" s="19" t="e">
        <f t="shared" si="11"/>
        <v>#DIV/0!</v>
      </c>
      <c r="AS7" s="19">
        <f t="shared" si="12"/>
        <v>0</v>
      </c>
      <c r="AT7" s="19" t="e">
        <f t="shared" si="13"/>
        <v>#DIV/0!</v>
      </c>
      <c r="AU7" s="19">
        <f t="shared" si="14"/>
        <v>0</v>
      </c>
      <c r="AV7" s="19" t="e">
        <f t="shared" si="15"/>
        <v>#DIV/0!</v>
      </c>
      <c r="AW7" s="19">
        <f t="shared" si="16"/>
        <v>0</v>
      </c>
      <c r="AX7" s="19" t="e">
        <f t="shared" si="17"/>
        <v>#DIV/0!</v>
      </c>
      <c r="AY7" s="19">
        <f t="shared" si="18"/>
        <v>0</v>
      </c>
      <c r="AZ7" s="19" t="e">
        <f t="shared" si="19"/>
        <v>#DIV/0!</v>
      </c>
      <c r="BA7" s="19">
        <f t="shared" si="20"/>
        <v>0</v>
      </c>
      <c r="BB7" s="19" t="e">
        <f t="shared" si="21"/>
        <v>#DIV/0!</v>
      </c>
      <c r="BC7" s="19">
        <f t="shared" si="22"/>
        <v>0</v>
      </c>
      <c r="BD7" s="19" t="e">
        <f t="shared" si="23"/>
        <v>#DIV/0!</v>
      </c>
    </row>
    <row r="8" spans="1:56">
      <c r="A8" s="17">
        <v>4</v>
      </c>
      <c r="B8" s="18" t="s">
        <v>13</v>
      </c>
      <c r="C8" s="19">
        <v>4135688</v>
      </c>
      <c r="D8" s="19">
        <v>4135688</v>
      </c>
      <c r="E8" s="19">
        <v>4135688</v>
      </c>
      <c r="F8" s="19"/>
      <c r="G8" s="19"/>
      <c r="H8" s="19"/>
      <c r="I8" s="19"/>
      <c r="J8" s="19"/>
      <c r="K8" s="19"/>
      <c r="L8" s="19"/>
      <c r="M8" s="19"/>
      <c r="N8" s="19"/>
      <c r="P8" s="17">
        <v>4</v>
      </c>
      <c r="Q8" s="18" t="s">
        <v>13</v>
      </c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E8" s="17">
        <v>4</v>
      </c>
      <c r="AF8" s="18" t="s">
        <v>13</v>
      </c>
      <c r="AG8" s="19">
        <f t="shared" si="0"/>
        <v>4135688</v>
      </c>
      <c r="AH8" s="19">
        <f t="shared" si="1"/>
        <v>100</v>
      </c>
      <c r="AI8" s="19">
        <f t="shared" si="2"/>
        <v>4135688</v>
      </c>
      <c r="AJ8" s="19">
        <f t="shared" si="3"/>
        <v>100</v>
      </c>
      <c r="AK8" s="19">
        <f t="shared" si="4"/>
        <v>4135688</v>
      </c>
      <c r="AL8" s="19">
        <f t="shared" si="5"/>
        <v>100</v>
      </c>
      <c r="AM8" s="19">
        <f t="shared" si="6"/>
        <v>0</v>
      </c>
      <c r="AN8" s="19" t="e">
        <f t="shared" si="7"/>
        <v>#DIV/0!</v>
      </c>
      <c r="AO8" s="19">
        <f t="shared" si="8"/>
        <v>0</v>
      </c>
      <c r="AP8" s="19" t="e">
        <f t="shared" si="9"/>
        <v>#DIV/0!</v>
      </c>
      <c r="AQ8" s="19">
        <f t="shared" si="10"/>
        <v>0</v>
      </c>
      <c r="AR8" s="19" t="e">
        <f t="shared" si="11"/>
        <v>#DIV/0!</v>
      </c>
      <c r="AS8" s="19">
        <f t="shared" si="12"/>
        <v>0</v>
      </c>
      <c r="AT8" s="19" t="e">
        <f t="shared" si="13"/>
        <v>#DIV/0!</v>
      </c>
      <c r="AU8" s="19">
        <f t="shared" si="14"/>
        <v>0</v>
      </c>
      <c r="AV8" s="19" t="e">
        <f t="shared" si="15"/>
        <v>#DIV/0!</v>
      </c>
      <c r="AW8" s="19">
        <f t="shared" si="16"/>
        <v>0</v>
      </c>
      <c r="AX8" s="19" t="e">
        <f t="shared" si="17"/>
        <v>#DIV/0!</v>
      </c>
      <c r="AY8" s="19">
        <f t="shared" si="18"/>
        <v>0</v>
      </c>
      <c r="AZ8" s="19" t="e">
        <f t="shared" si="19"/>
        <v>#DIV/0!</v>
      </c>
      <c r="BA8" s="19">
        <f t="shared" si="20"/>
        <v>0</v>
      </c>
      <c r="BB8" s="19" t="e">
        <f t="shared" si="21"/>
        <v>#DIV/0!</v>
      </c>
      <c r="BC8" s="19">
        <f t="shared" si="22"/>
        <v>0</v>
      </c>
      <c r="BD8" s="19" t="e">
        <f t="shared" si="23"/>
        <v>#DIV/0!</v>
      </c>
    </row>
    <row r="9" spans="1:56">
      <c r="A9" s="17">
        <v>5</v>
      </c>
      <c r="B9" s="18" t="s">
        <v>15</v>
      </c>
      <c r="C9" s="19">
        <v>415160</v>
      </c>
      <c r="D9" s="19">
        <v>415160</v>
      </c>
      <c r="E9" s="19">
        <v>415160</v>
      </c>
      <c r="F9" s="19"/>
      <c r="G9" s="19"/>
      <c r="H9" s="19"/>
      <c r="I9" s="19"/>
      <c r="J9" s="19"/>
      <c r="K9" s="19"/>
      <c r="L9" s="19"/>
      <c r="M9" s="19"/>
      <c r="N9" s="19"/>
      <c r="P9" s="17">
        <v>5</v>
      </c>
      <c r="Q9" s="18" t="s">
        <v>15</v>
      </c>
      <c r="R9" s="19">
        <v>6356310.5</v>
      </c>
      <c r="S9" s="19">
        <v>6356310.5</v>
      </c>
      <c r="T9" s="19">
        <v>6356310.5</v>
      </c>
      <c r="U9" s="19"/>
      <c r="V9" s="19"/>
      <c r="W9" s="19"/>
      <c r="X9" s="19"/>
      <c r="Y9" s="19"/>
      <c r="Z9" s="19"/>
      <c r="AA9" s="19"/>
      <c r="AB9" s="19"/>
      <c r="AC9" s="19"/>
      <c r="AE9" s="17">
        <v>5</v>
      </c>
      <c r="AF9" s="18" t="s">
        <v>15</v>
      </c>
      <c r="AG9" s="19">
        <f t="shared" si="0"/>
        <v>-5941150.5</v>
      </c>
      <c r="AH9" s="19">
        <f t="shared" si="1"/>
        <v>-1431.0507996916851</v>
      </c>
      <c r="AI9" s="19">
        <f t="shared" si="2"/>
        <v>-5941150.5</v>
      </c>
      <c r="AJ9" s="19">
        <f t="shared" si="3"/>
        <v>-1431.0507996916851</v>
      </c>
      <c r="AK9" s="19">
        <f t="shared" si="4"/>
        <v>-5941150.5</v>
      </c>
      <c r="AL9" s="19">
        <f t="shared" si="5"/>
        <v>-1431.0507996916851</v>
      </c>
      <c r="AM9" s="19">
        <f t="shared" si="6"/>
        <v>0</v>
      </c>
      <c r="AN9" s="19" t="e">
        <f t="shared" si="7"/>
        <v>#DIV/0!</v>
      </c>
      <c r="AO9" s="19">
        <f t="shared" si="8"/>
        <v>0</v>
      </c>
      <c r="AP9" s="19" t="e">
        <f t="shared" si="9"/>
        <v>#DIV/0!</v>
      </c>
      <c r="AQ9" s="19">
        <f t="shared" si="10"/>
        <v>0</v>
      </c>
      <c r="AR9" s="19" t="e">
        <f t="shared" si="11"/>
        <v>#DIV/0!</v>
      </c>
      <c r="AS9" s="19">
        <f t="shared" si="12"/>
        <v>0</v>
      </c>
      <c r="AT9" s="19" t="e">
        <f t="shared" si="13"/>
        <v>#DIV/0!</v>
      </c>
      <c r="AU9" s="19">
        <f t="shared" si="14"/>
        <v>0</v>
      </c>
      <c r="AV9" s="19" t="e">
        <f t="shared" si="15"/>
        <v>#DIV/0!</v>
      </c>
      <c r="AW9" s="19">
        <f t="shared" si="16"/>
        <v>0</v>
      </c>
      <c r="AX9" s="19" t="e">
        <f t="shared" si="17"/>
        <v>#DIV/0!</v>
      </c>
      <c r="AY9" s="19">
        <f t="shared" si="18"/>
        <v>0</v>
      </c>
      <c r="AZ9" s="19" t="e">
        <f t="shared" si="19"/>
        <v>#DIV/0!</v>
      </c>
      <c r="BA9" s="19">
        <f t="shared" si="20"/>
        <v>0</v>
      </c>
      <c r="BB9" s="19" t="e">
        <f t="shared" si="21"/>
        <v>#DIV/0!</v>
      </c>
      <c r="BC9" s="19">
        <f t="shared" si="22"/>
        <v>0</v>
      </c>
      <c r="BD9" s="19" t="e">
        <f t="shared" si="23"/>
        <v>#DIV/0!</v>
      </c>
    </row>
    <row r="10" spans="1:56" s="22" customFormat="1" ht="25.2" thickBot="1">
      <c r="A10" s="20"/>
      <c r="B10" s="20" t="s">
        <v>17</v>
      </c>
      <c r="C10" s="21">
        <f>SUM(C5:C9)</f>
        <v>56074912</v>
      </c>
      <c r="D10" s="21">
        <f t="shared" ref="D10:N10" si="24">SUM(D5:D9)</f>
        <v>56074912</v>
      </c>
      <c r="E10" s="21">
        <f t="shared" si="24"/>
        <v>56074912</v>
      </c>
      <c r="F10" s="21">
        <f t="shared" si="24"/>
        <v>0</v>
      </c>
      <c r="G10" s="21">
        <f t="shared" si="24"/>
        <v>0</v>
      </c>
      <c r="H10" s="21">
        <f t="shared" si="24"/>
        <v>0</v>
      </c>
      <c r="I10" s="21">
        <f t="shared" si="24"/>
        <v>0</v>
      </c>
      <c r="J10" s="21">
        <f t="shared" si="24"/>
        <v>0</v>
      </c>
      <c r="K10" s="21">
        <f t="shared" si="24"/>
        <v>0</v>
      </c>
      <c r="L10" s="21">
        <f t="shared" si="24"/>
        <v>0</v>
      </c>
      <c r="M10" s="21">
        <f t="shared" si="24"/>
        <v>0</v>
      </c>
      <c r="N10" s="21">
        <f t="shared" si="24"/>
        <v>0</v>
      </c>
      <c r="P10" s="20"/>
      <c r="Q10" s="20" t="s">
        <v>17</v>
      </c>
      <c r="R10" s="21">
        <f>SUM(R5:R9)</f>
        <v>40866480.899999999</v>
      </c>
      <c r="S10" s="21">
        <f t="shared" ref="S10:AC10" si="25">SUM(S5:S9)</f>
        <v>40866480.899999999</v>
      </c>
      <c r="T10" s="21">
        <f t="shared" si="25"/>
        <v>40866480.899999999</v>
      </c>
      <c r="U10" s="21">
        <f t="shared" si="25"/>
        <v>0</v>
      </c>
      <c r="V10" s="21">
        <f t="shared" si="25"/>
        <v>0</v>
      </c>
      <c r="W10" s="21">
        <f t="shared" si="25"/>
        <v>0</v>
      </c>
      <c r="X10" s="21">
        <f t="shared" si="25"/>
        <v>0</v>
      </c>
      <c r="Y10" s="21">
        <f t="shared" si="25"/>
        <v>0</v>
      </c>
      <c r="Z10" s="21">
        <f t="shared" si="25"/>
        <v>0</v>
      </c>
      <c r="AA10" s="21">
        <f t="shared" si="25"/>
        <v>0</v>
      </c>
      <c r="AB10" s="21">
        <f t="shared" si="25"/>
        <v>0</v>
      </c>
      <c r="AC10" s="21">
        <f t="shared" si="25"/>
        <v>0</v>
      </c>
      <c r="AE10" s="20"/>
      <c r="AF10" s="20" t="s">
        <v>17</v>
      </c>
      <c r="AG10" s="23">
        <f t="shared" si="0"/>
        <v>15208431.100000001</v>
      </c>
      <c r="AH10" s="23">
        <f t="shared" si="1"/>
        <v>27.121631684415309</v>
      </c>
      <c r="AI10" s="23">
        <f t="shared" si="2"/>
        <v>15208431.100000001</v>
      </c>
      <c r="AJ10" s="23">
        <f t="shared" si="3"/>
        <v>27.121631684415309</v>
      </c>
      <c r="AK10" s="23">
        <f t="shared" si="4"/>
        <v>15208431.100000001</v>
      </c>
      <c r="AL10" s="23">
        <f t="shared" si="5"/>
        <v>27.121631684415309</v>
      </c>
      <c r="AM10" s="23">
        <f t="shared" si="6"/>
        <v>0</v>
      </c>
      <c r="AN10" s="23" t="e">
        <f t="shared" si="7"/>
        <v>#DIV/0!</v>
      </c>
      <c r="AO10" s="23">
        <f t="shared" si="8"/>
        <v>0</v>
      </c>
      <c r="AP10" s="23" t="e">
        <f t="shared" si="9"/>
        <v>#DIV/0!</v>
      </c>
      <c r="AQ10" s="23">
        <f t="shared" si="10"/>
        <v>0</v>
      </c>
      <c r="AR10" s="23" t="e">
        <f t="shared" si="11"/>
        <v>#DIV/0!</v>
      </c>
      <c r="AS10" s="23">
        <f t="shared" si="12"/>
        <v>0</v>
      </c>
      <c r="AT10" s="23" t="e">
        <f t="shared" si="13"/>
        <v>#DIV/0!</v>
      </c>
      <c r="AU10" s="23">
        <f t="shared" si="14"/>
        <v>0</v>
      </c>
      <c r="AV10" s="23" t="e">
        <f t="shared" si="15"/>
        <v>#DIV/0!</v>
      </c>
      <c r="AW10" s="23">
        <f t="shared" si="16"/>
        <v>0</v>
      </c>
      <c r="AX10" s="23" t="e">
        <f t="shared" si="17"/>
        <v>#DIV/0!</v>
      </c>
      <c r="AY10" s="23">
        <f t="shared" si="18"/>
        <v>0</v>
      </c>
      <c r="AZ10" s="23" t="e">
        <f t="shared" si="19"/>
        <v>#DIV/0!</v>
      </c>
      <c r="BA10" s="23">
        <f t="shared" si="20"/>
        <v>0</v>
      </c>
      <c r="BB10" s="23" t="e">
        <f t="shared" si="21"/>
        <v>#DIV/0!</v>
      </c>
      <c r="BC10" s="23">
        <f t="shared" si="22"/>
        <v>0</v>
      </c>
      <c r="BD10" s="23" t="e">
        <f t="shared" si="23"/>
        <v>#DIV/0!</v>
      </c>
    </row>
    <row r="11" spans="1:56" ht="25.2" thickTop="1"/>
    <row r="12" spans="1:56">
      <c r="A12" s="37" t="s">
        <v>46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P12" s="37" t="s">
        <v>50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E12" s="37" t="s">
        <v>87</v>
      </c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</row>
    <row r="13" spans="1:56">
      <c r="A13" s="37" t="s">
        <v>1950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P13" s="37" t="s">
        <v>1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E13" s="37" t="s">
        <v>1</v>
      </c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</row>
    <row r="14" spans="1:56" s="15" customFormat="1">
      <c r="A14" s="35" t="s">
        <v>2</v>
      </c>
      <c r="B14" s="35" t="s">
        <v>3</v>
      </c>
      <c r="C14" s="38" t="s">
        <v>4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0"/>
      <c r="P14" s="35" t="s">
        <v>2</v>
      </c>
      <c r="Q14" s="35" t="s">
        <v>3</v>
      </c>
      <c r="R14" s="38" t="s">
        <v>5</v>
      </c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40"/>
      <c r="AE14" s="35" t="s">
        <v>2</v>
      </c>
      <c r="AF14" s="35" t="s">
        <v>3</v>
      </c>
      <c r="AG14" s="33">
        <v>25112</v>
      </c>
      <c r="AH14" s="34"/>
      <c r="AI14" s="33">
        <v>25143</v>
      </c>
      <c r="AJ14" s="34"/>
      <c r="AK14" s="33">
        <v>25173</v>
      </c>
      <c r="AL14" s="34"/>
      <c r="AM14" s="33">
        <v>25204</v>
      </c>
      <c r="AN14" s="34"/>
      <c r="AO14" s="33">
        <v>25235</v>
      </c>
      <c r="AP14" s="34"/>
      <c r="AQ14" s="33">
        <v>25263</v>
      </c>
      <c r="AR14" s="34"/>
      <c r="AS14" s="33">
        <v>25294</v>
      </c>
      <c r="AT14" s="34"/>
      <c r="AU14" s="33">
        <v>25324</v>
      </c>
      <c r="AV14" s="34"/>
      <c r="AW14" s="33">
        <v>25355</v>
      </c>
      <c r="AX14" s="34"/>
      <c r="AY14" s="33">
        <v>25385</v>
      </c>
      <c r="AZ14" s="34"/>
      <c r="BA14" s="33">
        <v>25416</v>
      </c>
      <c r="BB14" s="34"/>
      <c r="BC14" s="33">
        <v>25447</v>
      </c>
      <c r="BD14" s="34"/>
    </row>
    <row r="15" spans="1:56" s="15" customFormat="1">
      <c r="A15" s="36"/>
      <c r="B15" s="36"/>
      <c r="C15" s="16">
        <v>25112</v>
      </c>
      <c r="D15" s="16">
        <v>25143</v>
      </c>
      <c r="E15" s="16">
        <v>25173</v>
      </c>
      <c r="F15" s="16">
        <v>25204</v>
      </c>
      <c r="G15" s="16">
        <v>25235</v>
      </c>
      <c r="H15" s="16">
        <v>25263</v>
      </c>
      <c r="I15" s="16">
        <v>25294</v>
      </c>
      <c r="J15" s="16">
        <v>25324</v>
      </c>
      <c r="K15" s="16">
        <v>25355</v>
      </c>
      <c r="L15" s="16">
        <v>25385</v>
      </c>
      <c r="M15" s="16">
        <v>25416</v>
      </c>
      <c r="N15" s="16">
        <v>25447</v>
      </c>
      <c r="P15" s="36"/>
      <c r="Q15" s="36"/>
      <c r="R15" s="16">
        <v>25112</v>
      </c>
      <c r="S15" s="16">
        <v>25143</v>
      </c>
      <c r="T15" s="16">
        <v>25173</v>
      </c>
      <c r="U15" s="16">
        <v>25204</v>
      </c>
      <c r="V15" s="16">
        <v>25235</v>
      </c>
      <c r="W15" s="16">
        <v>25263</v>
      </c>
      <c r="X15" s="16">
        <v>25294</v>
      </c>
      <c r="Y15" s="16">
        <v>25324</v>
      </c>
      <c r="Z15" s="16">
        <v>25355</v>
      </c>
      <c r="AA15" s="16">
        <v>25385</v>
      </c>
      <c r="AB15" s="16">
        <v>25416</v>
      </c>
      <c r="AC15" s="16">
        <v>25447</v>
      </c>
      <c r="AE15" s="36"/>
      <c r="AF15" s="36"/>
      <c r="AG15" s="16" t="s">
        <v>85</v>
      </c>
      <c r="AH15" s="16" t="s">
        <v>86</v>
      </c>
      <c r="AI15" s="16" t="s">
        <v>85</v>
      </c>
      <c r="AJ15" s="16" t="s">
        <v>86</v>
      </c>
      <c r="AK15" s="16" t="s">
        <v>85</v>
      </c>
      <c r="AL15" s="16" t="s">
        <v>86</v>
      </c>
      <c r="AM15" s="16" t="s">
        <v>85</v>
      </c>
      <c r="AN15" s="16" t="s">
        <v>86</v>
      </c>
      <c r="AO15" s="16" t="s">
        <v>85</v>
      </c>
      <c r="AP15" s="16" t="s">
        <v>86</v>
      </c>
      <c r="AQ15" s="16" t="s">
        <v>85</v>
      </c>
      <c r="AR15" s="16" t="s">
        <v>86</v>
      </c>
      <c r="AS15" s="16" t="s">
        <v>85</v>
      </c>
      <c r="AT15" s="16" t="s">
        <v>86</v>
      </c>
      <c r="AU15" s="16" t="s">
        <v>85</v>
      </c>
      <c r="AV15" s="16" t="s">
        <v>86</v>
      </c>
      <c r="AW15" s="16" t="s">
        <v>85</v>
      </c>
      <c r="AX15" s="16" t="s">
        <v>86</v>
      </c>
      <c r="AY15" s="16" t="s">
        <v>85</v>
      </c>
      <c r="AZ15" s="16" t="s">
        <v>86</v>
      </c>
      <c r="BA15" s="16" t="s">
        <v>85</v>
      </c>
      <c r="BB15" s="16" t="s">
        <v>86</v>
      </c>
      <c r="BC15" s="16" t="s">
        <v>85</v>
      </c>
      <c r="BD15" s="16" t="s">
        <v>86</v>
      </c>
    </row>
    <row r="16" spans="1:56">
      <c r="A16" s="17"/>
      <c r="B16" s="18"/>
      <c r="C16" s="19"/>
      <c r="D16" s="19"/>
      <c r="E16" s="19"/>
      <c r="F16" s="19"/>
      <c r="G16" s="18"/>
      <c r="H16" s="18"/>
      <c r="I16" s="18"/>
      <c r="J16" s="18"/>
      <c r="K16" s="18"/>
      <c r="L16" s="18"/>
      <c r="M16" s="18"/>
      <c r="N16" s="18"/>
      <c r="P16" s="17"/>
      <c r="Q16" s="18"/>
      <c r="R16" s="19"/>
      <c r="S16" s="19"/>
      <c r="T16" s="19"/>
      <c r="U16" s="19"/>
      <c r="V16" s="18"/>
      <c r="W16" s="18"/>
      <c r="X16" s="18"/>
      <c r="Y16" s="18"/>
      <c r="Z16" s="18"/>
      <c r="AA16" s="18"/>
      <c r="AB16" s="18"/>
      <c r="AC16" s="18"/>
      <c r="AE16" s="17"/>
      <c r="AF16" s="18"/>
      <c r="AG16" s="19"/>
      <c r="AH16" s="19"/>
      <c r="AI16" s="19"/>
      <c r="AJ16" s="19"/>
      <c r="AK16" s="19"/>
      <c r="AL16" s="19"/>
      <c r="AM16" s="19"/>
      <c r="AN16" s="19"/>
      <c r="AO16" s="18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</row>
    <row r="17" spans="1:56">
      <c r="A17" s="17">
        <v>1</v>
      </c>
      <c r="B17" s="18" t="s">
        <v>10</v>
      </c>
      <c r="C17" s="19">
        <v>17539814.120000001</v>
      </c>
      <c r="D17" s="19">
        <v>17566709.140000001</v>
      </c>
      <c r="E17" s="19">
        <v>17594500.640000001</v>
      </c>
      <c r="F17" s="19"/>
      <c r="G17" s="18"/>
      <c r="H17" s="18"/>
      <c r="I17" s="18"/>
      <c r="J17" s="18"/>
      <c r="K17" s="18"/>
      <c r="L17" s="18"/>
      <c r="M17" s="18"/>
      <c r="N17" s="18"/>
      <c r="P17" s="17">
        <v>1</v>
      </c>
      <c r="Q17" s="18" t="s">
        <v>10</v>
      </c>
      <c r="R17" s="19">
        <v>19318926.170000002</v>
      </c>
      <c r="S17" s="19">
        <v>19331637.77</v>
      </c>
      <c r="T17" s="19">
        <v>19344349.370000001</v>
      </c>
      <c r="U17" s="19"/>
      <c r="V17" s="18"/>
      <c r="W17" s="18"/>
      <c r="X17" s="18"/>
      <c r="Y17" s="18"/>
      <c r="Z17" s="18"/>
      <c r="AA17" s="18"/>
      <c r="AB17" s="18"/>
      <c r="AC17" s="18"/>
      <c r="AE17" s="17">
        <v>1</v>
      </c>
      <c r="AF17" s="18" t="s">
        <v>10</v>
      </c>
      <c r="AG17" s="19">
        <f t="shared" ref="AG17:AG21" si="26">+C17-R17</f>
        <v>-1779112.0500000007</v>
      </c>
      <c r="AH17" s="19">
        <f t="shared" ref="AH17:AH21" si="27">+AG17/C17*100</f>
        <v>-10.143277675738565</v>
      </c>
      <c r="AI17" s="19">
        <f t="shared" ref="AI17:AI21" si="28">+D17-S17</f>
        <v>-1764928.629999999</v>
      </c>
      <c r="AJ17" s="19">
        <f t="shared" ref="AJ17:AJ21" si="29">+AI17/D17*100</f>
        <v>-10.04700775731065</v>
      </c>
      <c r="AK17" s="19">
        <f t="shared" ref="AK17:AK21" si="30">+E17-T17</f>
        <v>-1749848.7300000004</v>
      </c>
      <c r="AL17" s="19">
        <f t="shared" ref="AL17:AL21" si="31">+AK17/E17*100</f>
        <v>-9.9454299147418173</v>
      </c>
      <c r="AM17" s="19">
        <f t="shared" ref="AM17:AM21" si="32">+F17-U17</f>
        <v>0</v>
      </c>
      <c r="AN17" s="19" t="e">
        <f t="shared" ref="AN17:AN21" si="33">+AM17/F17*100</f>
        <v>#DIV/0!</v>
      </c>
      <c r="AO17" s="19">
        <f t="shared" ref="AO17:AO21" si="34">+G17-V17</f>
        <v>0</v>
      </c>
      <c r="AP17" s="19" t="e">
        <f t="shared" ref="AP17:AP21" si="35">+AO17/G17*100</f>
        <v>#DIV/0!</v>
      </c>
      <c r="AQ17" s="19">
        <f t="shared" ref="AQ17:AQ21" si="36">+H17-W17</f>
        <v>0</v>
      </c>
      <c r="AR17" s="19" t="e">
        <f t="shared" ref="AR17:AR21" si="37">+AQ17/H17*100</f>
        <v>#DIV/0!</v>
      </c>
      <c r="AS17" s="19">
        <f t="shared" ref="AS17:AS21" si="38">+I17-X17</f>
        <v>0</v>
      </c>
      <c r="AT17" s="19" t="e">
        <f t="shared" ref="AT17:AT21" si="39">+AS17/I17*100</f>
        <v>#DIV/0!</v>
      </c>
      <c r="AU17" s="19">
        <f t="shared" ref="AU17:AU21" si="40">+J17-Y17</f>
        <v>0</v>
      </c>
      <c r="AV17" s="19" t="e">
        <f t="shared" ref="AV17:AV21" si="41">+AU17/J17*100</f>
        <v>#DIV/0!</v>
      </c>
      <c r="AW17" s="19">
        <f t="shared" ref="AW17:AW21" si="42">+K17-Z17</f>
        <v>0</v>
      </c>
      <c r="AX17" s="19" t="e">
        <f t="shared" ref="AX17:AX21" si="43">+AW17/K17*100</f>
        <v>#DIV/0!</v>
      </c>
      <c r="AY17" s="19">
        <f t="shared" ref="AY17:AY21" si="44">+L17-AA17</f>
        <v>0</v>
      </c>
      <c r="AZ17" s="19" t="e">
        <f t="shared" ref="AZ17:AZ21" si="45">+AY17/L17*100</f>
        <v>#DIV/0!</v>
      </c>
      <c r="BA17" s="19">
        <f t="shared" ref="BA17:BA21" si="46">+M17-AB17</f>
        <v>0</v>
      </c>
      <c r="BB17" s="19" t="e">
        <f t="shared" ref="BB17:BB21" si="47">+BA17/M17*100</f>
        <v>#DIV/0!</v>
      </c>
      <c r="BC17" s="19">
        <f t="shared" ref="BC17:BC21" si="48">+N17-AC17</f>
        <v>0</v>
      </c>
      <c r="BD17" s="19" t="e">
        <f t="shared" ref="BD17:BD21" si="49">+BC17/N17*100</f>
        <v>#DIV/0!</v>
      </c>
    </row>
    <row r="18" spans="1:56">
      <c r="A18" s="17">
        <v>2</v>
      </c>
      <c r="B18" s="18" t="s">
        <v>12</v>
      </c>
      <c r="C18" s="19">
        <v>23164418.920000002</v>
      </c>
      <c r="D18" s="19">
        <v>23219987.359999999</v>
      </c>
      <c r="E18" s="19">
        <v>23277408.100000001</v>
      </c>
      <c r="F18" s="19"/>
      <c r="G18" s="18"/>
      <c r="H18" s="18"/>
      <c r="I18" s="18"/>
      <c r="J18" s="18"/>
      <c r="K18" s="18"/>
      <c r="L18" s="18"/>
      <c r="M18" s="18"/>
      <c r="N18" s="18"/>
      <c r="P18" s="17">
        <v>2</v>
      </c>
      <c r="Q18" s="18" t="s">
        <v>12</v>
      </c>
      <c r="R18" s="19">
        <v>9836423.4900000002</v>
      </c>
      <c r="S18" s="19">
        <v>9873109.0600000005</v>
      </c>
      <c r="T18" s="19">
        <v>9909794.6300000008</v>
      </c>
      <c r="U18" s="19"/>
      <c r="V18" s="18"/>
      <c r="W18" s="18"/>
      <c r="X18" s="18"/>
      <c r="Y18" s="18"/>
      <c r="Z18" s="18"/>
      <c r="AA18" s="18"/>
      <c r="AB18" s="18"/>
      <c r="AC18" s="18"/>
      <c r="AE18" s="17">
        <v>2</v>
      </c>
      <c r="AF18" s="18" t="s">
        <v>12</v>
      </c>
      <c r="AG18" s="19">
        <f t="shared" si="26"/>
        <v>13327995.430000002</v>
      </c>
      <c r="AH18" s="19">
        <f t="shared" si="27"/>
        <v>57.536498005968554</v>
      </c>
      <c r="AI18" s="19">
        <f t="shared" si="28"/>
        <v>13346878.299999999</v>
      </c>
      <c r="AJ18" s="19">
        <f t="shared" si="29"/>
        <v>57.480127327683441</v>
      </c>
      <c r="AK18" s="19">
        <f t="shared" si="30"/>
        <v>13367613.470000001</v>
      </c>
      <c r="AL18" s="19">
        <f t="shared" si="31"/>
        <v>57.427413793548595</v>
      </c>
      <c r="AM18" s="19">
        <f t="shared" si="32"/>
        <v>0</v>
      </c>
      <c r="AN18" s="19" t="e">
        <f t="shared" si="33"/>
        <v>#DIV/0!</v>
      </c>
      <c r="AO18" s="19">
        <f t="shared" si="34"/>
        <v>0</v>
      </c>
      <c r="AP18" s="19" t="e">
        <f t="shared" si="35"/>
        <v>#DIV/0!</v>
      </c>
      <c r="AQ18" s="19">
        <f t="shared" si="36"/>
        <v>0</v>
      </c>
      <c r="AR18" s="19" t="e">
        <f t="shared" si="37"/>
        <v>#DIV/0!</v>
      </c>
      <c r="AS18" s="19">
        <f t="shared" si="38"/>
        <v>0</v>
      </c>
      <c r="AT18" s="19" t="e">
        <f t="shared" si="39"/>
        <v>#DIV/0!</v>
      </c>
      <c r="AU18" s="19">
        <f t="shared" si="40"/>
        <v>0</v>
      </c>
      <c r="AV18" s="19" t="e">
        <f t="shared" si="41"/>
        <v>#DIV/0!</v>
      </c>
      <c r="AW18" s="19">
        <f t="shared" si="42"/>
        <v>0</v>
      </c>
      <c r="AX18" s="19" t="e">
        <f t="shared" si="43"/>
        <v>#DIV/0!</v>
      </c>
      <c r="AY18" s="19">
        <f t="shared" si="44"/>
        <v>0</v>
      </c>
      <c r="AZ18" s="19" t="e">
        <f t="shared" si="45"/>
        <v>#DIV/0!</v>
      </c>
      <c r="BA18" s="19">
        <f t="shared" si="46"/>
        <v>0</v>
      </c>
      <c r="BB18" s="19" t="e">
        <f t="shared" si="47"/>
        <v>#DIV/0!</v>
      </c>
      <c r="BC18" s="19">
        <f t="shared" si="48"/>
        <v>0</v>
      </c>
      <c r="BD18" s="19" t="e">
        <f t="shared" si="49"/>
        <v>#DIV/0!</v>
      </c>
    </row>
    <row r="19" spans="1:56">
      <c r="A19" s="17">
        <v>3</v>
      </c>
      <c r="B19" s="18" t="s">
        <v>14</v>
      </c>
      <c r="C19" s="19">
        <v>3887230.39</v>
      </c>
      <c r="D19" s="19">
        <v>3891245.94</v>
      </c>
      <c r="E19" s="19">
        <v>3895395.32</v>
      </c>
      <c r="F19" s="19"/>
      <c r="G19" s="18"/>
      <c r="H19" s="18"/>
      <c r="I19" s="18"/>
      <c r="J19" s="18"/>
      <c r="K19" s="18"/>
      <c r="L19" s="18"/>
      <c r="M19" s="18"/>
      <c r="N19" s="18"/>
      <c r="P19" s="17">
        <v>3</v>
      </c>
      <c r="Q19" s="18" t="s">
        <v>14</v>
      </c>
      <c r="R19" s="19"/>
      <c r="S19" s="19"/>
      <c r="T19" s="19"/>
      <c r="U19" s="19"/>
      <c r="V19" s="18"/>
      <c r="W19" s="18"/>
      <c r="X19" s="18"/>
      <c r="Y19" s="18"/>
      <c r="Z19" s="18"/>
      <c r="AA19" s="18"/>
      <c r="AB19" s="18"/>
      <c r="AC19" s="18"/>
      <c r="AE19" s="17">
        <v>3</v>
      </c>
      <c r="AF19" s="18" t="s">
        <v>14</v>
      </c>
      <c r="AG19" s="19">
        <f t="shared" si="26"/>
        <v>3887230.39</v>
      </c>
      <c r="AH19" s="19">
        <f t="shared" si="27"/>
        <v>100</v>
      </c>
      <c r="AI19" s="19">
        <f t="shared" si="28"/>
        <v>3891245.94</v>
      </c>
      <c r="AJ19" s="19">
        <f t="shared" si="29"/>
        <v>100</v>
      </c>
      <c r="AK19" s="19">
        <f t="shared" si="30"/>
        <v>3895395.32</v>
      </c>
      <c r="AL19" s="19">
        <f t="shared" si="31"/>
        <v>100</v>
      </c>
      <c r="AM19" s="19">
        <f t="shared" si="32"/>
        <v>0</v>
      </c>
      <c r="AN19" s="19" t="e">
        <f t="shared" si="33"/>
        <v>#DIV/0!</v>
      </c>
      <c r="AO19" s="19">
        <f t="shared" si="34"/>
        <v>0</v>
      </c>
      <c r="AP19" s="19" t="e">
        <f t="shared" si="35"/>
        <v>#DIV/0!</v>
      </c>
      <c r="AQ19" s="19">
        <f t="shared" si="36"/>
        <v>0</v>
      </c>
      <c r="AR19" s="19" t="e">
        <f t="shared" si="37"/>
        <v>#DIV/0!</v>
      </c>
      <c r="AS19" s="19">
        <f t="shared" si="38"/>
        <v>0</v>
      </c>
      <c r="AT19" s="19" t="e">
        <f t="shared" si="39"/>
        <v>#DIV/0!</v>
      </c>
      <c r="AU19" s="19">
        <f t="shared" si="40"/>
        <v>0</v>
      </c>
      <c r="AV19" s="19" t="e">
        <f t="shared" si="41"/>
        <v>#DIV/0!</v>
      </c>
      <c r="AW19" s="19">
        <f t="shared" si="42"/>
        <v>0</v>
      </c>
      <c r="AX19" s="19" t="e">
        <f t="shared" si="43"/>
        <v>#DIV/0!</v>
      </c>
      <c r="AY19" s="19">
        <f t="shared" si="44"/>
        <v>0</v>
      </c>
      <c r="AZ19" s="19" t="e">
        <f t="shared" si="45"/>
        <v>#DIV/0!</v>
      </c>
      <c r="BA19" s="19">
        <f t="shared" si="46"/>
        <v>0</v>
      </c>
      <c r="BB19" s="19" t="e">
        <f t="shared" si="47"/>
        <v>#DIV/0!</v>
      </c>
      <c r="BC19" s="19">
        <f t="shared" si="48"/>
        <v>0</v>
      </c>
      <c r="BD19" s="19" t="e">
        <f t="shared" si="49"/>
        <v>#DIV/0!</v>
      </c>
    </row>
    <row r="20" spans="1:56">
      <c r="A20" s="17">
        <v>4</v>
      </c>
      <c r="B20" s="18" t="s">
        <v>16</v>
      </c>
      <c r="C20" s="19">
        <v>406351.22</v>
      </c>
      <c r="D20" s="19">
        <v>406971.28</v>
      </c>
      <c r="E20" s="19">
        <v>407612</v>
      </c>
      <c r="F20" s="19"/>
      <c r="G20" s="18"/>
      <c r="H20" s="18"/>
      <c r="I20" s="18"/>
      <c r="J20" s="18"/>
      <c r="K20" s="18"/>
      <c r="L20" s="18"/>
      <c r="M20" s="18"/>
      <c r="N20" s="18"/>
      <c r="P20" s="17">
        <v>4</v>
      </c>
      <c r="Q20" s="18" t="s">
        <v>16</v>
      </c>
      <c r="R20" s="19">
        <v>6100104.1399999997</v>
      </c>
      <c r="S20" s="19">
        <v>6108368.5</v>
      </c>
      <c r="T20" s="19">
        <v>6116632.8600000003</v>
      </c>
      <c r="U20" s="19"/>
      <c r="V20" s="18"/>
      <c r="W20" s="18"/>
      <c r="X20" s="18"/>
      <c r="Y20" s="18"/>
      <c r="Z20" s="18"/>
      <c r="AA20" s="18"/>
      <c r="AB20" s="18"/>
      <c r="AC20" s="18"/>
      <c r="AE20" s="17">
        <v>4</v>
      </c>
      <c r="AF20" s="18" t="s">
        <v>16</v>
      </c>
      <c r="AG20" s="19">
        <f t="shared" si="26"/>
        <v>-5693752.9199999999</v>
      </c>
      <c r="AH20" s="19">
        <f t="shared" si="27"/>
        <v>-1401.1900641026746</v>
      </c>
      <c r="AI20" s="19">
        <f t="shared" si="28"/>
        <v>-5701397.2199999997</v>
      </c>
      <c r="AJ20" s="19">
        <f t="shared" si="29"/>
        <v>-1400.9335548198878</v>
      </c>
      <c r="AK20" s="19">
        <f t="shared" si="30"/>
        <v>-5709020.8600000003</v>
      </c>
      <c r="AL20" s="19">
        <f t="shared" si="31"/>
        <v>-1400.6017634417044</v>
      </c>
      <c r="AM20" s="19">
        <f t="shared" si="32"/>
        <v>0</v>
      </c>
      <c r="AN20" s="19" t="e">
        <f t="shared" si="33"/>
        <v>#DIV/0!</v>
      </c>
      <c r="AO20" s="19">
        <f t="shared" si="34"/>
        <v>0</v>
      </c>
      <c r="AP20" s="19" t="e">
        <f t="shared" si="35"/>
        <v>#DIV/0!</v>
      </c>
      <c r="AQ20" s="19">
        <f t="shared" si="36"/>
        <v>0</v>
      </c>
      <c r="AR20" s="19" t="e">
        <f t="shared" si="37"/>
        <v>#DIV/0!</v>
      </c>
      <c r="AS20" s="19">
        <f t="shared" si="38"/>
        <v>0</v>
      </c>
      <c r="AT20" s="19" t="e">
        <f t="shared" si="39"/>
        <v>#DIV/0!</v>
      </c>
      <c r="AU20" s="19">
        <f t="shared" si="40"/>
        <v>0</v>
      </c>
      <c r="AV20" s="19" t="e">
        <f t="shared" si="41"/>
        <v>#DIV/0!</v>
      </c>
      <c r="AW20" s="19">
        <f t="shared" si="42"/>
        <v>0</v>
      </c>
      <c r="AX20" s="19" t="e">
        <f t="shared" si="43"/>
        <v>#DIV/0!</v>
      </c>
      <c r="AY20" s="19">
        <f t="shared" si="44"/>
        <v>0</v>
      </c>
      <c r="AZ20" s="19" t="e">
        <f t="shared" si="45"/>
        <v>#DIV/0!</v>
      </c>
      <c r="BA20" s="19">
        <f t="shared" si="46"/>
        <v>0</v>
      </c>
      <c r="BB20" s="19" t="e">
        <f t="shared" si="47"/>
        <v>#DIV/0!</v>
      </c>
      <c r="BC20" s="19">
        <f t="shared" si="48"/>
        <v>0</v>
      </c>
      <c r="BD20" s="19" t="e">
        <f t="shared" si="49"/>
        <v>#DIV/0!</v>
      </c>
    </row>
    <row r="21" spans="1:56" ht="25.2" thickBot="1">
      <c r="A21" s="20"/>
      <c r="B21" s="20" t="s">
        <v>17</v>
      </c>
      <c r="C21" s="21">
        <f>SUM(C16:C20)</f>
        <v>44997814.650000006</v>
      </c>
      <c r="D21" s="21">
        <f t="shared" ref="D21:N21" si="50">SUM(D16:D20)</f>
        <v>45084913.719999999</v>
      </c>
      <c r="E21" s="21">
        <f t="shared" si="50"/>
        <v>45174916.060000002</v>
      </c>
      <c r="F21" s="21">
        <f t="shared" si="50"/>
        <v>0</v>
      </c>
      <c r="G21" s="21">
        <f t="shared" si="50"/>
        <v>0</v>
      </c>
      <c r="H21" s="21">
        <f t="shared" si="50"/>
        <v>0</v>
      </c>
      <c r="I21" s="21">
        <f t="shared" si="50"/>
        <v>0</v>
      </c>
      <c r="J21" s="21">
        <f t="shared" si="50"/>
        <v>0</v>
      </c>
      <c r="K21" s="21">
        <f t="shared" si="50"/>
        <v>0</v>
      </c>
      <c r="L21" s="21">
        <f t="shared" si="50"/>
        <v>0</v>
      </c>
      <c r="M21" s="21">
        <f t="shared" si="50"/>
        <v>0</v>
      </c>
      <c r="N21" s="21">
        <f t="shared" si="50"/>
        <v>0</v>
      </c>
      <c r="P21" s="20"/>
      <c r="Q21" s="20" t="s">
        <v>17</v>
      </c>
      <c r="R21" s="21">
        <f>SUM(R16:R20)</f>
        <v>35255453.800000004</v>
      </c>
      <c r="S21" s="21">
        <f t="shared" ref="S21:AC21" si="51">SUM(S16:S20)</f>
        <v>35313115.329999998</v>
      </c>
      <c r="T21" s="21">
        <f t="shared" si="51"/>
        <v>35370776.859999999</v>
      </c>
      <c r="U21" s="21">
        <f t="shared" si="51"/>
        <v>0</v>
      </c>
      <c r="V21" s="21">
        <f t="shared" si="51"/>
        <v>0</v>
      </c>
      <c r="W21" s="21">
        <f t="shared" si="51"/>
        <v>0</v>
      </c>
      <c r="X21" s="21">
        <f t="shared" si="51"/>
        <v>0</v>
      </c>
      <c r="Y21" s="21">
        <f t="shared" si="51"/>
        <v>0</v>
      </c>
      <c r="Z21" s="21">
        <f t="shared" si="51"/>
        <v>0</v>
      </c>
      <c r="AA21" s="21">
        <f t="shared" si="51"/>
        <v>0</v>
      </c>
      <c r="AB21" s="21">
        <f t="shared" si="51"/>
        <v>0</v>
      </c>
      <c r="AC21" s="21">
        <f t="shared" si="51"/>
        <v>0</v>
      </c>
      <c r="AE21" s="20"/>
      <c r="AF21" s="20" t="s">
        <v>17</v>
      </c>
      <c r="AG21" s="23">
        <f t="shared" si="26"/>
        <v>9742360.8500000015</v>
      </c>
      <c r="AH21" s="23">
        <f t="shared" si="27"/>
        <v>21.650742209988636</v>
      </c>
      <c r="AI21" s="23">
        <f t="shared" si="28"/>
        <v>9771798.3900000006</v>
      </c>
      <c r="AJ21" s="23">
        <f t="shared" si="29"/>
        <v>21.674208917616625</v>
      </c>
      <c r="AK21" s="23">
        <f t="shared" si="30"/>
        <v>9804139.200000003</v>
      </c>
      <c r="AL21" s="23">
        <f t="shared" si="31"/>
        <v>21.702617414891112</v>
      </c>
      <c r="AM21" s="23">
        <f t="shared" si="32"/>
        <v>0</v>
      </c>
      <c r="AN21" s="23" t="e">
        <f t="shared" si="33"/>
        <v>#DIV/0!</v>
      </c>
      <c r="AO21" s="23">
        <f t="shared" si="34"/>
        <v>0</v>
      </c>
      <c r="AP21" s="23" t="e">
        <f t="shared" si="35"/>
        <v>#DIV/0!</v>
      </c>
      <c r="AQ21" s="23">
        <f t="shared" si="36"/>
        <v>0</v>
      </c>
      <c r="AR21" s="23" t="e">
        <f t="shared" si="37"/>
        <v>#DIV/0!</v>
      </c>
      <c r="AS21" s="23">
        <f t="shared" si="38"/>
        <v>0</v>
      </c>
      <c r="AT21" s="23" t="e">
        <f t="shared" si="39"/>
        <v>#DIV/0!</v>
      </c>
      <c r="AU21" s="23">
        <f t="shared" si="40"/>
        <v>0</v>
      </c>
      <c r="AV21" s="23" t="e">
        <f t="shared" si="41"/>
        <v>#DIV/0!</v>
      </c>
      <c r="AW21" s="23">
        <f t="shared" si="42"/>
        <v>0</v>
      </c>
      <c r="AX21" s="23" t="e">
        <f t="shared" si="43"/>
        <v>#DIV/0!</v>
      </c>
      <c r="AY21" s="23">
        <f t="shared" si="44"/>
        <v>0</v>
      </c>
      <c r="AZ21" s="23" t="e">
        <f t="shared" si="45"/>
        <v>#DIV/0!</v>
      </c>
      <c r="BA21" s="23">
        <f t="shared" si="46"/>
        <v>0</v>
      </c>
      <c r="BB21" s="23" t="e">
        <f t="shared" si="47"/>
        <v>#DIV/0!</v>
      </c>
      <c r="BC21" s="23">
        <f t="shared" si="48"/>
        <v>0</v>
      </c>
      <c r="BD21" s="23" t="e">
        <f t="shared" si="49"/>
        <v>#DIV/0!</v>
      </c>
    </row>
    <row r="22" spans="1:56" ht="25.2" thickTop="1"/>
    <row r="23" spans="1:56">
      <c r="A23" s="37" t="s">
        <v>47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P23" s="37" t="s">
        <v>51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E23" s="37" t="s">
        <v>88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</row>
    <row r="24" spans="1:56">
      <c r="A24" s="37" t="s">
        <v>1950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P24" s="37" t="s">
        <v>1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E24" s="37" t="s">
        <v>1</v>
      </c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</row>
    <row r="25" spans="1:56" s="25" customFormat="1">
      <c r="A25" s="35" t="s">
        <v>2</v>
      </c>
      <c r="B25" s="35" t="s">
        <v>3</v>
      </c>
      <c r="C25" s="38" t="s">
        <v>4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P25" s="35" t="s">
        <v>2</v>
      </c>
      <c r="Q25" s="35" t="s">
        <v>3</v>
      </c>
      <c r="R25" s="38" t="s">
        <v>5</v>
      </c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/>
      <c r="AE25" s="35" t="s">
        <v>2</v>
      </c>
      <c r="AF25" s="35" t="s">
        <v>3</v>
      </c>
      <c r="AG25" s="33">
        <v>25112</v>
      </c>
      <c r="AH25" s="34"/>
      <c r="AI25" s="33">
        <v>25143</v>
      </c>
      <c r="AJ25" s="34"/>
      <c r="AK25" s="33">
        <v>25173</v>
      </c>
      <c r="AL25" s="34"/>
      <c r="AM25" s="33">
        <v>25204</v>
      </c>
      <c r="AN25" s="34"/>
      <c r="AO25" s="33">
        <v>25235</v>
      </c>
      <c r="AP25" s="34"/>
      <c r="AQ25" s="33">
        <v>25263</v>
      </c>
      <c r="AR25" s="34"/>
      <c r="AS25" s="33">
        <v>25294</v>
      </c>
      <c r="AT25" s="34"/>
      <c r="AU25" s="33">
        <v>25324</v>
      </c>
      <c r="AV25" s="34"/>
      <c r="AW25" s="33">
        <v>25355</v>
      </c>
      <c r="AX25" s="34"/>
      <c r="AY25" s="33">
        <v>25385</v>
      </c>
      <c r="AZ25" s="34"/>
      <c r="BA25" s="33">
        <v>25416</v>
      </c>
      <c r="BB25" s="34"/>
      <c r="BC25" s="33">
        <v>25447</v>
      </c>
      <c r="BD25" s="34"/>
    </row>
    <row r="26" spans="1:56" s="25" customFormat="1">
      <c r="A26" s="36"/>
      <c r="B26" s="36"/>
      <c r="C26" s="16">
        <v>25112</v>
      </c>
      <c r="D26" s="16">
        <v>25143</v>
      </c>
      <c r="E26" s="16">
        <v>25173</v>
      </c>
      <c r="F26" s="16">
        <v>25204</v>
      </c>
      <c r="G26" s="16">
        <v>25235</v>
      </c>
      <c r="H26" s="16">
        <v>25263</v>
      </c>
      <c r="I26" s="16">
        <v>25294</v>
      </c>
      <c r="J26" s="16">
        <v>25324</v>
      </c>
      <c r="K26" s="16">
        <v>25355</v>
      </c>
      <c r="L26" s="16">
        <v>25385</v>
      </c>
      <c r="M26" s="16">
        <v>25416</v>
      </c>
      <c r="N26" s="16">
        <v>25447</v>
      </c>
      <c r="P26" s="36"/>
      <c r="Q26" s="36"/>
      <c r="R26" s="16">
        <v>25112</v>
      </c>
      <c r="S26" s="16">
        <v>25143</v>
      </c>
      <c r="T26" s="16">
        <v>25173</v>
      </c>
      <c r="U26" s="16">
        <v>25204</v>
      </c>
      <c r="V26" s="16">
        <v>25235</v>
      </c>
      <c r="W26" s="16">
        <v>25263</v>
      </c>
      <c r="X26" s="16">
        <v>25294</v>
      </c>
      <c r="Y26" s="16">
        <v>25324</v>
      </c>
      <c r="Z26" s="16">
        <v>25355</v>
      </c>
      <c r="AA26" s="16">
        <v>25385</v>
      </c>
      <c r="AB26" s="16">
        <v>25416</v>
      </c>
      <c r="AC26" s="16">
        <v>25447</v>
      </c>
      <c r="AE26" s="36"/>
      <c r="AF26" s="36"/>
      <c r="AG26" s="16" t="s">
        <v>85</v>
      </c>
      <c r="AH26" s="16" t="s">
        <v>86</v>
      </c>
      <c r="AI26" s="16" t="s">
        <v>85</v>
      </c>
      <c r="AJ26" s="16" t="s">
        <v>86</v>
      </c>
      <c r="AK26" s="16" t="s">
        <v>85</v>
      </c>
      <c r="AL26" s="16" t="s">
        <v>86</v>
      </c>
      <c r="AM26" s="16" t="s">
        <v>85</v>
      </c>
      <c r="AN26" s="16" t="s">
        <v>86</v>
      </c>
      <c r="AO26" s="16" t="s">
        <v>85</v>
      </c>
      <c r="AP26" s="16" t="s">
        <v>86</v>
      </c>
      <c r="AQ26" s="16" t="s">
        <v>85</v>
      </c>
      <c r="AR26" s="16" t="s">
        <v>86</v>
      </c>
      <c r="AS26" s="16" t="s">
        <v>85</v>
      </c>
      <c r="AT26" s="16" t="s">
        <v>86</v>
      </c>
      <c r="AU26" s="16" t="s">
        <v>85</v>
      </c>
      <c r="AV26" s="16" t="s">
        <v>86</v>
      </c>
      <c r="AW26" s="16" t="s">
        <v>85</v>
      </c>
      <c r="AX26" s="16" t="s">
        <v>86</v>
      </c>
      <c r="AY26" s="16" t="s">
        <v>85</v>
      </c>
      <c r="AZ26" s="16" t="s">
        <v>86</v>
      </c>
      <c r="BA26" s="16" t="s">
        <v>85</v>
      </c>
      <c r="BB26" s="16" t="s">
        <v>86</v>
      </c>
      <c r="BC26" s="16" t="s">
        <v>85</v>
      </c>
      <c r="BD26" s="16" t="s">
        <v>86</v>
      </c>
    </row>
    <row r="27" spans="1:56">
      <c r="A27" s="17">
        <v>1</v>
      </c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>
        <v>104270</v>
      </c>
      <c r="M27" s="19"/>
      <c r="N27" s="19"/>
      <c r="O27" s="26"/>
      <c r="P27" s="17">
        <v>1</v>
      </c>
      <c r="Q27" s="18" t="s">
        <v>18</v>
      </c>
      <c r="R27" s="19">
        <v>1527737</v>
      </c>
      <c r="S27" s="19">
        <v>1527737</v>
      </c>
      <c r="T27" s="19">
        <v>1527737</v>
      </c>
      <c r="U27" s="19"/>
      <c r="V27" s="19"/>
      <c r="W27" s="19"/>
      <c r="X27" s="19"/>
      <c r="Y27" s="19"/>
      <c r="Z27" s="19"/>
      <c r="AA27" s="19">
        <v>104270</v>
      </c>
      <c r="AB27" s="19"/>
      <c r="AC27" s="19"/>
      <c r="AE27" s="17">
        <v>1</v>
      </c>
      <c r="AF27" s="18" t="s">
        <v>18</v>
      </c>
      <c r="AG27" s="19">
        <f t="shared" ref="AG27:AG41" si="52">+C27-R27</f>
        <v>-1527737</v>
      </c>
      <c r="AH27" s="19" t="e">
        <f t="shared" ref="AH27:AH41" si="53">+AG27/C27*100</f>
        <v>#DIV/0!</v>
      </c>
      <c r="AI27" s="19">
        <f t="shared" ref="AI27:AI41" si="54">+D27-S27</f>
        <v>-1527737</v>
      </c>
      <c r="AJ27" s="19" t="e">
        <f t="shared" ref="AJ27:AJ41" si="55">+AI27/D27*100</f>
        <v>#DIV/0!</v>
      </c>
      <c r="AK27" s="19">
        <f t="shared" ref="AK27:AK41" si="56">+E27-T27</f>
        <v>-1527737</v>
      </c>
      <c r="AL27" s="19" t="e">
        <f t="shared" ref="AL27:AL41" si="57">+AK27/E27*100</f>
        <v>#DIV/0!</v>
      </c>
      <c r="AM27" s="19">
        <f t="shared" ref="AM27:AM41" si="58">+F27-U27</f>
        <v>0</v>
      </c>
      <c r="AN27" s="19" t="e">
        <f t="shared" ref="AN27:AN41" si="59">+AM27/F27*100</f>
        <v>#DIV/0!</v>
      </c>
      <c r="AO27" s="19">
        <f t="shared" ref="AO27:AO41" si="60">+G27-V27</f>
        <v>0</v>
      </c>
      <c r="AP27" s="19" t="e">
        <f t="shared" ref="AP27:AP41" si="61">+AO27/G27*100</f>
        <v>#DIV/0!</v>
      </c>
      <c r="AQ27" s="19">
        <f t="shared" ref="AQ27:AQ41" si="62">+H27-W27</f>
        <v>0</v>
      </c>
      <c r="AR27" s="19" t="e">
        <f t="shared" ref="AR27:AR41" si="63">+AQ27/H27*100</f>
        <v>#DIV/0!</v>
      </c>
      <c r="AS27" s="19">
        <f t="shared" ref="AS27:AS41" si="64">+I27-X27</f>
        <v>0</v>
      </c>
      <c r="AT27" s="19" t="e">
        <f t="shared" ref="AT27:AT41" si="65">+AS27/I27*100</f>
        <v>#DIV/0!</v>
      </c>
      <c r="AU27" s="19">
        <f t="shared" ref="AU27:AU41" si="66">+J27-Y27</f>
        <v>0</v>
      </c>
      <c r="AV27" s="19" t="e">
        <f t="shared" ref="AV27:AV41" si="67">+AU27/J27*100</f>
        <v>#DIV/0!</v>
      </c>
      <c r="AW27" s="19">
        <f t="shared" ref="AW27:AW41" si="68">+K27-Z27</f>
        <v>0</v>
      </c>
      <c r="AX27" s="19" t="e">
        <f t="shared" ref="AX27:AX41" si="69">+AW27/K27*100</f>
        <v>#DIV/0!</v>
      </c>
      <c r="AY27" s="19">
        <f t="shared" ref="AY27:AY41" si="70">+L27-AA27</f>
        <v>0</v>
      </c>
      <c r="AZ27" s="19">
        <f t="shared" ref="AZ27:AZ41" si="71">+AY27/L27*100</f>
        <v>0</v>
      </c>
      <c r="BA27" s="19">
        <f t="shared" ref="BA27:BA41" si="72">+M27-AB27</f>
        <v>0</v>
      </c>
      <c r="BB27" s="19" t="e">
        <f t="shared" ref="BB27:BB41" si="73">+BA27/M27*100</f>
        <v>#DIV/0!</v>
      </c>
      <c r="BC27" s="19">
        <f t="shared" ref="BC27:BC41" si="74">+N27-AC27</f>
        <v>0</v>
      </c>
      <c r="BD27" s="19" t="e">
        <f t="shared" ref="BD27:BD41" si="75">+BC27/N27*100</f>
        <v>#DIV/0!</v>
      </c>
    </row>
    <row r="28" spans="1:56">
      <c r="A28" s="17">
        <v>2</v>
      </c>
      <c r="B28" s="18" t="s">
        <v>20</v>
      </c>
      <c r="C28" s="19"/>
      <c r="D28" s="19"/>
      <c r="E28" s="19"/>
      <c r="F28" s="19"/>
      <c r="G28" s="19"/>
      <c r="H28" s="19"/>
      <c r="I28" s="19"/>
      <c r="J28" s="19"/>
      <c r="K28" s="19"/>
      <c r="L28" s="19">
        <v>1645000</v>
      </c>
      <c r="M28" s="19"/>
      <c r="N28" s="19"/>
      <c r="O28" s="26"/>
      <c r="P28" s="17">
        <v>2</v>
      </c>
      <c r="Q28" s="18" t="s">
        <v>20</v>
      </c>
      <c r="R28" s="19">
        <v>6700900</v>
      </c>
      <c r="S28" s="19">
        <v>6700900</v>
      </c>
      <c r="T28" s="19">
        <v>6700900</v>
      </c>
      <c r="U28" s="19"/>
      <c r="V28" s="19"/>
      <c r="W28" s="19"/>
      <c r="X28" s="19"/>
      <c r="Y28" s="19"/>
      <c r="Z28" s="19"/>
      <c r="AA28" s="19">
        <v>1645000</v>
      </c>
      <c r="AB28" s="19"/>
      <c r="AC28" s="19"/>
      <c r="AE28" s="17">
        <v>2</v>
      </c>
      <c r="AF28" s="18" t="s">
        <v>20</v>
      </c>
      <c r="AG28" s="19">
        <f t="shared" si="52"/>
        <v>-6700900</v>
      </c>
      <c r="AH28" s="19" t="e">
        <f t="shared" si="53"/>
        <v>#DIV/0!</v>
      </c>
      <c r="AI28" s="19">
        <f t="shared" si="54"/>
        <v>-6700900</v>
      </c>
      <c r="AJ28" s="19" t="e">
        <f t="shared" si="55"/>
        <v>#DIV/0!</v>
      </c>
      <c r="AK28" s="19">
        <f t="shared" si="56"/>
        <v>-6700900</v>
      </c>
      <c r="AL28" s="19" t="e">
        <f t="shared" si="57"/>
        <v>#DIV/0!</v>
      </c>
      <c r="AM28" s="19">
        <f t="shared" si="58"/>
        <v>0</v>
      </c>
      <c r="AN28" s="19" t="e">
        <f t="shared" si="59"/>
        <v>#DIV/0!</v>
      </c>
      <c r="AO28" s="19">
        <f t="shared" si="60"/>
        <v>0</v>
      </c>
      <c r="AP28" s="19" t="e">
        <f t="shared" si="61"/>
        <v>#DIV/0!</v>
      </c>
      <c r="AQ28" s="19">
        <f t="shared" si="62"/>
        <v>0</v>
      </c>
      <c r="AR28" s="19" t="e">
        <f t="shared" si="63"/>
        <v>#DIV/0!</v>
      </c>
      <c r="AS28" s="19">
        <f t="shared" si="64"/>
        <v>0</v>
      </c>
      <c r="AT28" s="19" t="e">
        <f t="shared" si="65"/>
        <v>#DIV/0!</v>
      </c>
      <c r="AU28" s="19">
        <f t="shared" si="66"/>
        <v>0</v>
      </c>
      <c r="AV28" s="19" t="e">
        <f t="shared" si="67"/>
        <v>#DIV/0!</v>
      </c>
      <c r="AW28" s="19">
        <f t="shared" si="68"/>
        <v>0</v>
      </c>
      <c r="AX28" s="19" t="e">
        <f t="shared" si="69"/>
        <v>#DIV/0!</v>
      </c>
      <c r="AY28" s="19">
        <f t="shared" si="70"/>
        <v>0</v>
      </c>
      <c r="AZ28" s="19">
        <f t="shared" si="71"/>
        <v>0</v>
      </c>
      <c r="BA28" s="19">
        <f t="shared" si="72"/>
        <v>0</v>
      </c>
      <c r="BB28" s="19" t="e">
        <f t="shared" si="73"/>
        <v>#DIV/0!</v>
      </c>
      <c r="BC28" s="19">
        <f t="shared" si="74"/>
        <v>0</v>
      </c>
      <c r="BD28" s="19" t="e">
        <f t="shared" si="75"/>
        <v>#DIV/0!</v>
      </c>
    </row>
    <row r="29" spans="1:56">
      <c r="A29" s="17">
        <v>3</v>
      </c>
      <c r="B29" s="18" t="s">
        <v>22</v>
      </c>
      <c r="C29" s="19"/>
      <c r="D29" s="19"/>
      <c r="E29" s="19"/>
      <c r="F29" s="19"/>
      <c r="G29" s="19"/>
      <c r="H29" s="19"/>
      <c r="I29" s="19"/>
      <c r="J29" s="19"/>
      <c r="K29" s="19"/>
      <c r="L29" s="19">
        <v>745000</v>
      </c>
      <c r="M29" s="19"/>
      <c r="N29" s="19"/>
      <c r="O29" s="26"/>
      <c r="P29" s="17">
        <v>3</v>
      </c>
      <c r="Q29" s="18" t="s">
        <v>22</v>
      </c>
      <c r="R29" s="19">
        <v>2046700</v>
      </c>
      <c r="S29" s="19">
        <v>2046700</v>
      </c>
      <c r="T29" s="19">
        <v>2046700</v>
      </c>
      <c r="U29" s="19"/>
      <c r="V29" s="19"/>
      <c r="W29" s="19"/>
      <c r="X29" s="19"/>
      <c r="Y29" s="19"/>
      <c r="Z29" s="19"/>
      <c r="AA29" s="19">
        <v>745000</v>
      </c>
      <c r="AB29" s="19"/>
      <c r="AC29" s="19"/>
      <c r="AE29" s="17">
        <v>3</v>
      </c>
      <c r="AF29" s="18" t="s">
        <v>22</v>
      </c>
      <c r="AG29" s="19">
        <f t="shared" si="52"/>
        <v>-2046700</v>
      </c>
      <c r="AH29" s="19" t="e">
        <f t="shared" si="53"/>
        <v>#DIV/0!</v>
      </c>
      <c r="AI29" s="19">
        <f t="shared" si="54"/>
        <v>-2046700</v>
      </c>
      <c r="AJ29" s="19" t="e">
        <f t="shared" si="55"/>
        <v>#DIV/0!</v>
      </c>
      <c r="AK29" s="19">
        <f t="shared" si="56"/>
        <v>-2046700</v>
      </c>
      <c r="AL29" s="19" t="e">
        <f t="shared" si="57"/>
        <v>#DIV/0!</v>
      </c>
      <c r="AM29" s="19">
        <f t="shared" si="58"/>
        <v>0</v>
      </c>
      <c r="AN29" s="19" t="e">
        <f t="shared" si="59"/>
        <v>#DIV/0!</v>
      </c>
      <c r="AO29" s="19">
        <f t="shared" si="60"/>
        <v>0</v>
      </c>
      <c r="AP29" s="19" t="e">
        <f t="shared" si="61"/>
        <v>#DIV/0!</v>
      </c>
      <c r="AQ29" s="19">
        <f t="shared" si="62"/>
        <v>0</v>
      </c>
      <c r="AR29" s="19" t="e">
        <f t="shared" si="63"/>
        <v>#DIV/0!</v>
      </c>
      <c r="AS29" s="19">
        <f t="shared" si="64"/>
        <v>0</v>
      </c>
      <c r="AT29" s="19" t="e">
        <f t="shared" si="65"/>
        <v>#DIV/0!</v>
      </c>
      <c r="AU29" s="19">
        <f t="shared" si="66"/>
        <v>0</v>
      </c>
      <c r="AV29" s="19" t="e">
        <f t="shared" si="67"/>
        <v>#DIV/0!</v>
      </c>
      <c r="AW29" s="19">
        <f t="shared" si="68"/>
        <v>0</v>
      </c>
      <c r="AX29" s="19" t="e">
        <f t="shared" si="69"/>
        <v>#DIV/0!</v>
      </c>
      <c r="AY29" s="19">
        <f t="shared" si="70"/>
        <v>0</v>
      </c>
      <c r="AZ29" s="19">
        <f t="shared" si="71"/>
        <v>0</v>
      </c>
      <c r="BA29" s="19">
        <f t="shared" si="72"/>
        <v>0</v>
      </c>
      <c r="BB29" s="19" t="e">
        <f t="shared" si="73"/>
        <v>#DIV/0!</v>
      </c>
      <c r="BC29" s="19">
        <f t="shared" si="74"/>
        <v>0</v>
      </c>
      <c r="BD29" s="19" t="e">
        <f t="shared" si="75"/>
        <v>#DIV/0!</v>
      </c>
    </row>
    <row r="30" spans="1:56">
      <c r="A30" s="17">
        <v>4</v>
      </c>
      <c r="B30" s="18" t="s">
        <v>24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6"/>
      <c r="P30" s="17">
        <v>4</v>
      </c>
      <c r="Q30" s="18" t="s">
        <v>24</v>
      </c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E30" s="17">
        <v>4</v>
      </c>
      <c r="AF30" s="18" t="s">
        <v>24</v>
      </c>
      <c r="AG30" s="19">
        <f t="shared" si="52"/>
        <v>0</v>
      </c>
      <c r="AH30" s="19" t="e">
        <f t="shared" si="53"/>
        <v>#DIV/0!</v>
      </c>
      <c r="AI30" s="19">
        <f t="shared" si="54"/>
        <v>0</v>
      </c>
      <c r="AJ30" s="19" t="e">
        <f t="shared" si="55"/>
        <v>#DIV/0!</v>
      </c>
      <c r="AK30" s="19">
        <f t="shared" si="56"/>
        <v>0</v>
      </c>
      <c r="AL30" s="19" t="e">
        <f t="shared" si="57"/>
        <v>#DIV/0!</v>
      </c>
      <c r="AM30" s="19">
        <f t="shared" si="58"/>
        <v>0</v>
      </c>
      <c r="AN30" s="19" t="e">
        <f t="shared" si="59"/>
        <v>#DIV/0!</v>
      </c>
      <c r="AO30" s="19">
        <f t="shared" si="60"/>
        <v>0</v>
      </c>
      <c r="AP30" s="19" t="e">
        <f t="shared" si="61"/>
        <v>#DIV/0!</v>
      </c>
      <c r="AQ30" s="19">
        <f t="shared" si="62"/>
        <v>0</v>
      </c>
      <c r="AR30" s="19" t="e">
        <f t="shared" si="63"/>
        <v>#DIV/0!</v>
      </c>
      <c r="AS30" s="19">
        <f t="shared" si="64"/>
        <v>0</v>
      </c>
      <c r="AT30" s="19" t="e">
        <f t="shared" si="65"/>
        <v>#DIV/0!</v>
      </c>
      <c r="AU30" s="19">
        <f t="shared" si="66"/>
        <v>0</v>
      </c>
      <c r="AV30" s="19" t="e">
        <f t="shared" si="67"/>
        <v>#DIV/0!</v>
      </c>
      <c r="AW30" s="19">
        <f t="shared" si="68"/>
        <v>0</v>
      </c>
      <c r="AX30" s="19" t="e">
        <f t="shared" si="69"/>
        <v>#DIV/0!</v>
      </c>
      <c r="AY30" s="19">
        <f t="shared" si="70"/>
        <v>0</v>
      </c>
      <c r="AZ30" s="19" t="e">
        <f t="shared" si="71"/>
        <v>#DIV/0!</v>
      </c>
      <c r="BA30" s="19">
        <f t="shared" si="72"/>
        <v>0</v>
      </c>
      <c r="BB30" s="19" t="e">
        <f t="shared" si="73"/>
        <v>#DIV/0!</v>
      </c>
      <c r="BC30" s="19">
        <f t="shared" si="74"/>
        <v>0</v>
      </c>
      <c r="BD30" s="19" t="e">
        <f t="shared" si="75"/>
        <v>#DIV/0!</v>
      </c>
    </row>
    <row r="31" spans="1:56">
      <c r="A31" s="17">
        <v>5</v>
      </c>
      <c r="B31" s="18" t="s">
        <v>26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6"/>
      <c r="P31" s="17">
        <v>5</v>
      </c>
      <c r="Q31" s="18" t="s">
        <v>26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E31" s="17">
        <v>5</v>
      </c>
      <c r="AF31" s="18" t="s">
        <v>26</v>
      </c>
      <c r="AG31" s="19">
        <f t="shared" si="52"/>
        <v>0</v>
      </c>
      <c r="AH31" s="19" t="e">
        <f t="shared" si="53"/>
        <v>#DIV/0!</v>
      </c>
      <c r="AI31" s="19">
        <f t="shared" si="54"/>
        <v>0</v>
      </c>
      <c r="AJ31" s="19" t="e">
        <f t="shared" si="55"/>
        <v>#DIV/0!</v>
      </c>
      <c r="AK31" s="19">
        <f t="shared" si="56"/>
        <v>0</v>
      </c>
      <c r="AL31" s="19" t="e">
        <f t="shared" si="57"/>
        <v>#DIV/0!</v>
      </c>
      <c r="AM31" s="19">
        <f t="shared" si="58"/>
        <v>0</v>
      </c>
      <c r="AN31" s="19" t="e">
        <f t="shared" si="59"/>
        <v>#DIV/0!</v>
      </c>
      <c r="AO31" s="19">
        <f t="shared" si="60"/>
        <v>0</v>
      </c>
      <c r="AP31" s="19" t="e">
        <f t="shared" si="61"/>
        <v>#DIV/0!</v>
      </c>
      <c r="AQ31" s="19">
        <f t="shared" si="62"/>
        <v>0</v>
      </c>
      <c r="AR31" s="19" t="e">
        <f t="shared" si="63"/>
        <v>#DIV/0!</v>
      </c>
      <c r="AS31" s="19">
        <f t="shared" si="64"/>
        <v>0</v>
      </c>
      <c r="AT31" s="19" t="e">
        <f t="shared" si="65"/>
        <v>#DIV/0!</v>
      </c>
      <c r="AU31" s="19">
        <f t="shared" si="66"/>
        <v>0</v>
      </c>
      <c r="AV31" s="19" t="e">
        <f t="shared" si="67"/>
        <v>#DIV/0!</v>
      </c>
      <c r="AW31" s="19">
        <f t="shared" si="68"/>
        <v>0</v>
      </c>
      <c r="AX31" s="19" t="e">
        <f t="shared" si="69"/>
        <v>#DIV/0!</v>
      </c>
      <c r="AY31" s="19">
        <f t="shared" si="70"/>
        <v>0</v>
      </c>
      <c r="AZ31" s="19" t="e">
        <f t="shared" si="71"/>
        <v>#DIV/0!</v>
      </c>
      <c r="BA31" s="19">
        <f t="shared" si="72"/>
        <v>0</v>
      </c>
      <c r="BB31" s="19" t="e">
        <f t="shared" si="73"/>
        <v>#DIV/0!</v>
      </c>
      <c r="BC31" s="19">
        <f t="shared" si="74"/>
        <v>0</v>
      </c>
      <c r="BD31" s="19" t="e">
        <f t="shared" si="75"/>
        <v>#DIV/0!</v>
      </c>
    </row>
    <row r="32" spans="1:56">
      <c r="A32" s="17">
        <v>6</v>
      </c>
      <c r="B32" s="18" t="s">
        <v>28</v>
      </c>
      <c r="C32" s="19">
        <v>18096609</v>
      </c>
      <c r="D32" s="19">
        <v>18096609</v>
      </c>
      <c r="E32" s="19">
        <v>18096609</v>
      </c>
      <c r="F32" s="19"/>
      <c r="G32" s="19"/>
      <c r="H32" s="19"/>
      <c r="I32" s="19"/>
      <c r="J32" s="19"/>
      <c r="K32" s="19"/>
      <c r="L32" s="19">
        <v>7908423</v>
      </c>
      <c r="M32" s="19"/>
      <c r="N32" s="19"/>
      <c r="O32" s="26"/>
      <c r="P32" s="17">
        <v>6</v>
      </c>
      <c r="Q32" s="18" t="s">
        <v>28</v>
      </c>
      <c r="R32" s="19">
        <v>21609479</v>
      </c>
      <c r="S32" s="19">
        <v>21609479</v>
      </c>
      <c r="T32" s="19">
        <v>21609479</v>
      </c>
      <c r="U32" s="19"/>
      <c r="V32" s="19"/>
      <c r="W32" s="19"/>
      <c r="X32" s="19"/>
      <c r="Y32" s="19"/>
      <c r="Z32" s="19"/>
      <c r="AA32" s="19">
        <v>7908423</v>
      </c>
      <c r="AB32" s="19"/>
      <c r="AC32" s="19"/>
      <c r="AE32" s="17">
        <v>6</v>
      </c>
      <c r="AF32" s="18" t="s">
        <v>28</v>
      </c>
      <c r="AG32" s="19">
        <f t="shared" si="52"/>
        <v>-3512870</v>
      </c>
      <c r="AH32" s="19">
        <f t="shared" si="53"/>
        <v>-19.411758302342722</v>
      </c>
      <c r="AI32" s="19">
        <f t="shared" si="54"/>
        <v>-3512870</v>
      </c>
      <c r="AJ32" s="19">
        <f t="shared" si="55"/>
        <v>-19.411758302342722</v>
      </c>
      <c r="AK32" s="19">
        <f t="shared" si="56"/>
        <v>-3512870</v>
      </c>
      <c r="AL32" s="19">
        <f t="shared" si="57"/>
        <v>-19.411758302342722</v>
      </c>
      <c r="AM32" s="19">
        <f t="shared" si="58"/>
        <v>0</v>
      </c>
      <c r="AN32" s="19" t="e">
        <f t="shared" si="59"/>
        <v>#DIV/0!</v>
      </c>
      <c r="AO32" s="19">
        <f t="shared" si="60"/>
        <v>0</v>
      </c>
      <c r="AP32" s="19" t="e">
        <f t="shared" si="61"/>
        <v>#DIV/0!</v>
      </c>
      <c r="AQ32" s="19">
        <f t="shared" si="62"/>
        <v>0</v>
      </c>
      <c r="AR32" s="19" t="e">
        <f t="shared" si="63"/>
        <v>#DIV/0!</v>
      </c>
      <c r="AS32" s="19">
        <f t="shared" si="64"/>
        <v>0</v>
      </c>
      <c r="AT32" s="19" t="e">
        <f t="shared" si="65"/>
        <v>#DIV/0!</v>
      </c>
      <c r="AU32" s="19">
        <f t="shared" si="66"/>
        <v>0</v>
      </c>
      <c r="AV32" s="19" t="e">
        <f t="shared" si="67"/>
        <v>#DIV/0!</v>
      </c>
      <c r="AW32" s="19">
        <f t="shared" si="68"/>
        <v>0</v>
      </c>
      <c r="AX32" s="19" t="e">
        <f t="shared" si="69"/>
        <v>#DIV/0!</v>
      </c>
      <c r="AY32" s="19">
        <f t="shared" si="70"/>
        <v>0</v>
      </c>
      <c r="AZ32" s="19">
        <f t="shared" si="71"/>
        <v>0</v>
      </c>
      <c r="BA32" s="19">
        <f t="shared" si="72"/>
        <v>0</v>
      </c>
      <c r="BB32" s="19" t="e">
        <f t="shared" si="73"/>
        <v>#DIV/0!</v>
      </c>
      <c r="BC32" s="19">
        <f t="shared" si="74"/>
        <v>0</v>
      </c>
      <c r="BD32" s="19" t="e">
        <f t="shared" si="75"/>
        <v>#DIV/0!</v>
      </c>
    </row>
    <row r="33" spans="1:56">
      <c r="A33" s="17">
        <v>7</v>
      </c>
      <c r="B33" s="18" t="s">
        <v>30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6"/>
      <c r="P33" s="17">
        <v>7</v>
      </c>
      <c r="Q33" s="18" t="s">
        <v>30</v>
      </c>
      <c r="R33" s="19">
        <v>953713</v>
      </c>
      <c r="S33" s="19">
        <v>953713</v>
      </c>
      <c r="T33" s="19">
        <v>953713</v>
      </c>
      <c r="U33" s="19"/>
      <c r="V33" s="19"/>
      <c r="W33" s="19"/>
      <c r="X33" s="19"/>
      <c r="Y33" s="19"/>
      <c r="Z33" s="19"/>
      <c r="AA33" s="19"/>
      <c r="AB33" s="19"/>
      <c r="AC33" s="19"/>
      <c r="AE33" s="17">
        <v>7</v>
      </c>
      <c r="AF33" s="18" t="s">
        <v>30</v>
      </c>
      <c r="AG33" s="19">
        <f t="shared" si="52"/>
        <v>-953713</v>
      </c>
      <c r="AH33" s="19" t="e">
        <f t="shared" si="53"/>
        <v>#DIV/0!</v>
      </c>
      <c r="AI33" s="19">
        <f t="shared" si="54"/>
        <v>-953713</v>
      </c>
      <c r="AJ33" s="19" t="e">
        <f t="shared" si="55"/>
        <v>#DIV/0!</v>
      </c>
      <c r="AK33" s="19">
        <f t="shared" si="56"/>
        <v>-953713</v>
      </c>
      <c r="AL33" s="19" t="e">
        <f t="shared" si="57"/>
        <v>#DIV/0!</v>
      </c>
      <c r="AM33" s="19">
        <f t="shared" si="58"/>
        <v>0</v>
      </c>
      <c r="AN33" s="19" t="e">
        <f t="shared" si="59"/>
        <v>#DIV/0!</v>
      </c>
      <c r="AO33" s="19">
        <f t="shared" si="60"/>
        <v>0</v>
      </c>
      <c r="AP33" s="19" t="e">
        <f t="shared" si="61"/>
        <v>#DIV/0!</v>
      </c>
      <c r="AQ33" s="19">
        <f t="shared" si="62"/>
        <v>0</v>
      </c>
      <c r="AR33" s="19" t="e">
        <f t="shared" si="63"/>
        <v>#DIV/0!</v>
      </c>
      <c r="AS33" s="19">
        <f t="shared" si="64"/>
        <v>0</v>
      </c>
      <c r="AT33" s="19" t="e">
        <f t="shared" si="65"/>
        <v>#DIV/0!</v>
      </c>
      <c r="AU33" s="19">
        <f t="shared" si="66"/>
        <v>0</v>
      </c>
      <c r="AV33" s="19" t="e">
        <f t="shared" si="67"/>
        <v>#DIV/0!</v>
      </c>
      <c r="AW33" s="19">
        <f t="shared" si="68"/>
        <v>0</v>
      </c>
      <c r="AX33" s="19" t="e">
        <f t="shared" si="69"/>
        <v>#DIV/0!</v>
      </c>
      <c r="AY33" s="19">
        <f t="shared" si="70"/>
        <v>0</v>
      </c>
      <c r="AZ33" s="19" t="e">
        <f t="shared" si="71"/>
        <v>#DIV/0!</v>
      </c>
      <c r="BA33" s="19">
        <f t="shared" si="72"/>
        <v>0</v>
      </c>
      <c r="BB33" s="19" t="e">
        <f t="shared" si="73"/>
        <v>#DIV/0!</v>
      </c>
      <c r="BC33" s="19">
        <f t="shared" si="74"/>
        <v>0</v>
      </c>
      <c r="BD33" s="19" t="e">
        <f t="shared" si="75"/>
        <v>#DIV/0!</v>
      </c>
    </row>
    <row r="34" spans="1:56">
      <c r="A34" s="17">
        <v>8</v>
      </c>
      <c r="B34" s="18" t="s">
        <v>32</v>
      </c>
      <c r="C34" s="19">
        <v>247500</v>
      </c>
      <c r="D34" s="19">
        <v>247500</v>
      </c>
      <c r="E34" s="19">
        <v>247500</v>
      </c>
      <c r="F34" s="19"/>
      <c r="G34" s="19"/>
      <c r="H34" s="19"/>
      <c r="I34" s="19"/>
      <c r="J34" s="19"/>
      <c r="K34" s="19"/>
      <c r="L34" s="19">
        <v>18280</v>
      </c>
      <c r="M34" s="19"/>
      <c r="N34" s="19"/>
      <c r="O34" s="26"/>
      <c r="P34" s="17">
        <v>8</v>
      </c>
      <c r="Q34" s="18" t="s">
        <v>32</v>
      </c>
      <c r="R34" s="19">
        <v>1027118</v>
      </c>
      <c r="S34" s="19">
        <v>1027118</v>
      </c>
      <c r="T34" s="19">
        <v>1027118</v>
      </c>
      <c r="U34" s="19"/>
      <c r="V34" s="19"/>
      <c r="W34" s="19"/>
      <c r="X34" s="19"/>
      <c r="Y34" s="19"/>
      <c r="Z34" s="19"/>
      <c r="AA34" s="19">
        <v>18280</v>
      </c>
      <c r="AB34" s="19"/>
      <c r="AC34" s="19"/>
      <c r="AE34" s="17">
        <v>8</v>
      </c>
      <c r="AF34" s="18" t="s">
        <v>32</v>
      </c>
      <c r="AG34" s="19">
        <f t="shared" si="52"/>
        <v>-779618</v>
      </c>
      <c r="AH34" s="19">
        <f t="shared" si="53"/>
        <v>-314.99717171717168</v>
      </c>
      <c r="AI34" s="19">
        <f t="shared" si="54"/>
        <v>-779618</v>
      </c>
      <c r="AJ34" s="19">
        <f t="shared" si="55"/>
        <v>-314.99717171717168</v>
      </c>
      <c r="AK34" s="19">
        <f t="shared" si="56"/>
        <v>-779618</v>
      </c>
      <c r="AL34" s="19">
        <f t="shared" si="57"/>
        <v>-314.99717171717168</v>
      </c>
      <c r="AM34" s="19">
        <f t="shared" si="58"/>
        <v>0</v>
      </c>
      <c r="AN34" s="19" t="e">
        <f t="shared" si="59"/>
        <v>#DIV/0!</v>
      </c>
      <c r="AO34" s="19">
        <f t="shared" si="60"/>
        <v>0</v>
      </c>
      <c r="AP34" s="19" t="e">
        <f t="shared" si="61"/>
        <v>#DIV/0!</v>
      </c>
      <c r="AQ34" s="19">
        <f t="shared" si="62"/>
        <v>0</v>
      </c>
      <c r="AR34" s="19" t="e">
        <f t="shared" si="63"/>
        <v>#DIV/0!</v>
      </c>
      <c r="AS34" s="19">
        <f t="shared" si="64"/>
        <v>0</v>
      </c>
      <c r="AT34" s="19" t="e">
        <f t="shared" si="65"/>
        <v>#DIV/0!</v>
      </c>
      <c r="AU34" s="19">
        <f t="shared" si="66"/>
        <v>0</v>
      </c>
      <c r="AV34" s="19" t="e">
        <f t="shared" si="67"/>
        <v>#DIV/0!</v>
      </c>
      <c r="AW34" s="19">
        <f t="shared" si="68"/>
        <v>0</v>
      </c>
      <c r="AX34" s="19" t="e">
        <f t="shared" si="69"/>
        <v>#DIV/0!</v>
      </c>
      <c r="AY34" s="19">
        <f t="shared" si="70"/>
        <v>0</v>
      </c>
      <c r="AZ34" s="19">
        <f t="shared" si="71"/>
        <v>0</v>
      </c>
      <c r="BA34" s="19">
        <f t="shared" si="72"/>
        <v>0</v>
      </c>
      <c r="BB34" s="19" t="e">
        <f t="shared" si="73"/>
        <v>#DIV/0!</v>
      </c>
      <c r="BC34" s="19">
        <f t="shared" si="74"/>
        <v>0</v>
      </c>
      <c r="BD34" s="19" t="e">
        <f t="shared" si="75"/>
        <v>#DIV/0!</v>
      </c>
    </row>
    <row r="35" spans="1:56">
      <c r="A35" s="17">
        <v>9</v>
      </c>
      <c r="B35" s="18" t="s">
        <v>34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6"/>
      <c r="P35" s="17">
        <v>9</v>
      </c>
      <c r="Q35" s="18" t="s">
        <v>34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E35" s="17">
        <v>9</v>
      </c>
      <c r="AF35" s="18" t="s">
        <v>34</v>
      </c>
      <c r="AG35" s="19">
        <f t="shared" si="52"/>
        <v>0</v>
      </c>
      <c r="AH35" s="19" t="e">
        <f t="shared" si="53"/>
        <v>#DIV/0!</v>
      </c>
      <c r="AI35" s="19">
        <f t="shared" si="54"/>
        <v>0</v>
      </c>
      <c r="AJ35" s="19" t="e">
        <f t="shared" si="55"/>
        <v>#DIV/0!</v>
      </c>
      <c r="AK35" s="19">
        <f t="shared" si="56"/>
        <v>0</v>
      </c>
      <c r="AL35" s="19" t="e">
        <f t="shared" si="57"/>
        <v>#DIV/0!</v>
      </c>
      <c r="AM35" s="19">
        <f t="shared" si="58"/>
        <v>0</v>
      </c>
      <c r="AN35" s="19" t="e">
        <f t="shared" si="59"/>
        <v>#DIV/0!</v>
      </c>
      <c r="AO35" s="19">
        <f t="shared" si="60"/>
        <v>0</v>
      </c>
      <c r="AP35" s="19" t="e">
        <f t="shared" si="61"/>
        <v>#DIV/0!</v>
      </c>
      <c r="AQ35" s="19">
        <f t="shared" si="62"/>
        <v>0</v>
      </c>
      <c r="AR35" s="19" t="e">
        <f t="shared" si="63"/>
        <v>#DIV/0!</v>
      </c>
      <c r="AS35" s="19">
        <f t="shared" si="64"/>
        <v>0</v>
      </c>
      <c r="AT35" s="19" t="e">
        <f t="shared" si="65"/>
        <v>#DIV/0!</v>
      </c>
      <c r="AU35" s="19">
        <f t="shared" si="66"/>
        <v>0</v>
      </c>
      <c r="AV35" s="19" t="e">
        <f t="shared" si="67"/>
        <v>#DIV/0!</v>
      </c>
      <c r="AW35" s="19">
        <f t="shared" si="68"/>
        <v>0</v>
      </c>
      <c r="AX35" s="19" t="e">
        <f t="shared" si="69"/>
        <v>#DIV/0!</v>
      </c>
      <c r="AY35" s="19">
        <f t="shared" si="70"/>
        <v>0</v>
      </c>
      <c r="AZ35" s="19" t="e">
        <f t="shared" si="71"/>
        <v>#DIV/0!</v>
      </c>
      <c r="BA35" s="19">
        <f t="shared" si="72"/>
        <v>0</v>
      </c>
      <c r="BB35" s="19" t="e">
        <f t="shared" si="73"/>
        <v>#DIV/0!</v>
      </c>
      <c r="BC35" s="19">
        <f t="shared" si="74"/>
        <v>0</v>
      </c>
      <c r="BD35" s="19" t="e">
        <f t="shared" si="75"/>
        <v>#DIV/0!</v>
      </c>
    </row>
    <row r="36" spans="1:56">
      <c r="A36" s="17">
        <v>10</v>
      </c>
      <c r="B36" s="18" t="s">
        <v>36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6"/>
      <c r="P36" s="17">
        <v>10</v>
      </c>
      <c r="Q36" s="18" t="s">
        <v>36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E36" s="17">
        <v>10</v>
      </c>
      <c r="AF36" s="18" t="s">
        <v>36</v>
      </c>
      <c r="AG36" s="19">
        <f t="shared" si="52"/>
        <v>0</v>
      </c>
      <c r="AH36" s="19" t="e">
        <f t="shared" si="53"/>
        <v>#DIV/0!</v>
      </c>
      <c r="AI36" s="19">
        <f t="shared" si="54"/>
        <v>0</v>
      </c>
      <c r="AJ36" s="19" t="e">
        <f t="shared" si="55"/>
        <v>#DIV/0!</v>
      </c>
      <c r="AK36" s="19">
        <f t="shared" si="56"/>
        <v>0</v>
      </c>
      <c r="AL36" s="19" t="e">
        <f t="shared" si="57"/>
        <v>#DIV/0!</v>
      </c>
      <c r="AM36" s="19">
        <f t="shared" si="58"/>
        <v>0</v>
      </c>
      <c r="AN36" s="19" t="e">
        <f t="shared" si="59"/>
        <v>#DIV/0!</v>
      </c>
      <c r="AO36" s="19">
        <f t="shared" si="60"/>
        <v>0</v>
      </c>
      <c r="AP36" s="19" t="e">
        <f t="shared" si="61"/>
        <v>#DIV/0!</v>
      </c>
      <c r="AQ36" s="19">
        <f t="shared" si="62"/>
        <v>0</v>
      </c>
      <c r="AR36" s="19" t="e">
        <f t="shared" si="63"/>
        <v>#DIV/0!</v>
      </c>
      <c r="AS36" s="19">
        <f t="shared" si="64"/>
        <v>0</v>
      </c>
      <c r="AT36" s="19" t="e">
        <f t="shared" si="65"/>
        <v>#DIV/0!</v>
      </c>
      <c r="AU36" s="19">
        <f t="shared" si="66"/>
        <v>0</v>
      </c>
      <c r="AV36" s="19" t="e">
        <f t="shared" si="67"/>
        <v>#DIV/0!</v>
      </c>
      <c r="AW36" s="19">
        <f t="shared" si="68"/>
        <v>0</v>
      </c>
      <c r="AX36" s="19" t="e">
        <f t="shared" si="69"/>
        <v>#DIV/0!</v>
      </c>
      <c r="AY36" s="19">
        <f t="shared" si="70"/>
        <v>0</v>
      </c>
      <c r="AZ36" s="19" t="e">
        <f t="shared" si="71"/>
        <v>#DIV/0!</v>
      </c>
      <c r="BA36" s="19">
        <f t="shared" si="72"/>
        <v>0</v>
      </c>
      <c r="BB36" s="19" t="e">
        <f t="shared" si="73"/>
        <v>#DIV/0!</v>
      </c>
      <c r="BC36" s="19">
        <f t="shared" si="74"/>
        <v>0</v>
      </c>
      <c r="BD36" s="19" t="e">
        <f t="shared" si="75"/>
        <v>#DIV/0!</v>
      </c>
    </row>
    <row r="37" spans="1:56">
      <c r="A37" s="17">
        <v>11</v>
      </c>
      <c r="B37" s="18" t="s">
        <v>38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6"/>
      <c r="P37" s="17">
        <v>11</v>
      </c>
      <c r="Q37" s="18" t="s">
        <v>38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E37" s="17">
        <v>11</v>
      </c>
      <c r="AF37" s="18" t="s">
        <v>38</v>
      </c>
      <c r="AG37" s="19">
        <f t="shared" si="52"/>
        <v>0</v>
      </c>
      <c r="AH37" s="19" t="e">
        <f t="shared" si="53"/>
        <v>#DIV/0!</v>
      </c>
      <c r="AI37" s="19">
        <f t="shared" si="54"/>
        <v>0</v>
      </c>
      <c r="AJ37" s="19" t="e">
        <f t="shared" si="55"/>
        <v>#DIV/0!</v>
      </c>
      <c r="AK37" s="19">
        <f t="shared" si="56"/>
        <v>0</v>
      </c>
      <c r="AL37" s="19" t="e">
        <f t="shared" si="57"/>
        <v>#DIV/0!</v>
      </c>
      <c r="AM37" s="19">
        <f t="shared" si="58"/>
        <v>0</v>
      </c>
      <c r="AN37" s="19" t="e">
        <f t="shared" si="59"/>
        <v>#DIV/0!</v>
      </c>
      <c r="AO37" s="19">
        <f t="shared" si="60"/>
        <v>0</v>
      </c>
      <c r="AP37" s="19" t="e">
        <f t="shared" si="61"/>
        <v>#DIV/0!</v>
      </c>
      <c r="AQ37" s="19">
        <f t="shared" si="62"/>
        <v>0</v>
      </c>
      <c r="AR37" s="19" t="e">
        <f t="shared" si="63"/>
        <v>#DIV/0!</v>
      </c>
      <c r="AS37" s="19">
        <f t="shared" si="64"/>
        <v>0</v>
      </c>
      <c r="AT37" s="19" t="e">
        <f t="shared" si="65"/>
        <v>#DIV/0!</v>
      </c>
      <c r="AU37" s="19">
        <f t="shared" si="66"/>
        <v>0</v>
      </c>
      <c r="AV37" s="19" t="e">
        <f t="shared" si="67"/>
        <v>#DIV/0!</v>
      </c>
      <c r="AW37" s="19">
        <f t="shared" si="68"/>
        <v>0</v>
      </c>
      <c r="AX37" s="19" t="e">
        <f t="shared" si="69"/>
        <v>#DIV/0!</v>
      </c>
      <c r="AY37" s="19">
        <f t="shared" si="70"/>
        <v>0</v>
      </c>
      <c r="AZ37" s="19" t="e">
        <f t="shared" si="71"/>
        <v>#DIV/0!</v>
      </c>
      <c r="BA37" s="19">
        <f t="shared" si="72"/>
        <v>0</v>
      </c>
      <c r="BB37" s="19" t="e">
        <f t="shared" si="73"/>
        <v>#DIV/0!</v>
      </c>
      <c r="BC37" s="19">
        <f t="shared" si="74"/>
        <v>0</v>
      </c>
      <c r="BD37" s="19" t="e">
        <f t="shared" si="75"/>
        <v>#DIV/0!</v>
      </c>
    </row>
    <row r="38" spans="1:56">
      <c r="A38" s="17">
        <v>12</v>
      </c>
      <c r="B38" s="18" t="s">
        <v>40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6"/>
      <c r="P38" s="17">
        <v>12</v>
      </c>
      <c r="Q38" s="18" t="s">
        <v>40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E38" s="17">
        <v>12</v>
      </c>
      <c r="AF38" s="18" t="s">
        <v>40</v>
      </c>
      <c r="AG38" s="19">
        <f t="shared" si="52"/>
        <v>0</v>
      </c>
      <c r="AH38" s="19" t="e">
        <f t="shared" si="53"/>
        <v>#DIV/0!</v>
      </c>
      <c r="AI38" s="19">
        <f t="shared" si="54"/>
        <v>0</v>
      </c>
      <c r="AJ38" s="19" t="e">
        <f t="shared" si="55"/>
        <v>#DIV/0!</v>
      </c>
      <c r="AK38" s="19">
        <f t="shared" si="56"/>
        <v>0</v>
      </c>
      <c r="AL38" s="19" t="e">
        <f t="shared" si="57"/>
        <v>#DIV/0!</v>
      </c>
      <c r="AM38" s="19">
        <f t="shared" si="58"/>
        <v>0</v>
      </c>
      <c r="AN38" s="19" t="e">
        <f t="shared" si="59"/>
        <v>#DIV/0!</v>
      </c>
      <c r="AO38" s="19">
        <f t="shared" si="60"/>
        <v>0</v>
      </c>
      <c r="AP38" s="19" t="e">
        <f t="shared" si="61"/>
        <v>#DIV/0!</v>
      </c>
      <c r="AQ38" s="19">
        <f t="shared" si="62"/>
        <v>0</v>
      </c>
      <c r="AR38" s="19" t="e">
        <f t="shared" si="63"/>
        <v>#DIV/0!</v>
      </c>
      <c r="AS38" s="19">
        <f t="shared" si="64"/>
        <v>0</v>
      </c>
      <c r="AT38" s="19" t="e">
        <f t="shared" si="65"/>
        <v>#DIV/0!</v>
      </c>
      <c r="AU38" s="19">
        <f t="shared" si="66"/>
        <v>0</v>
      </c>
      <c r="AV38" s="19" t="e">
        <f t="shared" si="67"/>
        <v>#DIV/0!</v>
      </c>
      <c r="AW38" s="19">
        <f t="shared" si="68"/>
        <v>0</v>
      </c>
      <c r="AX38" s="19" t="e">
        <f t="shared" si="69"/>
        <v>#DIV/0!</v>
      </c>
      <c r="AY38" s="19">
        <f t="shared" si="70"/>
        <v>0</v>
      </c>
      <c r="AZ38" s="19" t="e">
        <f t="shared" si="71"/>
        <v>#DIV/0!</v>
      </c>
      <c r="BA38" s="19">
        <f t="shared" si="72"/>
        <v>0</v>
      </c>
      <c r="BB38" s="19" t="e">
        <f t="shared" si="73"/>
        <v>#DIV/0!</v>
      </c>
      <c r="BC38" s="19">
        <f t="shared" si="74"/>
        <v>0</v>
      </c>
      <c r="BD38" s="19" t="e">
        <f t="shared" si="75"/>
        <v>#DIV/0!</v>
      </c>
    </row>
    <row r="39" spans="1:56">
      <c r="A39" s="17">
        <v>13</v>
      </c>
      <c r="B39" s="18" t="s">
        <v>42</v>
      </c>
      <c r="C39" s="19"/>
      <c r="D39" s="19"/>
      <c r="E39" s="19"/>
      <c r="F39" s="19"/>
      <c r="G39" s="19"/>
      <c r="H39" s="19"/>
      <c r="I39" s="19"/>
      <c r="J39" s="19"/>
      <c r="K39" s="19"/>
      <c r="L39" s="19">
        <v>172860</v>
      </c>
      <c r="M39" s="19"/>
      <c r="N39" s="19"/>
      <c r="O39" s="26"/>
      <c r="P39" s="17">
        <v>13</v>
      </c>
      <c r="Q39" s="18" t="s">
        <v>42</v>
      </c>
      <c r="R39" s="19">
        <f>139900+155402.5</f>
        <v>295302.5</v>
      </c>
      <c r="S39" s="19">
        <f>139900+155402.5</f>
        <v>295302.5</v>
      </c>
      <c r="T39" s="19">
        <f>139900+155402.5</f>
        <v>295302.5</v>
      </c>
      <c r="U39" s="19"/>
      <c r="V39" s="19"/>
      <c r="W39" s="19"/>
      <c r="X39" s="19"/>
      <c r="Y39" s="19"/>
      <c r="Z39" s="19"/>
      <c r="AA39" s="19">
        <v>172860</v>
      </c>
      <c r="AB39" s="19"/>
      <c r="AC39" s="19"/>
      <c r="AE39" s="17">
        <v>13</v>
      </c>
      <c r="AF39" s="18" t="s">
        <v>42</v>
      </c>
      <c r="AG39" s="19">
        <f t="shared" si="52"/>
        <v>-295302.5</v>
      </c>
      <c r="AH39" s="19" t="e">
        <f t="shared" si="53"/>
        <v>#DIV/0!</v>
      </c>
      <c r="AI39" s="19">
        <f t="shared" si="54"/>
        <v>-295302.5</v>
      </c>
      <c r="AJ39" s="19" t="e">
        <f t="shared" si="55"/>
        <v>#DIV/0!</v>
      </c>
      <c r="AK39" s="19">
        <f t="shared" si="56"/>
        <v>-295302.5</v>
      </c>
      <c r="AL39" s="19" t="e">
        <f t="shared" si="57"/>
        <v>#DIV/0!</v>
      </c>
      <c r="AM39" s="19">
        <f t="shared" si="58"/>
        <v>0</v>
      </c>
      <c r="AN39" s="19" t="e">
        <f t="shared" si="59"/>
        <v>#DIV/0!</v>
      </c>
      <c r="AO39" s="19">
        <f t="shared" si="60"/>
        <v>0</v>
      </c>
      <c r="AP39" s="19" t="e">
        <f t="shared" si="61"/>
        <v>#DIV/0!</v>
      </c>
      <c r="AQ39" s="19">
        <f t="shared" si="62"/>
        <v>0</v>
      </c>
      <c r="AR39" s="19" t="e">
        <f t="shared" si="63"/>
        <v>#DIV/0!</v>
      </c>
      <c r="AS39" s="19">
        <f t="shared" si="64"/>
        <v>0</v>
      </c>
      <c r="AT39" s="19" t="e">
        <f t="shared" si="65"/>
        <v>#DIV/0!</v>
      </c>
      <c r="AU39" s="19">
        <f t="shared" si="66"/>
        <v>0</v>
      </c>
      <c r="AV39" s="19" t="e">
        <f t="shared" si="67"/>
        <v>#DIV/0!</v>
      </c>
      <c r="AW39" s="19">
        <f t="shared" si="68"/>
        <v>0</v>
      </c>
      <c r="AX39" s="19" t="e">
        <f t="shared" si="69"/>
        <v>#DIV/0!</v>
      </c>
      <c r="AY39" s="19">
        <f t="shared" si="70"/>
        <v>0</v>
      </c>
      <c r="AZ39" s="19">
        <f t="shared" si="71"/>
        <v>0</v>
      </c>
      <c r="BA39" s="19">
        <f t="shared" si="72"/>
        <v>0</v>
      </c>
      <c r="BB39" s="19" t="e">
        <f t="shared" si="73"/>
        <v>#DIV/0!</v>
      </c>
      <c r="BC39" s="19">
        <f t="shared" si="74"/>
        <v>0</v>
      </c>
      <c r="BD39" s="19" t="e">
        <f t="shared" si="75"/>
        <v>#DIV/0!</v>
      </c>
    </row>
    <row r="40" spans="1:56">
      <c r="A40" s="17">
        <v>14</v>
      </c>
      <c r="B40" s="18" t="s">
        <v>44</v>
      </c>
      <c r="C40" s="19"/>
      <c r="D40" s="19"/>
      <c r="E40" s="19"/>
      <c r="F40" s="19"/>
      <c r="G40" s="19"/>
      <c r="H40" s="19"/>
      <c r="I40" s="19"/>
      <c r="J40" s="19"/>
      <c r="K40" s="19"/>
      <c r="L40" s="19">
        <v>21400</v>
      </c>
      <c r="M40" s="19"/>
      <c r="N40" s="19"/>
      <c r="O40" s="26"/>
      <c r="P40" s="17">
        <v>14</v>
      </c>
      <c r="Q40" s="18" t="s">
        <v>44</v>
      </c>
      <c r="R40" s="19"/>
      <c r="S40" s="19"/>
      <c r="T40" s="19"/>
      <c r="U40" s="19"/>
      <c r="V40" s="19"/>
      <c r="W40" s="19"/>
      <c r="X40" s="19"/>
      <c r="Y40" s="19"/>
      <c r="Z40" s="19"/>
      <c r="AA40" s="19">
        <v>21400</v>
      </c>
      <c r="AB40" s="19"/>
      <c r="AC40" s="19"/>
      <c r="AE40" s="17">
        <v>14</v>
      </c>
      <c r="AF40" s="18" t="s">
        <v>44</v>
      </c>
      <c r="AG40" s="19">
        <f t="shared" si="52"/>
        <v>0</v>
      </c>
      <c r="AH40" s="19" t="e">
        <f t="shared" si="53"/>
        <v>#DIV/0!</v>
      </c>
      <c r="AI40" s="19">
        <f t="shared" si="54"/>
        <v>0</v>
      </c>
      <c r="AJ40" s="19" t="e">
        <f t="shared" si="55"/>
        <v>#DIV/0!</v>
      </c>
      <c r="AK40" s="19">
        <f t="shared" si="56"/>
        <v>0</v>
      </c>
      <c r="AL40" s="19" t="e">
        <f t="shared" si="57"/>
        <v>#DIV/0!</v>
      </c>
      <c r="AM40" s="19">
        <f t="shared" si="58"/>
        <v>0</v>
      </c>
      <c r="AN40" s="19" t="e">
        <f t="shared" si="59"/>
        <v>#DIV/0!</v>
      </c>
      <c r="AO40" s="19">
        <f t="shared" si="60"/>
        <v>0</v>
      </c>
      <c r="AP40" s="19" t="e">
        <f t="shared" si="61"/>
        <v>#DIV/0!</v>
      </c>
      <c r="AQ40" s="19">
        <f t="shared" si="62"/>
        <v>0</v>
      </c>
      <c r="AR40" s="19" t="e">
        <f t="shared" si="63"/>
        <v>#DIV/0!</v>
      </c>
      <c r="AS40" s="19">
        <f t="shared" si="64"/>
        <v>0</v>
      </c>
      <c r="AT40" s="19" t="e">
        <f t="shared" si="65"/>
        <v>#DIV/0!</v>
      </c>
      <c r="AU40" s="19">
        <f t="shared" si="66"/>
        <v>0</v>
      </c>
      <c r="AV40" s="19" t="e">
        <f t="shared" si="67"/>
        <v>#DIV/0!</v>
      </c>
      <c r="AW40" s="19">
        <f t="shared" si="68"/>
        <v>0</v>
      </c>
      <c r="AX40" s="19" t="e">
        <f t="shared" si="69"/>
        <v>#DIV/0!</v>
      </c>
      <c r="AY40" s="19">
        <f t="shared" si="70"/>
        <v>0</v>
      </c>
      <c r="AZ40" s="19">
        <f t="shared" si="71"/>
        <v>0</v>
      </c>
      <c r="BA40" s="19">
        <f t="shared" si="72"/>
        <v>0</v>
      </c>
      <c r="BB40" s="19" t="e">
        <f t="shared" si="73"/>
        <v>#DIV/0!</v>
      </c>
      <c r="BC40" s="19">
        <f t="shared" si="74"/>
        <v>0</v>
      </c>
      <c r="BD40" s="19" t="e">
        <f t="shared" si="75"/>
        <v>#DIV/0!</v>
      </c>
    </row>
    <row r="41" spans="1:56" ht="25.2" thickBot="1">
      <c r="A41" s="17"/>
      <c r="B41" s="20" t="s">
        <v>17</v>
      </c>
      <c r="C41" s="27">
        <f>SUM(C27:C40)</f>
        <v>18344109</v>
      </c>
      <c r="D41" s="27">
        <f t="shared" ref="D41:N41" si="76">SUM(D27:D40)</f>
        <v>18344109</v>
      </c>
      <c r="E41" s="27">
        <f t="shared" si="76"/>
        <v>18344109</v>
      </c>
      <c r="F41" s="27">
        <f t="shared" si="76"/>
        <v>0</v>
      </c>
      <c r="G41" s="27">
        <f t="shared" si="76"/>
        <v>0</v>
      </c>
      <c r="H41" s="27">
        <f t="shared" si="76"/>
        <v>0</v>
      </c>
      <c r="I41" s="27">
        <f t="shared" si="76"/>
        <v>0</v>
      </c>
      <c r="J41" s="27">
        <f t="shared" si="76"/>
        <v>0</v>
      </c>
      <c r="K41" s="27">
        <f t="shared" si="76"/>
        <v>0</v>
      </c>
      <c r="L41" s="27">
        <f t="shared" si="76"/>
        <v>10615233</v>
      </c>
      <c r="M41" s="27">
        <f t="shared" si="76"/>
        <v>0</v>
      </c>
      <c r="N41" s="27">
        <f t="shared" si="76"/>
        <v>0</v>
      </c>
      <c r="P41" s="17"/>
      <c r="Q41" s="20" t="s">
        <v>17</v>
      </c>
      <c r="R41" s="27">
        <f>SUM(R27:R40)</f>
        <v>34160949.5</v>
      </c>
      <c r="S41" s="27">
        <f t="shared" ref="S41:AC41" si="77">SUM(S27:S40)</f>
        <v>34160949.5</v>
      </c>
      <c r="T41" s="27">
        <f t="shared" si="77"/>
        <v>34160949.5</v>
      </c>
      <c r="U41" s="27">
        <f t="shared" si="77"/>
        <v>0</v>
      </c>
      <c r="V41" s="27">
        <f t="shared" si="77"/>
        <v>0</v>
      </c>
      <c r="W41" s="27">
        <f t="shared" si="77"/>
        <v>0</v>
      </c>
      <c r="X41" s="27">
        <f t="shared" si="77"/>
        <v>0</v>
      </c>
      <c r="Y41" s="27">
        <f t="shared" si="77"/>
        <v>0</v>
      </c>
      <c r="Z41" s="27">
        <f t="shared" si="77"/>
        <v>0</v>
      </c>
      <c r="AA41" s="27">
        <f t="shared" si="77"/>
        <v>10615233</v>
      </c>
      <c r="AB41" s="27">
        <f t="shared" si="77"/>
        <v>0</v>
      </c>
      <c r="AC41" s="27">
        <f t="shared" si="77"/>
        <v>0</v>
      </c>
      <c r="AE41" s="17"/>
      <c r="AF41" s="20" t="s">
        <v>17</v>
      </c>
      <c r="AG41" s="23">
        <f t="shared" si="52"/>
        <v>-15816840.5</v>
      </c>
      <c r="AH41" s="23">
        <f t="shared" si="53"/>
        <v>-86.222996712459562</v>
      </c>
      <c r="AI41" s="23">
        <f t="shared" si="54"/>
        <v>-15816840.5</v>
      </c>
      <c r="AJ41" s="23">
        <f t="shared" si="55"/>
        <v>-86.222996712459562</v>
      </c>
      <c r="AK41" s="23">
        <f t="shared" si="56"/>
        <v>-15816840.5</v>
      </c>
      <c r="AL41" s="23">
        <f t="shared" si="57"/>
        <v>-86.222996712459562</v>
      </c>
      <c r="AM41" s="23">
        <f t="shared" si="58"/>
        <v>0</v>
      </c>
      <c r="AN41" s="23" t="e">
        <f t="shared" si="59"/>
        <v>#DIV/0!</v>
      </c>
      <c r="AO41" s="23">
        <f t="shared" si="60"/>
        <v>0</v>
      </c>
      <c r="AP41" s="23" t="e">
        <f t="shared" si="61"/>
        <v>#DIV/0!</v>
      </c>
      <c r="AQ41" s="23">
        <f t="shared" si="62"/>
        <v>0</v>
      </c>
      <c r="AR41" s="23" t="e">
        <f t="shared" si="63"/>
        <v>#DIV/0!</v>
      </c>
      <c r="AS41" s="23">
        <f t="shared" si="64"/>
        <v>0</v>
      </c>
      <c r="AT41" s="23" t="e">
        <f t="shared" si="65"/>
        <v>#DIV/0!</v>
      </c>
      <c r="AU41" s="23">
        <f t="shared" si="66"/>
        <v>0</v>
      </c>
      <c r="AV41" s="23" t="e">
        <f t="shared" si="67"/>
        <v>#DIV/0!</v>
      </c>
      <c r="AW41" s="23">
        <f t="shared" si="68"/>
        <v>0</v>
      </c>
      <c r="AX41" s="23" t="e">
        <f t="shared" si="69"/>
        <v>#DIV/0!</v>
      </c>
      <c r="AY41" s="23">
        <f t="shared" si="70"/>
        <v>0</v>
      </c>
      <c r="AZ41" s="23">
        <f t="shared" si="71"/>
        <v>0</v>
      </c>
      <c r="BA41" s="23">
        <f t="shared" si="72"/>
        <v>0</v>
      </c>
      <c r="BB41" s="23" t="e">
        <f t="shared" si="73"/>
        <v>#DIV/0!</v>
      </c>
      <c r="BC41" s="23">
        <f t="shared" si="74"/>
        <v>0</v>
      </c>
      <c r="BD41" s="23" t="e">
        <f t="shared" si="75"/>
        <v>#DIV/0!</v>
      </c>
    </row>
    <row r="42" spans="1:56" ht="25.2" thickTop="1"/>
    <row r="43" spans="1:56">
      <c r="A43" s="37" t="s">
        <v>48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P43" s="37" t="s">
        <v>52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E43" s="37" t="s">
        <v>89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1:56">
      <c r="A44" s="37" t="s">
        <v>1950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P44" s="37" t="s">
        <v>1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E44" s="37" t="s">
        <v>1</v>
      </c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</row>
    <row r="45" spans="1:56" s="15" customFormat="1">
      <c r="A45" s="35" t="s">
        <v>2</v>
      </c>
      <c r="B45" s="35" t="s">
        <v>3</v>
      </c>
      <c r="C45" s="38" t="s">
        <v>4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P45" s="35" t="s">
        <v>2</v>
      </c>
      <c r="Q45" s="35" t="s">
        <v>3</v>
      </c>
      <c r="R45" s="38" t="s">
        <v>5</v>
      </c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40"/>
      <c r="AE45" s="35" t="s">
        <v>2</v>
      </c>
      <c r="AF45" s="35" t="s">
        <v>3</v>
      </c>
      <c r="AG45" s="33">
        <v>25112</v>
      </c>
      <c r="AH45" s="34"/>
      <c r="AI45" s="33">
        <v>25143</v>
      </c>
      <c r="AJ45" s="34"/>
      <c r="AK45" s="33">
        <v>25173</v>
      </c>
      <c r="AL45" s="34"/>
      <c r="AM45" s="33">
        <v>25204</v>
      </c>
      <c r="AN45" s="34"/>
      <c r="AO45" s="33">
        <v>25235</v>
      </c>
      <c r="AP45" s="34"/>
      <c r="AQ45" s="33">
        <v>25263</v>
      </c>
      <c r="AR45" s="34"/>
      <c r="AS45" s="33">
        <v>25294</v>
      </c>
      <c r="AT45" s="34"/>
      <c r="AU45" s="33">
        <v>25324</v>
      </c>
      <c r="AV45" s="34"/>
      <c r="AW45" s="33">
        <v>25355</v>
      </c>
      <c r="AX45" s="34"/>
      <c r="AY45" s="33">
        <v>25385</v>
      </c>
      <c r="AZ45" s="34"/>
      <c r="BA45" s="33">
        <v>25416</v>
      </c>
      <c r="BB45" s="34"/>
      <c r="BC45" s="33">
        <v>25447</v>
      </c>
      <c r="BD45" s="34"/>
    </row>
    <row r="46" spans="1:56" s="15" customFormat="1">
      <c r="A46" s="36"/>
      <c r="B46" s="36"/>
      <c r="C46" s="16">
        <v>25112</v>
      </c>
      <c r="D46" s="16">
        <v>25143</v>
      </c>
      <c r="E46" s="16">
        <v>25173</v>
      </c>
      <c r="F46" s="16">
        <v>25204</v>
      </c>
      <c r="G46" s="16">
        <v>25235</v>
      </c>
      <c r="H46" s="16">
        <v>25263</v>
      </c>
      <c r="I46" s="16">
        <v>25294</v>
      </c>
      <c r="J46" s="16">
        <v>25324</v>
      </c>
      <c r="K46" s="16">
        <v>25355</v>
      </c>
      <c r="L46" s="16">
        <v>25385</v>
      </c>
      <c r="M46" s="16">
        <v>25416</v>
      </c>
      <c r="N46" s="16">
        <v>25447</v>
      </c>
      <c r="P46" s="36"/>
      <c r="Q46" s="36"/>
      <c r="R46" s="16">
        <v>25112</v>
      </c>
      <c r="S46" s="16">
        <v>25143</v>
      </c>
      <c r="T46" s="16">
        <v>25173</v>
      </c>
      <c r="U46" s="16">
        <v>25204</v>
      </c>
      <c r="V46" s="16">
        <v>25235</v>
      </c>
      <c r="W46" s="16">
        <v>25263</v>
      </c>
      <c r="X46" s="16">
        <v>25294</v>
      </c>
      <c r="Y46" s="16">
        <v>25324</v>
      </c>
      <c r="Z46" s="16">
        <v>25355</v>
      </c>
      <c r="AA46" s="16">
        <v>25385</v>
      </c>
      <c r="AB46" s="16">
        <v>25416</v>
      </c>
      <c r="AC46" s="16">
        <v>25447</v>
      </c>
      <c r="AE46" s="36"/>
      <c r="AF46" s="36"/>
      <c r="AG46" s="16" t="s">
        <v>85</v>
      </c>
      <c r="AH46" s="16" t="s">
        <v>86</v>
      </c>
      <c r="AI46" s="16" t="s">
        <v>85</v>
      </c>
      <c r="AJ46" s="16" t="s">
        <v>86</v>
      </c>
      <c r="AK46" s="16" t="s">
        <v>85</v>
      </c>
      <c r="AL46" s="16" t="s">
        <v>86</v>
      </c>
      <c r="AM46" s="16" t="s">
        <v>85</v>
      </c>
      <c r="AN46" s="16" t="s">
        <v>86</v>
      </c>
      <c r="AO46" s="16" t="s">
        <v>85</v>
      </c>
      <c r="AP46" s="16" t="s">
        <v>86</v>
      </c>
      <c r="AQ46" s="16" t="s">
        <v>85</v>
      </c>
      <c r="AR46" s="16" t="s">
        <v>86</v>
      </c>
      <c r="AS46" s="16" t="s">
        <v>85</v>
      </c>
      <c r="AT46" s="16" t="s">
        <v>86</v>
      </c>
      <c r="AU46" s="16" t="s">
        <v>85</v>
      </c>
      <c r="AV46" s="16" t="s">
        <v>86</v>
      </c>
      <c r="AW46" s="16" t="s">
        <v>85</v>
      </c>
      <c r="AX46" s="16" t="s">
        <v>86</v>
      </c>
      <c r="AY46" s="16" t="s">
        <v>85</v>
      </c>
      <c r="AZ46" s="16" t="s">
        <v>86</v>
      </c>
      <c r="BA46" s="16" t="s">
        <v>85</v>
      </c>
      <c r="BB46" s="16" t="s">
        <v>86</v>
      </c>
      <c r="BC46" s="16" t="s">
        <v>85</v>
      </c>
      <c r="BD46" s="16" t="s">
        <v>86</v>
      </c>
    </row>
    <row r="47" spans="1:56">
      <c r="A47" s="17">
        <v>1</v>
      </c>
      <c r="B47" s="18" t="s">
        <v>19</v>
      </c>
      <c r="C47" s="19"/>
      <c r="D47" s="19"/>
      <c r="E47" s="19"/>
      <c r="F47" s="19"/>
      <c r="G47" s="18"/>
      <c r="H47" s="18"/>
      <c r="I47" s="18"/>
      <c r="J47" s="18"/>
      <c r="K47" s="18"/>
      <c r="L47" s="18"/>
      <c r="M47" s="18"/>
      <c r="N47" s="18"/>
      <c r="P47" s="17">
        <v>1</v>
      </c>
      <c r="Q47" s="18" t="s">
        <v>19</v>
      </c>
      <c r="R47" s="19">
        <v>1527654</v>
      </c>
      <c r="S47" s="19">
        <v>1527654</v>
      </c>
      <c r="T47" s="19">
        <v>1527654</v>
      </c>
      <c r="U47" s="19"/>
      <c r="V47" s="18"/>
      <c r="W47" s="18"/>
      <c r="X47" s="18"/>
      <c r="Y47" s="18"/>
      <c r="Z47" s="18"/>
      <c r="AA47" s="18"/>
      <c r="AB47" s="18"/>
      <c r="AC47" s="18"/>
      <c r="AE47" s="17">
        <v>1</v>
      </c>
      <c r="AF47" s="18" t="s">
        <v>19</v>
      </c>
      <c r="AG47" s="19">
        <f t="shared" ref="AG47:AG61" si="78">+C47-R47</f>
        <v>-1527654</v>
      </c>
      <c r="AH47" s="19" t="e">
        <f t="shared" ref="AH47:AH61" si="79">+AG47/C47*100</f>
        <v>#DIV/0!</v>
      </c>
      <c r="AI47" s="19">
        <f t="shared" ref="AI47:AI61" si="80">+D47-S47</f>
        <v>-1527654</v>
      </c>
      <c r="AJ47" s="19" t="e">
        <f t="shared" ref="AJ47:AJ61" si="81">+AI47/D47*100</f>
        <v>#DIV/0!</v>
      </c>
      <c r="AK47" s="19">
        <f t="shared" ref="AK47:AK61" si="82">+E47-T47</f>
        <v>-1527654</v>
      </c>
      <c r="AL47" s="19" t="e">
        <f t="shared" ref="AL47:AL61" si="83">+AK47/E47*100</f>
        <v>#DIV/0!</v>
      </c>
      <c r="AM47" s="19">
        <f t="shared" ref="AM47:AM61" si="84">+F47-U47</f>
        <v>0</v>
      </c>
      <c r="AN47" s="19" t="e">
        <f t="shared" ref="AN47:AN61" si="85">+AM47/F47*100</f>
        <v>#DIV/0!</v>
      </c>
      <c r="AO47" s="19">
        <f t="shared" ref="AO47:AO61" si="86">+G47-V47</f>
        <v>0</v>
      </c>
      <c r="AP47" s="19" t="e">
        <f t="shared" ref="AP47:AP61" si="87">+AO47/G47*100</f>
        <v>#DIV/0!</v>
      </c>
      <c r="AQ47" s="19">
        <f t="shared" ref="AQ47:AQ61" si="88">+H47-W47</f>
        <v>0</v>
      </c>
      <c r="AR47" s="19" t="e">
        <f t="shared" ref="AR47:AR61" si="89">+AQ47/H47*100</f>
        <v>#DIV/0!</v>
      </c>
      <c r="AS47" s="19">
        <f t="shared" ref="AS47:AS61" si="90">+I47-X47</f>
        <v>0</v>
      </c>
      <c r="AT47" s="19" t="e">
        <f t="shared" ref="AT47:AT61" si="91">+AS47/I47*100</f>
        <v>#DIV/0!</v>
      </c>
      <c r="AU47" s="19">
        <f t="shared" ref="AU47:AU61" si="92">+J47-Y47</f>
        <v>0</v>
      </c>
      <c r="AV47" s="19" t="e">
        <f t="shared" ref="AV47:AV61" si="93">+AU47/J47*100</f>
        <v>#DIV/0!</v>
      </c>
      <c r="AW47" s="19">
        <f t="shared" ref="AW47:AW61" si="94">+K47-Z47</f>
        <v>0</v>
      </c>
      <c r="AX47" s="19" t="e">
        <f t="shared" ref="AX47:AX61" si="95">+AW47/K47*100</f>
        <v>#DIV/0!</v>
      </c>
      <c r="AY47" s="19">
        <f t="shared" ref="AY47:AY61" si="96">+L47-AA47</f>
        <v>0</v>
      </c>
      <c r="AZ47" s="19" t="e">
        <f t="shared" ref="AZ47:AZ61" si="97">+AY47/L47*100</f>
        <v>#DIV/0!</v>
      </c>
      <c r="BA47" s="19">
        <f t="shared" ref="BA47:BA61" si="98">+M47-AB47</f>
        <v>0</v>
      </c>
      <c r="BB47" s="19" t="e">
        <f t="shared" ref="BB47:BB61" si="99">+BA47/M47*100</f>
        <v>#DIV/0!</v>
      </c>
      <c r="BC47" s="19">
        <f t="shared" ref="BC47:BC61" si="100">+N47-AC47</f>
        <v>0</v>
      </c>
      <c r="BD47" s="19" t="e">
        <f t="shared" ref="BD47:BD61" si="101">+BC47/N47*100</f>
        <v>#DIV/0!</v>
      </c>
    </row>
    <row r="48" spans="1:56">
      <c r="A48" s="17">
        <v>2</v>
      </c>
      <c r="B48" s="18" t="s">
        <v>21</v>
      </c>
      <c r="C48" s="19"/>
      <c r="D48" s="19"/>
      <c r="E48" s="19"/>
      <c r="F48" s="19"/>
      <c r="G48" s="18"/>
      <c r="H48" s="18"/>
      <c r="I48" s="18"/>
      <c r="J48" s="18"/>
      <c r="K48" s="18"/>
      <c r="L48" s="18"/>
      <c r="M48" s="18"/>
      <c r="N48" s="18"/>
      <c r="P48" s="17">
        <v>2</v>
      </c>
      <c r="Q48" s="18" t="s">
        <v>21</v>
      </c>
      <c r="R48" s="19">
        <v>6700890</v>
      </c>
      <c r="S48" s="19">
        <v>6700890</v>
      </c>
      <c r="T48" s="19">
        <v>6700890</v>
      </c>
      <c r="U48" s="19"/>
      <c r="V48" s="18"/>
      <c r="W48" s="18"/>
      <c r="X48" s="18"/>
      <c r="Y48" s="18"/>
      <c r="Z48" s="18"/>
      <c r="AA48" s="18"/>
      <c r="AB48" s="18"/>
      <c r="AC48" s="18"/>
      <c r="AE48" s="17">
        <v>2</v>
      </c>
      <c r="AF48" s="18" t="s">
        <v>21</v>
      </c>
      <c r="AG48" s="19">
        <f t="shared" si="78"/>
        <v>-6700890</v>
      </c>
      <c r="AH48" s="19" t="e">
        <f t="shared" si="79"/>
        <v>#DIV/0!</v>
      </c>
      <c r="AI48" s="19">
        <f t="shared" si="80"/>
        <v>-6700890</v>
      </c>
      <c r="AJ48" s="19" t="e">
        <f t="shared" si="81"/>
        <v>#DIV/0!</v>
      </c>
      <c r="AK48" s="19">
        <f t="shared" si="82"/>
        <v>-6700890</v>
      </c>
      <c r="AL48" s="19" t="e">
        <f t="shared" si="83"/>
        <v>#DIV/0!</v>
      </c>
      <c r="AM48" s="19">
        <f t="shared" si="84"/>
        <v>0</v>
      </c>
      <c r="AN48" s="19" t="e">
        <f t="shared" si="85"/>
        <v>#DIV/0!</v>
      </c>
      <c r="AO48" s="19">
        <f t="shared" si="86"/>
        <v>0</v>
      </c>
      <c r="AP48" s="19" t="e">
        <f t="shared" si="87"/>
        <v>#DIV/0!</v>
      </c>
      <c r="AQ48" s="19">
        <f t="shared" si="88"/>
        <v>0</v>
      </c>
      <c r="AR48" s="19" t="e">
        <f t="shared" si="89"/>
        <v>#DIV/0!</v>
      </c>
      <c r="AS48" s="19">
        <f t="shared" si="90"/>
        <v>0</v>
      </c>
      <c r="AT48" s="19" t="e">
        <f t="shared" si="91"/>
        <v>#DIV/0!</v>
      </c>
      <c r="AU48" s="19">
        <f t="shared" si="92"/>
        <v>0</v>
      </c>
      <c r="AV48" s="19" t="e">
        <f t="shared" si="93"/>
        <v>#DIV/0!</v>
      </c>
      <c r="AW48" s="19">
        <f t="shared" si="94"/>
        <v>0</v>
      </c>
      <c r="AX48" s="19" t="e">
        <f t="shared" si="95"/>
        <v>#DIV/0!</v>
      </c>
      <c r="AY48" s="19">
        <f t="shared" si="96"/>
        <v>0</v>
      </c>
      <c r="AZ48" s="19" t="e">
        <f t="shared" si="97"/>
        <v>#DIV/0!</v>
      </c>
      <c r="BA48" s="19">
        <f t="shared" si="98"/>
        <v>0</v>
      </c>
      <c r="BB48" s="19" t="e">
        <f t="shared" si="99"/>
        <v>#DIV/0!</v>
      </c>
      <c r="BC48" s="19">
        <f t="shared" si="100"/>
        <v>0</v>
      </c>
      <c r="BD48" s="19" t="e">
        <f t="shared" si="101"/>
        <v>#DIV/0!</v>
      </c>
    </row>
    <row r="49" spans="1:56">
      <c r="A49" s="17">
        <v>3</v>
      </c>
      <c r="B49" s="18" t="s">
        <v>23</v>
      </c>
      <c r="C49" s="19"/>
      <c r="D49" s="19"/>
      <c r="E49" s="19"/>
      <c r="F49" s="19"/>
      <c r="G49" s="18"/>
      <c r="H49" s="18"/>
      <c r="I49" s="18"/>
      <c r="J49" s="18"/>
      <c r="K49" s="18"/>
      <c r="L49" s="18"/>
      <c r="M49" s="18"/>
      <c r="N49" s="18"/>
      <c r="P49" s="17">
        <v>3</v>
      </c>
      <c r="Q49" s="18" t="s">
        <v>23</v>
      </c>
      <c r="R49" s="19">
        <v>2046688</v>
      </c>
      <c r="S49" s="19">
        <v>2046688</v>
      </c>
      <c r="T49" s="19">
        <v>2046688</v>
      </c>
      <c r="U49" s="19"/>
      <c r="V49" s="18"/>
      <c r="W49" s="18"/>
      <c r="X49" s="18"/>
      <c r="Y49" s="18"/>
      <c r="Z49" s="18"/>
      <c r="AA49" s="18"/>
      <c r="AB49" s="18"/>
      <c r="AC49" s="18"/>
      <c r="AE49" s="17">
        <v>3</v>
      </c>
      <c r="AF49" s="18" t="s">
        <v>23</v>
      </c>
      <c r="AG49" s="19">
        <f t="shared" si="78"/>
        <v>-2046688</v>
      </c>
      <c r="AH49" s="19" t="e">
        <f t="shared" si="79"/>
        <v>#DIV/0!</v>
      </c>
      <c r="AI49" s="19">
        <f t="shared" si="80"/>
        <v>-2046688</v>
      </c>
      <c r="AJ49" s="19" t="e">
        <f t="shared" si="81"/>
        <v>#DIV/0!</v>
      </c>
      <c r="AK49" s="19">
        <f t="shared" si="82"/>
        <v>-2046688</v>
      </c>
      <c r="AL49" s="19" t="e">
        <f t="shared" si="83"/>
        <v>#DIV/0!</v>
      </c>
      <c r="AM49" s="19">
        <f t="shared" si="84"/>
        <v>0</v>
      </c>
      <c r="AN49" s="19" t="e">
        <f t="shared" si="85"/>
        <v>#DIV/0!</v>
      </c>
      <c r="AO49" s="19">
        <f t="shared" si="86"/>
        <v>0</v>
      </c>
      <c r="AP49" s="19" t="e">
        <f t="shared" si="87"/>
        <v>#DIV/0!</v>
      </c>
      <c r="AQ49" s="19">
        <f t="shared" si="88"/>
        <v>0</v>
      </c>
      <c r="AR49" s="19" t="e">
        <f t="shared" si="89"/>
        <v>#DIV/0!</v>
      </c>
      <c r="AS49" s="19">
        <f t="shared" si="90"/>
        <v>0</v>
      </c>
      <c r="AT49" s="19" t="e">
        <f t="shared" si="91"/>
        <v>#DIV/0!</v>
      </c>
      <c r="AU49" s="19">
        <f t="shared" si="92"/>
        <v>0</v>
      </c>
      <c r="AV49" s="19" t="e">
        <f t="shared" si="93"/>
        <v>#DIV/0!</v>
      </c>
      <c r="AW49" s="19">
        <f t="shared" si="94"/>
        <v>0</v>
      </c>
      <c r="AX49" s="19" t="e">
        <f t="shared" si="95"/>
        <v>#DIV/0!</v>
      </c>
      <c r="AY49" s="19">
        <f t="shared" si="96"/>
        <v>0</v>
      </c>
      <c r="AZ49" s="19" t="e">
        <f t="shared" si="97"/>
        <v>#DIV/0!</v>
      </c>
      <c r="BA49" s="19">
        <f t="shared" si="98"/>
        <v>0</v>
      </c>
      <c r="BB49" s="19" t="e">
        <f t="shared" si="99"/>
        <v>#DIV/0!</v>
      </c>
      <c r="BC49" s="19">
        <f t="shared" si="100"/>
        <v>0</v>
      </c>
      <c r="BD49" s="19" t="e">
        <f t="shared" si="101"/>
        <v>#DIV/0!</v>
      </c>
    </row>
    <row r="50" spans="1:56">
      <c r="A50" s="17">
        <v>4</v>
      </c>
      <c r="B50" s="18" t="s">
        <v>25</v>
      </c>
      <c r="C50" s="19"/>
      <c r="D50" s="19"/>
      <c r="E50" s="19"/>
      <c r="F50" s="19"/>
      <c r="G50" s="18"/>
      <c r="H50" s="18"/>
      <c r="I50" s="18"/>
      <c r="J50" s="18"/>
      <c r="K50" s="18"/>
      <c r="L50" s="18"/>
      <c r="M50" s="18"/>
      <c r="N50" s="18"/>
      <c r="P50" s="17">
        <v>4</v>
      </c>
      <c r="Q50" s="18" t="s">
        <v>25</v>
      </c>
      <c r="R50" s="19"/>
      <c r="S50" s="19"/>
      <c r="T50" s="19"/>
      <c r="U50" s="19"/>
      <c r="V50" s="18"/>
      <c r="W50" s="18"/>
      <c r="X50" s="18"/>
      <c r="Y50" s="18"/>
      <c r="Z50" s="18"/>
      <c r="AA50" s="18"/>
      <c r="AB50" s="18"/>
      <c r="AC50" s="18"/>
      <c r="AE50" s="17">
        <v>4</v>
      </c>
      <c r="AF50" s="18" t="s">
        <v>25</v>
      </c>
      <c r="AG50" s="19">
        <f t="shared" si="78"/>
        <v>0</v>
      </c>
      <c r="AH50" s="19" t="e">
        <f t="shared" si="79"/>
        <v>#DIV/0!</v>
      </c>
      <c r="AI50" s="19">
        <f t="shared" si="80"/>
        <v>0</v>
      </c>
      <c r="AJ50" s="19" t="e">
        <f t="shared" si="81"/>
        <v>#DIV/0!</v>
      </c>
      <c r="AK50" s="19">
        <f t="shared" si="82"/>
        <v>0</v>
      </c>
      <c r="AL50" s="19" t="e">
        <f t="shared" si="83"/>
        <v>#DIV/0!</v>
      </c>
      <c r="AM50" s="19">
        <f t="shared" si="84"/>
        <v>0</v>
      </c>
      <c r="AN50" s="19" t="e">
        <f t="shared" si="85"/>
        <v>#DIV/0!</v>
      </c>
      <c r="AO50" s="19">
        <f t="shared" si="86"/>
        <v>0</v>
      </c>
      <c r="AP50" s="19" t="e">
        <f t="shared" si="87"/>
        <v>#DIV/0!</v>
      </c>
      <c r="AQ50" s="19">
        <f t="shared" si="88"/>
        <v>0</v>
      </c>
      <c r="AR50" s="19" t="e">
        <f t="shared" si="89"/>
        <v>#DIV/0!</v>
      </c>
      <c r="AS50" s="19">
        <f t="shared" si="90"/>
        <v>0</v>
      </c>
      <c r="AT50" s="19" t="e">
        <f t="shared" si="91"/>
        <v>#DIV/0!</v>
      </c>
      <c r="AU50" s="19">
        <f t="shared" si="92"/>
        <v>0</v>
      </c>
      <c r="AV50" s="19" t="e">
        <f t="shared" si="93"/>
        <v>#DIV/0!</v>
      </c>
      <c r="AW50" s="19">
        <f t="shared" si="94"/>
        <v>0</v>
      </c>
      <c r="AX50" s="19" t="e">
        <f t="shared" si="95"/>
        <v>#DIV/0!</v>
      </c>
      <c r="AY50" s="19">
        <f t="shared" si="96"/>
        <v>0</v>
      </c>
      <c r="AZ50" s="19" t="e">
        <f t="shared" si="97"/>
        <v>#DIV/0!</v>
      </c>
      <c r="BA50" s="19">
        <f t="shared" si="98"/>
        <v>0</v>
      </c>
      <c r="BB50" s="19" t="e">
        <f t="shared" si="99"/>
        <v>#DIV/0!</v>
      </c>
      <c r="BC50" s="19">
        <f t="shared" si="100"/>
        <v>0</v>
      </c>
      <c r="BD50" s="19" t="e">
        <f t="shared" si="101"/>
        <v>#DIV/0!</v>
      </c>
    </row>
    <row r="51" spans="1:56">
      <c r="A51" s="17">
        <v>5</v>
      </c>
      <c r="B51" s="18" t="s">
        <v>27</v>
      </c>
      <c r="C51" s="19"/>
      <c r="D51" s="19"/>
      <c r="E51" s="19"/>
      <c r="F51" s="19"/>
      <c r="G51" s="18"/>
      <c r="H51" s="18"/>
      <c r="I51" s="18"/>
      <c r="J51" s="18"/>
      <c r="K51" s="18"/>
      <c r="L51" s="18"/>
      <c r="M51" s="18"/>
      <c r="N51" s="18"/>
      <c r="P51" s="17">
        <v>5</v>
      </c>
      <c r="Q51" s="18" t="s">
        <v>27</v>
      </c>
      <c r="R51" s="19"/>
      <c r="S51" s="19"/>
      <c r="T51" s="19"/>
      <c r="U51" s="19"/>
      <c r="V51" s="18"/>
      <c r="W51" s="18"/>
      <c r="X51" s="18"/>
      <c r="Y51" s="18"/>
      <c r="Z51" s="18"/>
      <c r="AA51" s="18"/>
      <c r="AB51" s="18"/>
      <c r="AC51" s="18"/>
      <c r="AE51" s="17">
        <v>5</v>
      </c>
      <c r="AF51" s="18" t="s">
        <v>27</v>
      </c>
      <c r="AG51" s="19">
        <f t="shared" si="78"/>
        <v>0</v>
      </c>
      <c r="AH51" s="19" t="e">
        <f t="shared" si="79"/>
        <v>#DIV/0!</v>
      </c>
      <c r="AI51" s="19">
        <f t="shared" si="80"/>
        <v>0</v>
      </c>
      <c r="AJ51" s="19" t="e">
        <f t="shared" si="81"/>
        <v>#DIV/0!</v>
      </c>
      <c r="AK51" s="19">
        <f t="shared" si="82"/>
        <v>0</v>
      </c>
      <c r="AL51" s="19" t="e">
        <f t="shared" si="83"/>
        <v>#DIV/0!</v>
      </c>
      <c r="AM51" s="19">
        <f t="shared" si="84"/>
        <v>0</v>
      </c>
      <c r="AN51" s="19" t="e">
        <f t="shared" si="85"/>
        <v>#DIV/0!</v>
      </c>
      <c r="AO51" s="19">
        <f t="shared" si="86"/>
        <v>0</v>
      </c>
      <c r="AP51" s="19" t="e">
        <f t="shared" si="87"/>
        <v>#DIV/0!</v>
      </c>
      <c r="AQ51" s="19">
        <f t="shared" si="88"/>
        <v>0</v>
      </c>
      <c r="AR51" s="19" t="e">
        <f t="shared" si="89"/>
        <v>#DIV/0!</v>
      </c>
      <c r="AS51" s="19">
        <f t="shared" si="90"/>
        <v>0</v>
      </c>
      <c r="AT51" s="19" t="e">
        <f t="shared" si="91"/>
        <v>#DIV/0!</v>
      </c>
      <c r="AU51" s="19">
        <f t="shared" si="92"/>
        <v>0</v>
      </c>
      <c r="AV51" s="19" t="e">
        <f t="shared" si="93"/>
        <v>#DIV/0!</v>
      </c>
      <c r="AW51" s="19">
        <f t="shared" si="94"/>
        <v>0</v>
      </c>
      <c r="AX51" s="19" t="e">
        <f t="shared" si="95"/>
        <v>#DIV/0!</v>
      </c>
      <c r="AY51" s="19">
        <f t="shared" si="96"/>
        <v>0</v>
      </c>
      <c r="AZ51" s="19" t="e">
        <f t="shared" si="97"/>
        <v>#DIV/0!</v>
      </c>
      <c r="BA51" s="19">
        <f t="shared" si="98"/>
        <v>0</v>
      </c>
      <c r="BB51" s="19" t="e">
        <f t="shared" si="99"/>
        <v>#DIV/0!</v>
      </c>
      <c r="BC51" s="19">
        <f t="shared" si="100"/>
        <v>0</v>
      </c>
      <c r="BD51" s="19" t="e">
        <f t="shared" si="101"/>
        <v>#DIV/0!</v>
      </c>
    </row>
    <row r="52" spans="1:56">
      <c r="A52" s="17">
        <v>6</v>
      </c>
      <c r="B52" s="18" t="s">
        <v>29</v>
      </c>
      <c r="C52" s="19">
        <v>11393617.310000001</v>
      </c>
      <c r="D52" s="19">
        <v>11630863.1</v>
      </c>
      <c r="E52" s="19">
        <v>11876017.09</v>
      </c>
      <c r="F52" s="19"/>
      <c r="G52" s="18"/>
      <c r="H52" s="18"/>
      <c r="I52" s="18"/>
      <c r="J52" s="18"/>
      <c r="K52" s="18"/>
      <c r="L52" s="18"/>
      <c r="M52" s="18"/>
      <c r="N52" s="18"/>
      <c r="P52" s="17">
        <v>6</v>
      </c>
      <c r="Q52" s="18" t="s">
        <v>29</v>
      </c>
      <c r="R52" s="19">
        <v>14997912.039999999</v>
      </c>
      <c r="S52" s="19">
        <v>15251514.640000001</v>
      </c>
      <c r="T52" s="19">
        <v>15505116.439999999</v>
      </c>
      <c r="U52" s="19"/>
      <c r="V52" s="18"/>
      <c r="W52" s="18"/>
      <c r="X52" s="18"/>
      <c r="Y52" s="18"/>
      <c r="Z52" s="18"/>
      <c r="AA52" s="18"/>
      <c r="AB52" s="18"/>
      <c r="AC52" s="18"/>
      <c r="AE52" s="17">
        <v>6</v>
      </c>
      <c r="AF52" s="18" t="s">
        <v>29</v>
      </c>
      <c r="AG52" s="19">
        <f t="shared" si="78"/>
        <v>-3604294.7299999986</v>
      </c>
      <c r="AH52" s="19">
        <f t="shared" si="79"/>
        <v>-31.634332029359673</v>
      </c>
      <c r="AI52" s="19">
        <f t="shared" si="80"/>
        <v>-3620651.540000001</v>
      </c>
      <c r="AJ52" s="19">
        <f t="shared" si="81"/>
        <v>-31.129689248943194</v>
      </c>
      <c r="AK52" s="19">
        <f t="shared" si="82"/>
        <v>-3629099.3499999996</v>
      </c>
      <c r="AL52" s="19">
        <f t="shared" si="83"/>
        <v>-30.558219329743313</v>
      </c>
      <c r="AM52" s="19">
        <f t="shared" si="84"/>
        <v>0</v>
      </c>
      <c r="AN52" s="19" t="e">
        <f t="shared" si="85"/>
        <v>#DIV/0!</v>
      </c>
      <c r="AO52" s="19">
        <f t="shared" si="86"/>
        <v>0</v>
      </c>
      <c r="AP52" s="19" t="e">
        <f t="shared" si="87"/>
        <v>#DIV/0!</v>
      </c>
      <c r="AQ52" s="19">
        <f t="shared" si="88"/>
        <v>0</v>
      </c>
      <c r="AR52" s="19" t="e">
        <f t="shared" si="89"/>
        <v>#DIV/0!</v>
      </c>
      <c r="AS52" s="19">
        <f t="shared" si="90"/>
        <v>0</v>
      </c>
      <c r="AT52" s="19" t="e">
        <f t="shared" si="91"/>
        <v>#DIV/0!</v>
      </c>
      <c r="AU52" s="19">
        <f t="shared" si="92"/>
        <v>0</v>
      </c>
      <c r="AV52" s="19" t="e">
        <f t="shared" si="93"/>
        <v>#DIV/0!</v>
      </c>
      <c r="AW52" s="19">
        <f t="shared" si="94"/>
        <v>0</v>
      </c>
      <c r="AX52" s="19" t="e">
        <f t="shared" si="95"/>
        <v>#DIV/0!</v>
      </c>
      <c r="AY52" s="19">
        <f t="shared" si="96"/>
        <v>0</v>
      </c>
      <c r="AZ52" s="19" t="e">
        <f t="shared" si="97"/>
        <v>#DIV/0!</v>
      </c>
      <c r="BA52" s="19">
        <f t="shared" si="98"/>
        <v>0</v>
      </c>
      <c r="BB52" s="19" t="e">
        <f t="shared" si="99"/>
        <v>#DIV/0!</v>
      </c>
      <c r="BC52" s="19">
        <f t="shared" si="100"/>
        <v>0</v>
      </c>
      <c r="BD52" s="19" t="e">
        <f t="shared" si="101"/>
        <v>#DIV/0!</v>
      </c>
    </row>
    <row r="53" spans="1:56">
      <c r="A53" s="17">
        <v>7</v>
      </c>
      <c r="B53" s="18" t="s">
        <v>31</v>
      </c>
      <c r="C53" s="19"/>
      <c r="D53" s="19"/>
      <c r="E53" s="19"/>
      <c r="F53" s="19"/>
      <c r="G53" s="18"/>
      <c r="H53" s="18"/>
      <c r="I53" s="18"/>
      <c r="J53" s="18"/>
      <c r="K53" s="18"/>
      <c r="L53" s="18"/>
      <c r="M53" s="18"/>
      <c r="N53" s="18"/>
      <c r="P53" s="17">
        <v>7</v>
      </c>
      <c r="Q53" s="18" t="s">
        <v>31</v>
      </c>
      <c r="R53" s="19">
        <v>953666</v>
      </c>
      <c r="S53" s="19">
        <v>953666</v>
      </c>
      <c r="T53" s="19">
        <v>953666</v>
      </c>
      <c r="U53" s="19"/>
      <c r="V53" s="18"/>
      <c r="W53" s="18"/>
      <c r="X53" s="18"/>
      <c r="Y53" s="18"/>
      <c r="Z53" s="18"/>
      <c r="AA53" s="18"/>
      <c r="AB53" s="18"/>
      <c r="AC53" s="18"/>
      <c r="AE53" s="17">
        <v>7</v>
      </c>
      <c r="AF53" s="18" t="s">
        <v>31</v>
      </c>
      <c r="AG53" s="19">
        <f t="shared" si="78"/>
        <v>-953666</v>
      </c>
      <c r="AH53" s="19" t="e">
        <f t="shared" si="79"/>
        <v>#DIV/0!</v>
      </c>
      <c r="AI53" s="19">
        <f t="shared" si="80"/>
        <v>-953666</v>
      </c>
      <c r="AJ53" s="19" t="e">
        <f t="shared" si="81"/>
        <v>#DIV/0!</v>
      </c>
      <c r="AK53" s="19">
        <f t="shared" si="82"/>
        <v>-953666</v>
      </c>
      <c r="AL53" s="19" t="e">
        <f t="shared" si="83"/>
        <v>#DIV/0!</v>
      </c>
      <c r="AM53" s="19">
        <f t="shared" si="84"/>
        <v>0</v>
      </c>
      <c r="AN53" s="19" t="e">
        <f t="shared" si="85"/>
        <v>#DIV/0!</v>
      </c>
      <c r="AO53" s="19">
        <f t="shared" si="86"/>
        <v>0</v>
      </c>
      <c r="AP53" s="19" t="e">
        <f t="shared" si="87"/>
        <v>#DIV/0!</v>
      </c>
      <c r="AQ53" s="19">
        <f t="shared" si="88"/>
        <v>0</v>
      </c>
      <c r="AR53" s="19" t="e">
        <f t="shared" si="89"/>
        <v>#DIV/0!</v>
      </c>
      <c r="AS53" s="19">
        <f t="shared" si="90"/>
        <v>0</v>
      </c>
      <c r="AT53" s="19" t="e">
        <f t="shared" si="91"/>
        <v>#DIV/0!</v>
      </c>
      <c r="AU53" s="19">
        <f t="shared" si="92"/>
        <v>0</v>
      </c>
      <c r="AV53" s="19" t="e">
        <f t="shared" si="93"/>
        <v>#DIV/0!</v>
      </c>
      <c r="AW53" s="19">
        <f t="shared" si="94"/>
        <v>0</v>
      </c>
      <c r="AX53" s="19" t="e">
        <f t="shared" si="95"/>
        <v>#DIV/0!</v>
      </c>
      <c r="AY53" s="19">
        <f t="shared" si="96"/>
        <v>0</v>
      </c>
      <c r="AZ53" s="19" t="e">
        <f t="shared" si="97"/>
        <v>#DIV/0!</v>
      </c>
      <c r="BA53" s="19">
        <f t="shared" si="98"/>
        <v>0</v>
      </c>
      <c r="BB53" s="19" t="e">
        <f t="shared" si="99"/>
        <v>#DIV/0!</v>
      </c>
      <c r="BC53" s="19">
        <f t="shared" si="100"/>
        <v>0</v>
      </c>
      <c r="BD53" s="19" t="e">
        <f t="shared" si="101"/>
        <v>#DIV/0!</v>
      </c>
    </row>
    <row r="54" spans="1:56">
      <c r="A54" s="17">
        <v>8</v>
      </c>
      <c r="B54" s="18" t="s">
        <v>33</v>
      </c>
      <c r="C54" s="19">
        <v>247499</v>
      </c>
      <c r="D54" s="19">
        <v>247499</v>
      </c>
      <c r="E54" s="19">
        <v>247499</v>
      </c>
      <c r="F54" s="19"/>
      <c r="G54" s="18"/>
      <c r="H54" s="18"/>
      <c r="I54" s="18"/>
      <c r="J54" s="18"/>
      <c r="K54" s="18"/>
      <c r="L54" s="18"/>
      <c r="M54" s="18"/>
      <c r="N54" s="18"/>
      <c r="P54" s="17">
        <v>8</v>
      </c>
      <c r="Q54" s="18" t="s">
        <v>33</v>
      </c>
      <c r="R54" s="19">
        <v>1027100</v>
      </c>
      <c r="S54" s="19">
        <v>1027100</v>
      </c>
      <c r="T54" s="19">
        <v>1027100</v>
      </c>
      <c r="U54" s="19"/>
      <c r="V54" s="18"/>
      <c r="W54" s="18"/>
      <c r="X54" s="18"/>
      <c r="Y54" s="18"/>
      <c r="Z54" s="18"/>
      <c r="AA54" s="18"/>
      <c r="AB54" s="18"/>
      <c r="AC54" s="18"/>
      <c r="AE54" s="17">
        <v>8</v>
      </c>
      <c r="AF54" s="18" t="s">
        <v>33</v>
      </c>
      <c r="AG54" s="19">
        <f t="shared" si="78"/>
        <v>-779601</v>
      </c>
      <c r="AH54" s="19">
        <f t="shared" si="79"/>
        <v>-314.99157572353829</v>
      </c>
      <c r="AI54" s="19">
        <f t="shared" si="80"/>
        <v>-779601</v>
      </c>
      <c r="AJ54" s="19">
        <f t="shared" si="81"/>
        <v>-314.99157572353829</v>
      </c>
      <c r="AK54" s="19">
        <f t="shared" si="82"/>
        <v>-779601</v>
      </c>
      <c r="AL54" s="19">
        <f t="shared" si="83"/>
        <v>-314.99157572353829</v>
      </c>
      <c r="AM54" s="19">
        <f t="shared" si="84"/>
        <v>0</v>
      </c>
      <c r="AN54" s="19" t="e">
        <f t="shared" si="85"/>
        <v>#DIV/0!</v>
      </c>
      <c r="AO54" s="19">
        <f t="shared" si="86"/>
        <v>0</v>
      </c>
      <c r="AP54" s="19" t="e">
        <f t="shared" si="87"/>
        <v>#DIV/0!</v>
      </c>
      <c r="AQ54" s="19">
        <f t="shared" si="88"/>
        <v>0</v>
      </c>
      <c r="AR54" s="19" t="e">
        <f t="shared" si="89"/>
        <v>#DIV/0!</v>
      </c>
      <c r="AS54" s="19">
        <f t="shared" si="90"/>
        <v>0</v>
      </c>
      <c r="AT54" s="19" t="e">
        <f t="shared" si="91"/>
        <v>#DIV/0!</v>
      </c>
      <c r="AU54" s="19">
        <f t="shared" si="92"/>
        <v>0</v>
      </c>
      <c r="AV54" s="19" t="e">
        <f t="shared" si="93"/>
        <v>#DIV/0!</v>
      </c>
      <c r="AW54" s="19">
        <f t="shared" si="94"/>
        <v>0</v>
      </c>
      <c r="AX54" s="19" t="e">
        <f t="shared" si="95"/>
        <v>#DIV/0!</v>
      </c>
      <c r="AY54" s="19">
        <f t="shared" si="96"/>
        <v>0</v>
      </c>
      <c r="AZ54" s="19" t="e">
        <f t="shared" si="97"/>
        <v>#DIV/0!</v>
      </c>
      <c r="BA54" s="19">
        <f t="shared" si="98"/>
        <v>0</v>
      </c>
      <c r="BB54" s="19" t="e">
        <f t="shared" si="99"/>
        <v>#DIV/0!</v>
      </c>
      <c r="BC54" s="19">
        <f t="shared" si="100"/>
        <v>0</v>
      </c>
      <c r="BD54" s="19" t="e">
        <f t="shared" si="101"/>
        <v>#DIV/0!</v>
      </c>
    </row>
    <row r="55" spans="1:56">
      <c r="A55" s="17">
        <v>9</v>
      </c>
      <c r="B55" s="18" t="s">
        <v>35</v>
      </c>
      <c r="C55" s="19"/>
      <c r="D55" s="19"/>
      <c r="E55" s="19"/>
      <c r="F55" s="19"/>
      <c r="G55" s="18"/>
      <c r="H55" s="18"/>
      <c r="I55" s="18"/>
      <c r="J55" s="18"/>
      <c r="K55" s="18"/>
      <c r="L55" s="18"/>
      <c r="M55" s="18"/>
      <c r="N55" s="18"/>
      <c r="P55" s="17">
        <v>9</v>
      </c>
      <c r="Q55" s="18" t="s">
        <v>35</v>
      </c>
      <c r="R55" s="19"/>
      <c r="S55" s="19"/>
      <c r="T55" s="19"/>
      <c r="U55" s="19"/>
      <c r="V55" s="18"/>
      <c r="W55" s="18"/>
      <c r="X55" s="18"/>
      <c r="Y55" s="18"/>
      <c r="Z55" s="18"/>
      <c r="AA55" s="18"/>
      <c r="AB55" s="18"/>
      <c r="AC55" s="18"/>
      <c r="AE55" s="17">
        <v>9</v>
      </c>
      <c r="AF55" s="18" t="s">
        <v>35</v>
      </c>
      <c r="AG55" s="19">
        <f t="shared" si="78"/>
        <v>0</v>
      </c>
      <c r="AH55" s="19" t="e">
        <f t="shared" si="79"/>
        <v>#DIV/0!</v>
      </c>
      <c r="AI55" s="19">
        <f t="shared" si="80"/>
        <v>0</v>
      </c>
      <c r="AJ55" s="19" t="e">
        <f t="shared" si="81"/>
        <v>#DIV/0!</v>
      </c>
      <c r="AK55" s="19">
        <f t="shared" si="82"/>
        <v>0</v>
      </c>
      <c r="AL55" s="19" t="e">
        <f t="shared" si="83"/>
        <v>#DIV/0!</v>
      </c>
      <c r="AM55" s="19">
        <f t="shared" si="84"/>
        <v>0</v>
      </c>
      <c r="AN55" s="19" t="e">
        <f t="shared" si="85"/>
        <v>#DIV/0!</v>
      </c>
      <c r="AO55" s="19">
        <f t="shared" si="86"/>
        <v>0</v>
      </c>
      <c r="AP55" s="19" t="e">
        <f t="shared" si="87"/>
        <v>#DIV/0!</v>
      </c>
      <c r="AQ55" s="19">
        <f t="shared" si="88"/>
        <v>0</v>
      </c>
      <c r="AR55" s="19" t="e">
        <f t="shared" si="89"/>
        <v>#DIV/0!</v>
      </c>
      <c r="AS55" s="19">
        <f t="shared" si="90"/>
        <v>0</v>
      </c>
      <c r="AT55" s="19" t="e">
        <f t="shared" si="91"/>
        <v>#DIV/0!</v>
      </c>
      <c r="AU55" s="19">
        <f t="shared" si="92"/>
        <v>0</v>
      </c>
      <c r="AV55" s="19" t="e">
        <f t="shared" si="93"/>
        <v>#DIV/0!</v>
      </c>
      <c r="AW55" s="19">
        <f t="shared" si="94"/>
        <v>0</v>
      </c>
      <c r="AX55" s="19" t="e">
        <f t="shared" si="95"/>
        <v>#DIV/0!</v>
      </c>
      <c r="AY55" s="19">
        <f t="shared" si="96"/>
        <v>0</v>
      </c>
      <c r="AZ55" s="19" t="e">
        <f t="shared" si="97"/>
        <v>#DIV/0!</v>
      </c>
      <c r="BA55" s="19">
        <f t="shared" si="98"/>
        <v>0</v>
      </c>
      <c r="BB55" s="19" t="e">
        <f t="shared" si="99"/>
        <v>#DIV/0!</v>
      </c>
      <c r="BC55" s="19">
        <f t="shared" si="100"/>
        <v>0</v>
      </c>
      <c r="BD55" s="19" t="e">
        <f t="shared" si="101"/>
        <v>#DIV/0!</v>
      </c>
    </row>
    <row r="56" spans="1:56">
      <c r="A56" s="17">
        <v>10</v>
      </c>
      <c r="B56" s="18" t="s">
        <v>37</v>
      </c>
      <c r="C56" s="19"/>
      <c r="D56" s="19"/>
      <c r="E56" s="19"/>
      <c r="F56" s="19"/>
      <c r="G56" s="18"/>
      <c r="H56" s="18"/>
      <c r="I56" s="18"/>
      <c r="J56" s="18"/>
      <c r="K56" s="18"/>
      <c r="L56" s="18"/>
      <c r="M56" s="18"/>
      <c r="N56" s="18"/>
      <c r="P56" s="17">
        <v>10</v>
      </c>
      <c r="Q56" s="18" t="s">
        <v>37</v>
      </c>
      <c r="R56" s="19"/>
      <c r="S56" s="19"/>
      <c r="T56" s="19"/>
      <c r="U56" s="19"/>
      <c r="V56" s="18"/>
      <c r="W56" s="18"/>
      <c r="X56" s="18"/>
      <c r="Y56" s="18"/>
      <c r="Z56" s="18"/>
      <c r="AA56" s="18"/>
      <c r="AB56" s="18"/>
      <c r="AC56" s="18"/>
      <c r="AE56" s="17">
        <v>10</v>
      </c>
      <c r="AF56" s="18" t="s">
        <v>37</v>
      </c>
      <c r="AG56" s="19">
        <f t="shared" si="78"/>
        <v>0</v>
      </c>
      <c r="AH56" s="19" t="e">
        <f t="shared" si="79"/>
        <v>#DIV/0!</v>
      </c>
      <c r="AI56" s="19">
        <f t="shared" si="80"/>
        <v>0</v>
      </c>
      <c r="AJ56" s="19" t="e">
        <f t="shared" si="81"/>
        <v>#DIV/0!</v>
      </c>
      <c r="AK56" s="19">
        <f t="shared" si="82"/>
        <v>0</v>
      </c>
      <c r="AL56" s="19" t="e">
        <f t="shared" si="83"/>
        <v>#DIV/0!</v>
      </c>
      <c r="AM56" s="19">
        <f t="shared" si="84"/>
        <v>0</v>
      </c>
      <c r="AN56" s="19" t="e">
        <f t="shared" si="85"/>
        <v>#DIV/0!</v>
      </c>
      <c r="AO56" s="19">
        <f t="shared" si="86"/>
        <v>0</v>
      </c>
      <c r="AP56" s="19" t="e">
        <f t="shared" si="87"/>
        <v>#DIV/0!</v>
      </c>
      <c r="AQ56" s="19">
        <f t="shared" si="88"/>
        <v>0</v>
      </c>
      <c r="AR56" s="19" t="e">
        <f t="shared" si="89"/>
        <v>#DIV/0!</v>
      </c>
      <c r="AS56" s="19">
        <f t="shared" si="90"/>
        <v>0</v>
      </c>
      <c r="AT56" s="19" t="e">
        <f t="shared" si="91"/>
        <v>#DIV/0!</v>
      </c>
      <c r="AU56" s="19">
        <f t="shared" si="92"/>
        <v>0</v>
      </c>
      <c r="AV56" s="19" t="e">
        <f t="shared" si="93"/>
        <v>#DIV/0!</v>
      </c>
      <c r="AW56" s="19">
        <f t="shared" si="94"/>
        <v>0</v>
      </c>
      <c r="AX56" s="19" t="e">
        <f t="shared" si="95"/>
        <v>#DIV/0!</v>
      </c>
      <c r="AY56" s="19">
        <f t="shared" si="96"/>
        <v>0</v>
      </c>
      <c r="AZ56" s="19" t="e">
        <f t="shared" si="97"/>
        <v>#DIV/0!</v>
      </c>
      <c r="BA56" s="19">
        <f t="shared" si="98"/>
        <v>0</v>
      </c>
      <c r="BB56" s="19" t="e">
        <f t="shared" si="99"/>
        <v>#DIV/0!</v>
      </c>
      <c r="BC56" s="19">
        <f t="shared" si="100"/>
        <v>0</v>
      </c>
      <c r="BD56" s="19" t="e">
        <f t="shared" si="101"/>
        <v>#DIV/0!</v>
      </c>
    </row>
    <row r="57" spans="1:56">
      <c r="A57" s="17">
        <v>11</v>
      </c>
      <c r="B57" s="18" t="s">
        <v>39</v>
      </c>
      <c r="C57" s="19"/>
      <c r="D57" s="19"/>
      <c r="E57" s="19"/>
      <c r="F57" s="19"/>
      <c r="G57" s="18"/>
      <c r="H57" s="18"/>
      <c r="I57" s="18"/>
      <c r="J57" s="18"/>
      <c r="K57" s="18"/>
      <c r="L57" s="18"/>
      <c r="M57" s="18"/>
      <c r="N57" s="18"/>
      <c r="P57" s="17">
        <v>11</v>
      </c>
      <c r="Q57" s="18" t="s">
        <v>39</v>
      </c>
      <c r="R57" s="19"/>
      <c r="S57" s="19"/>
      <c r="T57" s="19"/>
      <c r="U57" s="19"/>
      <c r="V57" s="18"/>
      <c r="W57" s="18"/>
      <c r="X57" s="18"/>
      <c r="Y57" s="18"/>
      <c r="Z57" s="18"/>
      <c r="AA57" s="18"/>
      <c r="AB57" s="18"/>
      <c r="AC57" s="18"/>
      <c r="AE57" s="17">
        <v>11</v>
      </c>
      <c r="AF57" s="18" t="s">
        <v>39</v>
      </c>
      <c r="AG57" s="19">
        <f t="shared" si="78"/>
        <v>0</v>
      </c>
      <c r="AH57" s="19" t="e">
        <f t="shared" si="79"/>
        <v>#DIV/0!</v>
      </c>
      <c r="AI57" s="19">
        <f t="shared" si="80"/>
        <v>0</v>
      </c>
      <c r="AJ57" s="19" t="e">
        <f t="shared" si="81"/>
        <v>#DIV/0!</v>
      </c>
      <c r="AK57" s="19">
        <f t="shared" si="82"/>
        <v>0</v>
      </c>
      <c r="AL57" s="19" t="e">
        <f t="shared" si="83"/>
        <v>#DIV/0!</v>
      </c>
      <c r="AM57" s="19">
        <f t="shared" si="84"/>
        <v>0</v>
      </c>
      <c r="AN57" s="19" t="e">
        <f t="shared" si="85"/>
        <v>#DIV/0!</v>
      </c>
      <c r="AO57" s="19">
        <f t="shared" si="86"/>
        <v>0</v>
      </c>
      <c r="AP57" s="19" t="e">
        <f t="shared" si="87"/>
        <v>#DIV/0!</v>
      </c>
      <c r="AQ57" s="19">
        <f t="shared" si="88"/>
        <v>0</v>
      </c>
      <c r="AR57" s="19" t="e">
        <f t="shared" si="89"/>
        <v>#DIV/0!</v>
      </c>
      <c r="AS57" s="19">
        <f t="shared" si="90"/>
        <v>0</v>
      </c>
      <c r="AT57" s="19" t="e">
        <f t="shared" si="91"/>
        <v>#DIV/0!</v>
      </c>
      <c r="AU57" s="19">
        <f t="shared" si="92"/>
        <v>0</v>
      </c>
      <c r="AV57" s="19" t="e">
        <f t="shared" si="93"/>
        <v>#DIV/0!</v>
      </c>
      <c r="AW57" s="19">
        <f t="shared" si="94"/>
        <v>0</v>
      </c>
      <c r="AX57" s="19" t="e">
        <f t="shared" si="95"/>
        <v>#DIV/0!</v>
      </c>
      <c r="AY57" s="19">
        <f t="shared" si="96"/>
        <v>0</v>
      </c>
      <c r="AZ57" s="19" t="e">
        <f t="shared" si="97"/>
        <v>#DIV/0!</v>
      </c>
      <c r="BA57" s="19">
        <f t="shared" si="98"/>
        <v>0</v>
      </c>
      <c r="BB57" s="19" t="e">
        <f t="shared" si="99"/>
        <v>#DIV/0!</v>
      </c>
      <c r="BC57" s="19">
        <f t="shared" si="100"/>
        <v>0</v>
      </c>
      <c r="BD57" s="19" t="e">
        <f t="shared" si="101"/>
        <v>#DIV/0!</v>
      </c>
    </row>
    <row r="58" spans="1:56">
      <c r="A58" s="17">
        <v>12</v>
      </c>
      <c r="B58" s="18" t="s">
        <v>41</v>
      </c>
      <c r="C58" s="19"/>
      <c r="D58" s="19"/>
      <c r="E58" s="19"/>
      <c r="F58" s="19"/>
      <c r="G58" s="18"/>
      <c r="H58" s="18"/>
      <c r="I58" s="18"/>
      <c r="J58" s="18"/>
      <c r="K58" s="18"/>
      <c r="L58" s="18"/>
      <c r="M58" s="18"/>
      <c r="N58" s="18"/>
      <c r="P58" s="17">
        <v>12</v>
      </c>
      <c r="Q58" s="18" t="s">
        <v>41</v>
      </c>
      <c r="R58" s="19"/>
      <c r="S58" s="19"/>
      <c r="T58" s="19"/>
      <c r="U58" s="19"/>
      <c r="V58" s="18"/>
      <c r="W58" s="18"/>
      <c r="X58" s="18"/>
      <c r="Y58" s="18"/>
      <c r="Z58" s="18"/>
      <c r="AA58" s="18"/>
      <c r="AB58" s="18"/>
      <c r="AC58" s="18"/>
      <c r="AE58" s="17">
        <v>12</v>
      </c>
      <c r="AF58" s="18" t="s">
        <v>41</v>
      </c>
      <c r="AG58" s="19">
        <f t="shared" si="78"/>
        <v>0</v>
      </c>
      <c r="AH58" s="19" t="e">
        <f t="shared" si="79"/>
        <v>#DIV/0!</v>
      </c>
      <c r="AI58" s="19">
        <f t="shared" si="80"/>
        <v>0</v>
      </c>
      <c r="AJ58" s="19" t="e">
        <f t="shared" si="81"/>
        <v>#DIV/0!</v>
      </c>
      <c r="AK58" s="19">
        <f t="shared" si="82"/>
        <v>0</v>
      </c>
      <c r="AL58" s="19" t="e">
        <f t="shared" si="83"/>
        <v>#DIV/0!</v>
      </c>
      <c r="AM58" s="19">
        <f t="shared" si="84"/>
        <v>0</v>
      </c>
      <c r="AN58" s="19" t="e">
        <f t="shared" si="85"/>
        <v>#DIV/0!</v>
      </c>
      <c r="AO58" s="19">
        <f t="shared" si="86"/>
        <v>0</v>
      </c>
      <c r="AP58" s="19" t="e">
        <f t="shared" si="87"/>
        <v>#DIV/0!</v>
      </c>
      <c r="AQ58" s="19">
        <f t="shared" si="88"/>
        <v>0</v>
      </c>
      <c r="AR58" s="19" t="e">
        <f t="shared" si="89"/>
        <v>#DIV/0!</v>
      </c>
      <c r="AS58" s="19">
        <f t="shared" si="90"/>
        <v>0</v>
      </c>
      <c r="AT58" s="19" t="e">
        <f t="shared" si="91"/>
        <v>#DIV/0!</v>
      </c>
      <c r="AU58" s="19">
        <f t="shared" si="92"/>
        <v>0</v>
      </c>
      <c r="AV58" s="19" t="e">
        <f t="shared" si="93"/>
        <v>#DIV/0!</v>
      </c>
      <c r="AW58" s="19">
        <f t="shared" si="94"/>
        <v>0</v>
      </c>
      <c r="AX58" s="19" t="e">
        <f t="shared" si="95"/>
        <v>#DIV/0!</v>
      </c>
      <c r="AY58" s="19">
        <f t="shared" si="96"/>
        <v>0</v>
      </c>
      <c r="AZ58" s="19" t="e">
        <f t="shared" si="97"/>
        <v>#DIV/0!</v>
      </c>
      <c r="BA58" s="19">
        <f t="shared" si="98"/>
        <v>0</v>
      </c>
      <c r="BB58" s="19" t="e">
        <f t="shared" si="99"/>
        <v>#DIV/0!</v>
      </c>
      <c r="BC58" s="19">
        <f t="shared" si="100"/>
        <v>0</v>
      </c>
      <c r="BD58" s="19" t="e">
        <f t="shared" si="101"/>
        <v>#DIV/0!</v>
      </c>
    </row>
    <row r="59" spans="1:56">
      <c r="A59" s="17">
        <v>13</v>
      </c>
      <c r="B59" s="18" t="s">
        <v>43</v>
      </c>
      <c r="C59" s="19"/>
      <c r="D59" s="19"/>
      <c r="E59" s="19"/>
      <c r="F59" s="19"/>
      <c r="G59" s="18"/>
      <c r="H59" s="18"/>
      <c r="I59" s="18"/>
      <c r="J59" s="18"/>
      <c r="K59" s="18"/>
      <c r="L59" s="18"/>
      <c r="M59" s="18"/>
      <c r="N59" s="18"/>
      <c r="P59" s="17">
        <v>13</v>
      </c>
      <c r="Q59" s="18" t="s">
        <v>43</v>
      </c>
      <c r="R59" s="19">
        <f>139894+155392.5</f>
        <v>295286.5</v>
      </c>
      <c r="S59" s="19">
        <v>295286.5</v>
      </c>
      <c r="T59" s="19">
        <v>295286.5</v>
      </c>
      <c r="U59" s="19"/>
      <c r="V59" s="18"/>
      <c r="W59" s="18"/>
      <c r="X59" s="18"/>
      <c r="Y59" s="18"/>
      <c r="Z59" s="18"/>
      <c r="AA59" s="18"/>
      <c r="AB59" s="18"/>
      <c r="AC59" s="18"/>
      <c r="AE59" s="17">
        <v>13</v>
      </c>
      <c r="AF59" s="18" t="s">
        <v>43</v>
      </c>
      <c r="AG59" s="19">
        <f t="shared" si="78"/>
        <v>-295286.5</v>
      </c>
      <c r="AH59" s="19" t="e">
        <f t="shared" si="79"/>
        <v>#DIV/0!</v>
      </c>
      <c r="AI59" s="19">
        <f t="shared" si="80"/>
        <v>-295286.5</v>
      </c>
      <c r="AJ59" s="19" t="e">
        <f t="shared" si="81"/>
        <v>#DIV/0!</v>
      </c>
      <c r="AK59" s="19">
        <f t="shared" si="82"/>
        <v>-295286.5</v>
      </c>
      <c r="AL59" s="19" t="e">
        <f t="shared" si="83"/>
        <v>#DIV/0!</v>
      </c>
      <c r="AM59" s="19">
        <f t="shared" si="84"/>
        <v>0</v>
      </c>
      <c r="AN59" s="19" t="e">
        <f t="shared" si="85"/>
        <v>#DIV/0!</v>
      </c>
      <c r="AO59" s="19">
        <f t="shared" si="86"/>
        <v>0</v>
      </c>
      <c r="AP59" s="19" t="e">
        <f t="shared" si="87"/>
        <v>#DIV/0!</v>
      </c>
      <c r="AQ59" s="19">
        <f t="shared" si="88"/>
        <v>0</v>
      </c>
      <c r="AR59" s="19" t="e">
        <f t="shared" si="89"/>
        <v>#DIV/0!</v>
      </c>
      <c r="AS59" s="19">
        <f t="shared" si="90"/>
        <v>0</v>
      </c>
      <c r="AT59" s="19" t="e">
        <f t="shared" si="91"/>
        <v>#DIV/0!</v>
      </c>
      <c r="AU59" s="19">
        <f t="shared" si="92"/>
        <v>0</v>
      </c>
      <c r="AV59" s="19" t="e">
        <f t="shared" si="93"/>
        <v>#DIV/0!</v>
      </c>
      <c r="AW59" s="19">
        <f t="shared" si="94"/>
        <v>0</v>
      </c>
      <c r="AX59" s="19" t="e">
        <f t="shared" si="95"/>
        <v>#DIV/0!</v>
      </c>
      <c r="AY59" s="19">
        <f t="shared" si="96"/>
        <v>0</v>
      </c>
      <c r="AZ59" s="19" t="e">
        <f t="shared" si="97"/>
        <v>#DIV/0!</v>
      </c>
      <c r="BA59" s="19">
        <f t="shared" si="98"/>
        <v>0</v>
      </c>
      <c r="BB59" s="19" t="e">
        <f t="shared" si="99"/>
        <v>#DIV/0!</v>
      </c>
      <c r="BC59" s="19">
        <f t="shared" si="100"/>
        <v>0</v>
      </c>
      <c r="BD59" s="19" t="e">
        <f t="shared" si="101"/>
        <v>#DIV/0!</v>
      </c>
    </row>
    <row r="60" spans="1:56">
      <c r="A60" s="17">
        <v>14</v>
      </c>
      <c r="B60" s="18" t="s">
        <v>44</v>
      </c>
      <c r="C60" s="19"/>
      <c r="D60" s="19"/>
      <c r="E60" s="19"/>
      <c r="F60" s="19"/>
      <c r="G60" s="18"/>
      <c r="H60" s="18"/>
      <c r="I60" s="18"/>
      <c r="J60" s="18"/>
      <c r="K60" s="18"/>
      <c r="L60" s="18"/>
      <c r="M60" s="18"/>
      <c r="N60" s="18"/>
      <c r="P60" s="17">
        <v>14</v>
      </c>
      <c r="Q60" s="18" t="s">
        <v>44</v>
      </c>
      <c r="R60" s="19"/>
      <c r="S60" s="19"/>
      <c r="T60" s="19"/>
      <c r="U60" s="19"/>
      <c r="V60" s="18"/>
      <c r="W60" s="18"/>
      <c r="X60" s="18"/>
      <c r="Y60" s="18"/>
      <c r="Z60" s="18"/>
      <c r="AA60" s="18"/>
      <c r="AB60" s="18"/>
      <c r="AC60" s="18"/>
      <c r="AE60" s="17">
        <v>14</v>
      </c>
      <c r="AF60" s="18" t="s">
        <v>44</v>
      </c>
      <c r="AG60" s="19">
        <f t="shared" si="78"/>
        <v>0</v>
      </c>
      <c r="AH60" s="19" t="e">
        <f t="shared" si="79"/>
        <v>#DIV/0!</v>
      </c>
      <c r="AI60" s="19">
        <f t="shared" si="80"/>
        <v>0</v>
      </c>
      <c r="AJ60" s="19" t="e">
        <f t="shared" si="81"/>
        <v>#DIV/0!</v>
      </c>
      <c r="AK60" s="19">
        <f t="shared" si="82"/>
        <v>0</v>
      </c>
      <c r="AL60" s="19" t="e">
        <f t="shared" si="83"/>
        <v>#DIV/0!</v>
      </c>
      <c r="AM60" s="19">
        <f t="shared" si="84"/>
        <v>0</v>
      </c>
      <c r="AN60" s="19" t="e">
        <f t="shared" si="85"/>
        <v>#DIV/0!</v>
      </c>
      <c r="AO60" s="19">
        <f t="shared" si="86"/>
        <v>0</v>
      </c>
      <c r="AP60" s="19" t="e">
        <f t="shared" si="87"/>
        <v>#DIV/0!</v>
      </c>
      <c r="AQ60" s="19">
        <f t="shared" si="88"/>
        <v>0</v>
      </c>
      <c r="AR60" s="19" t="e">
        <f t="shared" si="89"/>
        <v>#DIV/0!</v>
      </c>
      <c r="AS60" s="19">
        <f t="shared" si="90"/>
        <v>0</v>
      </c>
      <c r="AT60" s="19" t="e">
        <f t="shared" si="91"/>
        <v>#DIV/0!</v>
      </c>
      <c r="AU60" s="19">
        <f t="shared" si="92"/>
        <v>0</v>
      </c>
      <c r="AV60" s="19" t="e">
        <f t="shared" si="93"/>
        <v>#DIV/0!</v>
      </c>
      <c r="AW60" s="19">
        <f t="shared" si="94"/>
        <v>0</v>
      </c>
      <c r="AX60" s="19" t="e">
        <f t="shared" si="95"/>
        <v>#DIV/0!</v>
      </c>
      <c r="AY60" s="19">
        <f t="shared" si="96"/>
        <v>0</v>
      </c>
      <c r="AZ60" s="19" t="e">
        <f t="shared" si="97"/>
        <v>#DIV/0!</v>
      </c>
      <c r="BA60" s="19">
        <f t="shared" si="98"/>
        <v>0</v>
      </c>
      <c r="BB60" s="19" t="e">
        <f t="shared" si="99"/>
        <v>#DIV/0!</v>
      </c>
      <c r="BC60" s="19">
        <f t="shared" si="100"/>
        <v>0</v>
      </c>
      <c r="BD60" s="19" t="e">
        <f t="shared" si="101"/>
        <v>#DIV/0!</v>
      </c>
    </row>
    <row r="61" spans="1:56" ht="25.2" thickBot="1">
      <c r="A61" s="17"/>
      <c r="B61" s="20" t="s">
        <v>17</v>
      </c>
      <c r="C61" s="27">
        <f>SUM(C47:C60)</f>
        <v>11641116.310000001</v>
      </c>
      <c r="D61" s="27">
        <f t="shared" ref="D61:N61" si="102">SUM(D47:D60)</f>
        <v>11878362.1</v>
      </c>
      <c r="E61" s="27">
        <f t="shared" si="102"/>
        <v>12123516.09</v>
      </c>
      <c r="F61" s="27">
        <f t="shared" si="102"/>
        <v>0</v>
      </c>
      <c r="G61" s="27">
        <f t="shared" si="102"/>
        <v>0</v>
      </c>
      <c r="H61" s="27">
        <f t="shared" si="102"/>
        <v>0</v>
      </c>
      <c r="I61" s="27">
        <f t="shared" si="102"/>
        <v>0</v>
      </c>
      <c r="J61" s="27">
        <f t="shared" si="102"/>
        <v>0</v>
      </c>
      <c r="K61" s="27">
        <f t="shared" si="102"/>
        <v>0</v>
      </c>
      <c r="L61" s="27">
        <f t="shared" si="102"/>
        <v>0</v>
      </c>
      <c r="M61" s="27">
        <f t="shared" si="102"/>
        <v>0</v>
      </c>
      <c r="N61" s="27">
        <f t="shared" si="102"/>
        <v>0</v>
      </c>
      <c r="P61" s="17"/>
      <c r="Q61" s="20" t="s">
        <v>17</v>
      </c>
      <c r="R61" s="27">
        <f>SUM(R47:R60)</f>
        <v>27549196.539999999</v>
      </c>
      <c r="S61" s="27">
        <f t="shared" ref="S61:AC61" si="103">SUM(S47:S60)</f>
        <v>27802799.140000001</v>
      </c>
      <c r="T61" s="27">
        <f t="shared" si="103"/>
        <v>28056400.939999998</v>
      </c>
      <c r="U61" s="27">
        <f t="shared" si="103"/>
        <v>0</v>
      </c>
      <c r="V61" s="27">
        <f t="shared" si="103"/>
        <v>0</v>
      </c>
      <c r="W61" s="27">
        <f t="shared" si="103"/>
        <v>0</v>
      </c>
      <c r="X61" s="27">
        <f t="shared" si="103"/>
        <v>0</v>
      </c>
      <c r="Y61" s="27">
        <f t="shared" si="103"/>
        <v>0</v>
      </c>
      <c r="Z61" s="27">
        <f t="shared" si="103"/>
        <v>0</v>
      </c>
      <c r="AA61" s="27">
        <f t="shared" si="103"/>
        <v>0</v>
      </c>
      <c r="AB61" s="27">
        <f t="shared" si="103"/>
        <v>0</v>
      </c>
      <c r="AC61" s="27">
        <f t="shared" si="103"/>
        <v>0</v>
      </c>
      <c r="AE61" s="17"/>
      <c r="AF61" s="20" t="s">
        <v>17</v>
      </c>
      <c r="AG61" s="23">
        <f t="shared" si="78"/>
        <v>-15908080.229999999</v>
      </c>
      <c r="AH61" s="23">
        <f t="shared" si="79"/>
        <v>-136.65425038606111</v>
      </c>
      <c r="AI61" s="23">
        <f t="shared" si="80"/>
        <v>-15924437.040000001</v>
      </c>
      <c r="AJ61" s="23">
        <f t="shared" si="81"/>
        <v>-134.06256608392164</v>
      </c>
      <c r="AK61" s="23">
        <f t="shared" si="82"/>
        <v>-15932884.849999998</v>
      </c>
      <c r="AL61" s="23">
        <f t="shared" si="83"/>
        <v>-131.42131978644485</v>
      </c>
      <c r="AM61" s="23">
        <f t="shared" si="84"/>
        <v>0</v>
      </c>
      <c r="AN61" s="23" t="e">
        <f t="shared" si="85"/>
        <v>#DIV/0!</v>
      </c>
      <c r="AO61" s="23">
        <f t="shared" si="86"/>
        <v>0</v>
      </c>
      <c r="AP61" s="23" t="e">
        <f t="shared" si="87"/>
        <v>#DIV/0!</v>
      </c>
      <c r="AQ61" s="23">
        <f t="shared" si="88"/>
        <v>0</v>
      </c>
      <c r="AR61" s="23" t="e">
        <f t="shared" si="89"/>
        <v>#DIV/0!</v>
      </c>
      <c r="AS61" s="23">
        <f t="shared" si="90"/>
        <v>0</v>
      </c>
      <c r="AT61" s="23" t="e">
        <f t="shared" si="91"/>
        <v>#DIV/0!</v>
      </c>
      <c r="AU61" s="23">
        <f t="shared" si="92"/>
        <v>0</v>
      </c>
      <c r="AV61" s="23" t="e">
        <f t="shared" si="93"/>
        <v>#DIV/0!</v>
      </c>
      <c r="AW61" s="23">
        <f t="shared" si="94"/>
        <v>0</v>
      </c>
      <c r="AX61" s="23" t="e">
        <f t="shared" si="95"/>
        <v>#DIV/0!</v>
      </c>
      <c r="AY61" s="23">
        <f t="shared" si="96"/>
        <v>0</v>
      </c>
      <c r="AZ61" s="23" t="e">
        <f t="shared" si="97"/>
        <v>#DIV/0!</v>
      </c>
      <c r="BA61" s="23">
        <f t="shared" si="98"/>
        <v>0</v>
      </c>
      <c r="BB61" s="23" t="e">
        <f t="shared" si="99"/>
        <v>#DIV/0!</v>
      </c>
      <c r="BC61" s="23">
        <f t="shared" si="100"/>
        <v>0</v>
      </c>
      <c r="BD61" s="23" t="e">
        <f t="shared" si="101"/>
        <v>#DIV/0!</v>
      </c>
    </row>
    <row r="62" spans="1:56" ht="25.2" thickTop="1"/>
    <row r="63" spans="1:56">
      <c r="A63" s="32" t="s">
        <v>1942</v>
      </c>
      <c r="B63" s="32"/>
      <c r="C63" s="32"/>
      <c r="D63" s="32"/>
      <c r="E63" s="32"/>
      <c r="F63" s="32"/>
      <c r="G63" s="32"/>
      <c r="H63" s="32"/>
      <c r="I63" s="32"/>
    </row>
    <row r="64" spans="1:56" customFormat="1" ht="21">
      <c r="A64" s="28" t="s">
        <v>659</v>
      </c>
      <c r="B64" s="28" t="s">
        <v>660</v>
      </c>
      <c r="C64" s="28" t="s">
        <v>661</v>
      </c>
      <c r="D64" s="28" t="s">
        <v>662</v>
      </c>
      <c r="E64" s="28" t="s">
        <v>663</v>
      </c>
      <c r="F64" s="28" t="s">
        <v>664</v>
      </c>
      <c r="G64" s="28" t="s">
        <v>665</v>
      </c>
    </row>
    <row r="65" spans="1:9" customFormat="1" ht="21">
      <c r="A65" s="28" t="s">
        <v>423</v>
      </c>
      <c r="B65" s="28" t="s">
        <v>91</v>
      </c>
      <c r="C65" s="28" t="s">
        <v>92</v>
      </c>
      <c r="D65" s="28" t="s">
        <v>424</v>
      </c>
      <c r="E65" s="29">
        <v>344000</v>
      </c>
      <c r="F65" s="29">
        <v>-343999</v>
      </c>
      <c r="G65" s="29">
        <v>1</v>
      </c>
      <c r="H65" t="s">
        <v>1795</v>
      </c>
      <c r="I65" t="s">
        <v>11</v>
      </c>
    </row>
    <row r="66" spans="1:9" customFormat="1" ht="21">
      <c r="A66" s="28" t="s">
        <v>425</v>
      </c>
      <c r="B66" s="28" t="s">
        <v>91</v>
      </c>
      <c r="C66" s="28" t="s">
        <v>92</v>
      </c>
      <c r="D66" s="28" t="s">
        <v>426</v>
      </c>
      <c r="E66" s="29">
        <v>4083567</v>
      </c>
      <c r="F66" s="29">
        <v>-4083566</v>
      </c>
      <c r="G66" s="29">
        <v>1</v>
      </c>
      <c r="H66" t="s">
        <v>1795</v>
      </c>
      <c r="I66" t="s">
        <v>11</v>
      </c>
    </row>
    <row r="67" spans="1:9" customFormat="1" ht="21">
      <c r="A67" s="28" t="s">
        <v>427</v>
      </c>
      <c r="B67" s="28" t="s">
        <v>91</v>
      </c>
      <c r="C67" s="28" t="s">
        <v>92</v>
      </c>
      <c r="D67" s="28" t="s">
        <v>428</v>
      </c>
      <c r="E67" s="29">
        <v>498294</v>
      </c>
      <c r="F67" s="29">
        <v>-498293</v>
      </c>
      <c r="G67" s="29">
        <v>1</v>
      </c>
      <c r="H67" t="s">
        <v>1795</v>
      </c>
      <c r="I67" t="s">
        <v>11</v>
      </c>
    </row>
    <row r="68" spans="1:9" customFormat="1" ht="21">
      <c r="A68" s="28" t="s">
        <v>429</v>
      </c>
      <c r="B68" s="28" t="s">
        <v>91</v>
      </c>
      <c r="C68" s="28" t="s">
        <v>92</v>
      </c>
      <c r="D68" s="28" t="s">
        <v>430</v>
      </c>
      <c r="E68" s="29">
        <v>498294</v>
      </c>
      <c r="F68" s="29">
        <v>-498293</v>
      </c>
      <c r="G68" s="29">
        <v>1</v>
      </c>
      <c r="H68" t="s">
        <v>1795</v>
      </c>
      <c r="I68" t="s">
        <v>11</v>
      </c>
    </row>
    <row r="69" spans="1:9" customFormat="1" ht="21">
      <c r="A69" s="28" t="s">
        <v>431</v>
      </c>
      <c r="B69" s="28" t="s">
        <v>91</v>
      </c>
      <c r="C69" s="28" t="s">
        <v>92</v>
      </c>
      <c r="D69" s="28" t="s">
        <v>432</v>
      </c>
      <c r="E69" s="29">
        <v>593314</v>
      </c>
      <c r="F69" s="29">
        <v>-593313</v>
      </c>
      <c r="G69" s="29">
        <v>1</v>
      </c>
      <c r="H69" t="s">
        <v>1795</v>
      </c>
      <c r="I69" t="s">
        <v>11</v>
      </c>
    </row>
    <row r="70" spans="1:9" customFormat="1" ht="21">
      <c r="A70" s="28" t="s">
        <v>433</v>
      </c>
      <c r="B70" s="28" t="s">
        <v>91</v>
      </c>
      <c r="C70" s="28" t="s">
        <v>92</v>
      </c>
      <c r="D70" s="28" t="s">
        <v>430</v>
      </c>
      <c r="E70" s="29">
        <v>514961</v>
      </c>
      <c r="F70" s="29">
        <v>-514960</v>
      </c>
      <c r="G70" s="29">
        <v>1</v>
      </c>
      <c r="H70" t="s">
        <v>1795</v>
      </c>
      <c r="I70" t="s">
        <v>11</v>
      </c>
    </row>
    <row r="71" spans="1:9" customFormat="1" ht="21">
      <c r="A71" s="28" t="s">
        <v>434</v>
      </c>
      <c r="B71" s="28" t="s">
        <v>91</v>
      </c>
      <c r="C71" s="28" t="s">
        <v>92</v>
      </c>
      <c r="D71" s="28" t="s">
        <v>430</v>
      </c>
      <c r="E71" s="29">
        <v>514961</v>
      </c>
      <c r="F71" s="29">
        <v>-514960</v>
      </c>
      <c r="G71" s="29">
        <v>1</v>
      </c>
      <c r="H71" t="s">
        <v>1795</v>
      </c>
      <c r="I71" t="s">
        <v>11</v>
      </c>
    </row>
    <row r="72" spans="1:9" customFormat="1" ht="21">
      <c r="A72" s="28" t="s">
        <v>435</v>
      </c>
      <c r="B72" s="28" t="s">
        <v>91</v>
      </c>
      <c r="C72" s="28" t="s">
        <v>92</v>
      </c>
      <c r="D72" s="28" t="s">
        <v>436</v>
      </c>
      <c r="E72" s="29">
        <v>3636394.67</v>
      </c>
      <c r="F72" s="29">
        <v>-456430.22</v>
      </c>
      <c r="G72" s="29">
        <v>3179964.45</v>
      </c>
      <c r="H72" t="s">
        <v>1795</v>
      </c>
      <c r="I72" t="s">
        <v>11</v>
      </c>
    </row>
    <row r="73" spans="1:9" customFormat="1" ht="21">
      <c r="A73" s="28" t="s">
        <v>435</v>
      </c>
      <c r="B73" s="28" t="s">
        <v>108</v>
      </c>
      <c r="C73" s="28" t="s">
        <v>92</v>
      </c>
      <c r="D73" s="28" t="s">
        <v>436</v>
      </c>
      <c r="E73" s="29">
        <v>3992405.33</v>
      </c>
      <c r="F73" s="29">
        <v>-3992404.33</v>
      </c>
      <c r="G73" s="29">
        <v>1</v>
      </c>
      <c r="H73" t="s">
        <v>1795</v>
      </c>
      <c r="I73" t="s">
        <v>11</v>
      </c>
    </row>
    <row r="74" spans="1:9" customFormat="1" ht="21">
      <c r="A74" s="28" t="s">
        <v>437</v>
      </c>
      <c r="B74" s="28" t="s">
        <v>91</v>
      </c>
      <c r="C74" s="28" t="s">
        <v>92</v>
      </c>
      <c r="D74" s="28" t="s">
        <v>438</v>
      </c>
      <c r="E74" s="29">
        <v>4060567</v>
      </c>
      <c r="F74" s="29">
        <v>-4060566</v>
      </c>
      <c r="G74" s="29">
        <v>1</v>
      </c>
      <c r="H74" t="s">
        <v>1795</v>
      </c>
      <c r="I74" t="s">
        <v>11</v>
      </c>
    </row>
    <row r="75" spans="1:9" customFormat="1" ht="21">
      <c r="A75" s="28" t="s">
        <v>439</v>
      </c>
      <c r="B75" s="28" t="s">
        <v>91</v>
      </c>
      <c r="C75" s="28" t="s">
        <v>92</v>
      </c>
      <c r="D75" s="28" t="s">
        <v>430</v>
      </c>
      <c r="E75" s="29">
        <v>300000</v>
      </c>
      <c r="F75" s="29">
        <v>-299999</v>
      </c>
      <c r="G75" s="29">
        <v>1</v>
      </c>
      <c r="H75" t="s">
        <v>1795</v>
      </c>
      <c r="I75" t="s">
        <v>11</v>
      </c>
    </row>
    <row r="76" spans="1:9" customFormat="1" ht="21">
      <c r="A76" s="28" t="s">
        <v>440</v>
      </c>
      <c r="B76" s="28" t="s">
        <v>91</v>
      </c>
      <c r="C76" s="28" t="s">
        <v>92</v>
      </c>
      <c r="D76" s="28" t="s">
        <v>441</v>
      </c>
      <c r="E76" s="29">
        <v>450000</v>
      </c>
      <c r="F76" s="29">
        <v>-449999</v>
      </c>
      <c r="G76" s="29">
        <v>1</v>
      </c>
      <c r="H76" t="s">
        <v>1795</v>
      </c>
      <c r="I76" t="s">
        <v>11</v>
      </c>
    </row>
    <row r="77" spans="1:9" customFormat="1" ht="21">
      <c r="A77" s="28" t="s">
        <v>442</v>
      </c>
      <c r="B77" s="28" t="s">
        <v>91</v>
      </c>
      <c r="C77" s="28" t="s">
        <v>92</v>
      </c>
      <c r="D77" s="28" t="s">
        <v>441</v>
      </c>
      <c r="E77" s="29">
        <v>207650</v>
      </c>
      <c r="F77" s="29">
        <v>-207649</v>
      </c>
      <c r="G77" s="29">
        <v>1</v>
      </c>
      <c r="H77" t="s">
        <v>1795</v>
      </c>
      <c r="I77" t="s">
        <v>11</v>
      </c>
    </row>
    <row r="78" spans="1:9" customFormat="1" ht="21">
      <c r="A78" s="28" t="s">
        <v>443</v>
      </c>
      <c r="B78" s="28" t="s">
        <v>91</v>
      </c>
      <c r="C78" s="28" t="s">
        <v>92</v>
      </c>
      <c r="D78" s="28" t="s">
        <v>424</v>
      </c>
      <c r="E78" s="29">
        <v>580000</v>
      </c>
      <c r="F78" s="29">
        <v>-579999</v>
      </c>
      <c r="G78" s="29">
        <v>1</v>
      </c>
      <c r="H78" t="s">
        <v>1795</v>
      </c>
      <c r="I78" t="s">
        <v>11</v>
      </c>
    </row>
    <row r="79" spans="1:9" customFormat="1" ht="21">
      <c r="A79" s="28" t="s">
        <v>444</v>
      </c>
      <c r="B79" s="28" t="s">
        <v>91</v>
      </c>
      <c r="C79" s="28" t="s">
        <v>92</v>
      </c>
      <c r="D79" s="28" t="s">
        <v>441</v>
      </c>
      <c r="E79" s="29">
        <v>207650</v>
      </c>
      <c r="F79" s="29">
        <v>-207649</v>
      </c>
      <c r="G79" s="29">
        <v>1</v>
      </c>
      <c r="H79" t="s">
        <v>1795</v>
      </c>
      <c r="I79" t="s">
        <v>11</v>
      </c>
    </row>
    <row r="80" spans="1:9" customFormat="1" ht="21">
      <c r="A80" s="28" t="s">
        <v>445</v>
      </c>
      <c r="B80" s="28" t="s">
        <v>91</v>
      </c>
      <c r="C80" s="28" t="s">
        <v>92</v>
      </c>
      <c r="D80" s="28" t="s">
        <v>424</v>
      </c>
      <c r="E80" s="29">
        <v>132700</v>
      </c>
      <c r="F80" s="29">
        <v>-132699</v>
      </c>
      <c r="G80" s="29">
        <v>1</v>
      </c>
      <c r="H80" t="s">
        <v>1795</v>
      </c>
      <c r="I80" t="s">
        <v>11</v>
      </c>
    </row>
    <row r="81" spans="1:9" customFormat="1" ht="21">
      <c r="A81" s="28" t="s">
        <v>446</v>
      </c>
      <c r="B81" s="28" t="s">
        <v>91</v>
      </c>
      <c r="C81" s="28" t="s">
        <v>92</v>
      </c>
      <c r="D81" s="28" t="s">
        <v>441</v>
      </c>
      <c r="E81" s="29">
        <v>219500</v>
      </c>
      <c r="F81" s="29">
        <v>-219499</v>
      </c>
      <c r="G81" s="29">
        <v>1</v>
      </c>
      <c r="H81" t="s">
        <v>1795</v>
      </c>
      <c r="I81" t="s">
        <v>11</v>
      </c>
    </row>
    <row r="82" spans="1:9" customFormat="1" ht="21">
      <c r="A82" s="28" t="s">
        <v>447</v>
      </c>
      <c r="B82" s="28" t="s">
        <v>91</v>
      </c>
      <c r="C82" s="28" t="s">
        <v>92</v>
      </c>
      <c r="D82" s="28" t="s">
        <v>424</v>
      </c>
      <c r="E82" s="29">
        <v>581000</v>
      </c>
      <c r="F82" s="29">
        <v>-580999</v>
      </c>
      <c r="G82" s="29">
        <v>1</v>
      </c>
      <c r="H82" t="s">
        <v>1795</v>
      </c>
      <c r="I82" t="s">
        <v>11</v>
      </c>
    </row>
    <row r="83" spans="1:9" customFormat="1" ht="21">
      <c r="A83" s="28" t="s">
        <v>448</v>
      </c>
      <c r="B83" s="28" t="s">
        <v>91</v>
      </c>
      <c r="C83" s="28" t="s">
        <v>92</v>
      </c>
      <c r="D83" s="28" t="s">
        <v>449</v>
      </c>
      <c r="E83" s="29">
        <v>4451520</v>
      </c>
      <c r="F83" s="29">
        <v>-554915.5</v>
      </c>
      <c r="G83" s="29">
        <v>3896604.5</v>
      </c>
      <c r="H83" t="s">
        <v>1795</v>
      </c>
      <c r="I83" t="s">
        <v>11</v>
      </c>
    </row>
    <row r="84" spans="1:9" customFormat="1" ht="21">
      <c r="A84" s="28" t="s">
        <v>448</v>
      </c>
      <c r="B84" s="28" t="s">
        <v>108</v>
      </c>
      <c r="C84" s="28" t="s">
        <v>92</v>
      </c>
      <c r="D84" s="28" t="s">
        <v>449</v>
      </c>
      <c r="E84" s="29">
        <v>4822480</v>
      </c>
      <c r="F84" s="29">
        <v>-4822479</v>
      </c>
      <c r="G84" s="29">
        <v>1</v>
      </c>
      <c r="H84" t="s">
        <v>1795</v>
      </c>
      <c r="I84" t="s">
        <v>11</v>
      </c>
    </row>
    <row r="85" spans="1:9" customFormat="1" ht="21">
      <c r="A85" s="28" t="s">
        <v>590</v>
      </c>
      <c r="B85" s="28" t="s">
        <v>91</v>
      </c>
      <c r="C85" s="28" t="s">
        <v>92</v>
      </c>
      <c r="D85" s="28" t="s">
        <v>591</v>
      </c>
      <c r="E85" s="29">
        <v>734000</v>
      </c>
      <c r="F85" s="29">
        <v>-733999</v>
      </c>
      <c r="G85" s="29">
        <v>1</v>
      </c>
      <c r="H85" t="s">
        <v>1795</v>
      </c>
      <c r="I85" t="s">
        <v>9</v>
      </c>
    </row>
    <row r="86" spans="1:9" customFormat="1" ht="21">
      <c r="A86" s="28" t="s">
        <v>592</v>
      </c>
      <c r="B86" s="28" t="s">
        <v>91</v>
      </c>
      <c r="C86" s="28" t="s">
        <v>92</v>
      </c>
      <c r="D86" s="28" t="s">
        <v>593</v>
      </c>
      <c r="E86" s="29">
        <v>300000</v>
      </c>
      <c r="F86" s="29">
        <v>-299999</v>
      </c>
      <c r="G86" s="29">
        <v>1</v>
      </c>
      <c r="H86" t="s">
        <v>1795</v>
      </c>
      <c r="I86" t="s">
        <v>9</v>
      </c>
    </row>
    <row r="87" spans="1:9" customFormat="1" ht="21">
      <c r="A87" s="28" t="s">
        <v>594</v>
      </c>
      <c r="B87" s="28" t="s">
        <v>91</v>
      </c>
      <c r="C87" s="28" t="s">
        <v>92</v>
      </c>
      <c r="D87" s="28" t="s">
        <v>595</v>
      </c>
      <c r="E87" s="29">
        <v>4360408</v>
      </c>
      <c r="F87" s="29">
        <v>-4360407</v>
      </c>
      <c r="G87" s="29">
        <v>1</v>
      </c>
      <c r="H87" t="s">
        <v>1795</v>
      </c>
      <c r="I87" t="s">
        <v>9</v>
      </c>
    </row>
    <row r="88" spans="1:9" customFormat="1" ht="21">
      <c r="A88" s="28" t="s">
        <v>596</v>
      </c>
      <c r="B88" s="28" t="s">
        <v>91</v>
      </c>
      <c r="C88" s="28" t="s">
        <v>92</v>
      </c>
      <c r="D88" s="28" t="s">
        <v>597</v>
      </c>
      <c r="E88" s="29">
        <v>671047.46</v>
      </c>
      <c r="F88" s="29">
        <v>-118076.68</v>
      </c>
      <c r="G88" s="29">
        <v>552970.78</v>
      </c>
      <c r="H88" t="s">
        <v>1795</v>
      </c>
      <c r="I88" t="s">
        <v>9</v>
      </c>
    </row>
    <row r="89" spans="1:9" customFormat="1" ht="21">
      <c r="A89" s="28" t="s">
        <v>596</v>
      </c>
      <c r="B89" s="28" t="s">
        <v>108</v>
      </c>
      <c r="C89" s="28" t="s">
        <v>92</v>
      </c>
      <c r="D89" s="28" t="s">
        <v>597</v>
      </c>
      <c r="E89" s="29">
        <v>1302621.54</v>
      </c>
      <c r="F89" s="29">
        <v>-1302620.54</v>
      </c>
      <c r="G89" s="29">
        <v>1</v>
      </c>
      <c r="H89" t="s">
        <v>1795</v>
      </c>
      <c r="I89" t="s">
        <v>9</v>
      </c>
    </row>
    <row r="90" spans="1:9" customFormat="1" ht="21">
      <c r="A90" s="28" t="s">
        <v>598</v>
      </c>
      <c r="B90" s="28" t="s">
        <v>91</v>
      </c>
      <c r="C90" s="28" t="s">
        <v>92</v>
      </c>
      <c r="D90" s="28" t="s">
        <v>599</v>
      </c>
      <c r="E90" s="29">
        <v>2896473.53</v>
      </c>
      <c r="F90" s="29">
        <v>-371412.53</v>
      </c>
      <c r="G90" s="29">
        <v>2525061</v>
      </c>
      <c r="H90" t="s">
        <v>1795</v>
      </c>
      <c r="I90" t="s">
        <v>9</v>
      </c>
    </row>
    <row r="91" spans="1:9" customFormat="1" ht="21">
      <c r="A91" s="28" t="s">
        <v>598</v>
      </c>
      <c r="B91" s="28" t="s">
        <v>108</v>
      </c>
      <c r="C91" s="28" t="s">
        <v>92</v>
      </c>
      <c r="D91" s="28" t="s">
        <v>599</v>
      </c>
      <c r="E91" s="29">
        <v>3310255.47</v>
      </c>
      <c r="F91" s="29">
        <v>-3310254.47</v>
      </c>
      <c r="G91" s="29">
        <v>1</v>
      </c>
      <c r="H91" t="s">
        <v>1795</v>
      </c>
      <c r="I91" t="s">
        <v>9</v>
      </c>
    </row>
    <row r="92" spans="1:9" customFormat="1" ht="21">
      <c r="A92" s="28" t="s">
        <v>600</v>
      </c>
      <c r="B92" s="28" t="s">
        <v>91</v>
      </c>
      <c r="C92" s="28" t="s">
        <v>92</v>
      </c>
      <c r="D92" s="28" t="s">
        <v>601</v>
      </c>
      <c r="E92" s="29">
        <v>4500000</v>
      </c>
      <c r="F92" s="29">
        <v>-4499999</v>
      </c>
      <c r="G92" s="29">
        <v>1</v>
      </c>
      <c r="H92" t="s">
        <v>1795</v>
      </c>
      <c r="I92" t="s">
        <v>9</v>
      </c>
    </row>
    <row r="93" spans="1:9" customFormat="1" ht="21">
      <c r="A93" s="28" t="s">
        <v>602</v>
      </c>
      <c r="B93" s="28" t="s">
        <v>91</v>
      </c>
      <c r="C93" s="28" t="s">
        <v>92</v>
      </c>
      <c r="D93" s="28" t="s">
        <v>603</v>
      </c>
      <c r="E93" s="29">
        <v>2760000</v>
      </c>
      <c r="F93" s="29">
        <v>-2759999</v>
      </c>
      <c r="G93" s="29">
        <v>1</v>
      </c>
      <c r="H93" t="s">
        <v>1795</v>
      </c>
      <c r="I93" t="s">
        <v>9</v>
      </c>
    </row>
    <row r="94" spans="1:9" customFormat="1" ht="21">
      <c r="A94" s="28" t="s">
        <v>1796</v>
      </c>
      <c r="B94" s="28" t="s">
        <v>91</v>
      </c>
      <c r="C94" s="28" t="s">
        <v>92</v>
      </c>
      <c r="D94" s="28" t="s">
        <v>1797</v>
      </c>
      <c r="E94" s="29">
        <v>331000</v>
      </c>
      <c r="F94" s="29">
        <v>-330999</v>
      </c>
      <c r="G94" s="29">
        <v>1</v>
      </c>
      <c r="H94" t="s">
        <v>1795</v>
      </c>
      <c r="I94" t="s">
        <v>13</v>
      </c>
    </row>
    <row r="95" spans="1:9" customFormat="1" ht="21">
      <c r="A95" s="28" t="s">
        <v>1798</v>
      </c>
      <c r="B95" s="28" t="s">
        <v>91</v>
      </c>
      <c r="C95" s="28" t="s">
        <v>92</v>
      </c>
      <c r="D95" s="28" t="s">
        <v>1799</v>
      </c>
      <c r="E95" s="29">
        <v>940950</v>
      </c>
      <c r="F95" s="29">
        <v>-940949</v>
      </c>
      <c r="G95" s="29">
        <v>1</v>
      </c>
      <c r="H95" t="s">
        <v>1795</v>
      </c>
      <c r="I95" t="s">
        <v>13</v>
      </c>
    </row>
    <row r="96" spans="1:9" customFormat="1" ht="21">
      <c r="A96" s="28" t="s">
        <v>1800</v>
      </c>
      <c r="B96" s="28" t="s">
        <v>91</v>
      </c>
      <c r="C96" s="28" t="s">
        <v>92</v>
      </c>
      <c r="D96" s="28" t="s">
        <v>1801</v>
      </c>
      <c r="E96" s="29">
        <v>1098346</v>
      </c>
      <c r="F96" s="29">
        <v>-1098345</v>
      </c>
      <c r="G96" s="29">
        <v>1</v>
      </c>
      <c r="H96" t="s">
        <v>1795</v>
      </c>
      <c r="I96" t="s">
        <v>13</v>
      </c>
    </row>
    <row r="97" spans="1:9" customFormat="1" ht="21">
      <c r="A97" s="28" t="s">
        <v>1802</v>
      </c>
      <c r="B97" s="28" t="s">
        <v>91</v>
      </c>
      <c r="C97" s="28" t="s">
        <v>92</v>
      </c>
      <c r="D97" s="28" t="s">
        <v>1803</v>
      </c>
      <c r="E97" s="29">
        <v>20815.36</v>
      </c>
      <c r="F97" s="29">
        <v>-15568.74</v>
      </c>
      <c r="G97" s="29">
        <v>5246.62</v>
      </c>
      <c r="H97" t="s">
        <v>1795</v>
      </c>
      <c r="I97" t="s">
        <v>13</v>
      </c>
    </row>
    <row r="98" spans="1:9" customFormat="1" ht="21">
      <c r="A98" s="28" t="s">
        <v>1802</v>
      </c>
      <c r="B98" s="28" t="s">
        <v>108</v>
      </c>
      <c r="C98" s="28" t="s">
        <v>92</v>
      </c>
      <c r="D98" s="28" t="s">
        <v>1803</v>
      </c>
      <c r="E98" s="29">
        <v>239376.64000000001</v>
      </c>
      <c r="F98" s="29">
        <v>-239375.64</v>
      </c>
      <c r="G98" s="29">
        <v>1</v>
      </c>
      <c r="H98" t="s">
        <v>1795</v>
      </c>
      <c r="I98" t="s">
        <v>13</v>
      </c>
    </row>
    <row r="99" spans="1:9" customFormat="1" ht="21">
      <c r="A99" s="28" t="s">
        <v>1804</v>
      </c>
      <c r="B99" s="28" t="s">
        <v>91</v>
      </c>
      <c r="C99" s="28" t="s">
        <v>92</v>
      </c>
      <c r="D99" s="28" t="s">
        <v>1805</v>
      </c>
      <c r="E99" s="29">
        <v>263466</v>
      </c>
      <c r="F99" s="29">
        <v>-56302.32</v>
      </c>
      <c r="G99" s="29">
        <v>207163.68</v>
      </c>
      <c r="H99" t="s">
        <v>1795</v>
      </c>
      <c r="I99" t="s">
        <v>13</v>
      </c>
    </row>
    <row r="100" spans="1:9" customFormat="1" ht="21">
      <c r="A100" s="28" t="s">
        <v>1804</v>
      </c>
      <c r="B100" s="28" t="s">
        <v>108</v>
      </c>
      <c r="C100" s="28" t="s">
        <v>92</v>
      </c>
      <c r="D100" s="28" t="s">
        <v>1805</v>
      </c>
      <c r="E100" s="29">
        <v>677484</v>
      </c>
      <c r="F100" s="29">
        <v>-677483</v>
      </c>
      <c r="G100" s="29">
        <v>1</v>
      </c>
      <c r="H100" t="s">
        <v>1795</v>
      </c>
      <c r="I100" t="s">
        <v>13</v>
      </c>
    </row>
    <row r="101" spans="1:9" customFormat="1" ht="21">
      <c r="A101" s="28" t="s">
        <v>1806</v>
      </c>
      <c r="B101" s="28" t="s">
        <v>91</v>
      </c>
      <c r="C101" s="28" t="s">
        <v>92</v>
      </c>
      <c r="D101" s="28" t="s">
        <v>1807</v>
      </c>
      <c r="E101" s="29">
        <v>544000</v>
      </c>
      <c r="F101" s="29">
        <v>-543999</v>
      </c>
      <c r="G101" s="29">
        <v>1</v>
      </c>
      <c r="H101" t="s">
        <v>1795</v>
      </c>
      <c r="I101" t="s">
        <v>13</v>
      </c>
    </row>
    <row r="102" spans="1:9" customFormat="1" ht="21">
      <c r="A102" s="28" t="s">
        <v>1808</v>
      </c>
      <c r="B102" s="28" t="s">
        <v>91</v>
      </c>
      <c r="C102" s="28" t="s">
        <v>92</v>
      </c>
      <c r="D102" s="28" t="s">
        <v>1809</v>
      </c>
      <c r="E102" s="29">
        <v>4860</v>
      </c>
      <c r="F102" s="29">
        <v>-1211.68</v>
      </c>
      <c r="G102" s="29">
        <v>3648.32</v>
      </c>
      <c r="H102" t="s">
        <v>1795</v>
      </c>
      <c r="I102" t="s">
        <v>13</v>
      </c>
    </row>
    <row r="103" spans="1:9" customFormat="1" ht="21">
      <c r="A103" s="28" t="s">
        <v>1808</v>
      </c>
      <c r="B103" s="28" t="s">
        <v>108</v>
      </c>
      <c r="C103" s="28" t="s">
        <v>92</v>
      </c>
      <c r="D103" s="28" t="s">
        <v>1809</v>
      </c>
      <c r="E103" s="29">
        <v>15390</v>
      </c>
      <c r="F103" s="29">
        <v>-15389</v>
      </c>
      <c r="G103" s="29">
        <v>1</v>
      </c>
      <c r="H103" t="s">
        <v>1795</v>
      </c>
      <c r="I103" t="s">
        <v>13</v>
      </c>
    </row>
    <row r="104" spans="1:9" customFormat="1" ht="21">
      <c r="A104" s="28" t="s">
        <v>1810</v>
      </c>
      <c r="B104" s="28" t="s">
        <v>91</v>
      </c>
      <c r="C104" s="28" t="s">
        <v>92</v>
      </c>
      <c r="D104" s="28" t="s">
        <v>1811</v>
      </c>
      <c r="E104" s="29">
        <v>2000</v>
      </c>
      <c r="F104" s="29">
        <v>-1999</v>
      </c>
      <c r="G104" s="29">
        <v>1</v>
      </c>
      <c r="H104" t="s">
        <v>1795</v>
      </c>
      <c r="I104" t="s">
        <v>15</v>
      </c>
    </row>
    <row r="105" spans="1:9" customFormat="1" ht="21">
      <c r="A105" s="28" t="s">
        <v>1812</v>
      </c>
      <c r="B105" s="28" t="s">
        <v>91</v>
      </c>
      <c r="C105" s="28" t="s">
        <v>92</v>
      </c>
      <c r="D105" s="28" t="s">
        <v>1813</v>
      </c>
      <c r="E105" s="29">
        <v>100000</v>
      </c>
      <c r="F105" s="29">
        <v>-99999</v>
      </c>
      <c r="G105" s="29">
        <v>1</v>
      </c>
      <c r="H105" t="s">
        <v>1795</v>
      </c>
      <c r="I105" t="s">
        <v>15</v>
      </c>
    </row>
    <row r="106" spans="1:9" customFormat="1" ht="21">
      <c r="A106" s="28" t="s">
        <v>1814</v>
      </c>
      <c r="B106" s="28" t="s">
        <v>91</v>
      </c>
      <c r="C106" s="28" t="s">
        <v>92</v>
      </c>
      <c r="D106" s="28" t="s">
        <v>1815</v>
      </c>
      <c r="E106" s="29">
        <v>15088</v>
      </c>
      <c r="F106" s="29">
        <v>-11285</v>
      </c>
      <c r="G106" s="29">
        <v>3803</v>
      </c>
      <c r="H106" t="s">
        <v>1795</v>
      </c>
      <c r="I106" t="s">
        <v>15</v>
      </c>
    </row>
    <row r="107" spans="1:9" customFormat="1" ht="21">
      <c r="A107" s="28" t="s">
        <v>1814</v>
      </c>
      <c r="B107" s="28" t="s">
        <v>108</v>
      </c>
      <c r="C107" s="28" t="s">
        <v>92</v>
      </c>
      <c r="D107" s="28" t="s">
        <v>1815</v>
      </c>
      <c r="E107" s="29">
        <v>98072</v>
      </c>
      <c r="F107" s="29">
        <v>-98071</v>
      </c>
      <c r="G107" s="29">
        <v>1</v>
      </c>
      <c r="H107" t="s">
        <v>1795</v>
      </c>
      <c r="I107" t="s">
        <v>15</v>
      </c>
    </row>
    <row r="108" spans="1:9" customFormat="1" ht="21">
      <c r="A108" s="28" t="s">
        <v>1816</v>
      </c>
      <c r="B108" s="28" t="s">
        <v>91</v>
      </c>
      <c r="C108" s="28" t="s">
        <v>92</v>
      </c>
      <c r="D108" s="28" t="s">
        <v>1817</v>
      </c>
      <c r="E108" s="29">
        <v>200000</v>
      </c>
      <c r="F108" s="29">
        <v>-199999</v>
      </c>
      <c r="G108" s="29">
        <v>1</v>
      </c>
      <c r="H108" t="s">
        <v>1795</v>
      </c>
      <c r="I108" t="s">
        <v>15</v>
      </c>
    </row>
    <row r="109" spans="1:9" customFormat="1" ht="21">
      <c r="A109" s="28" t="s">
        <v>1818</v>
      </c>
      <c r="B109" s="28" t="s">
        <v>91</v>
      </c>
      <c r="C109" s="28" t="s">
        <v>1263</v>
      </c>
      <c r="D109" s="28" t="s">
        <v>1264</v>
      </c>
      <c r="E109" s="29">
        <v>1799800</v>
      </c>
      <c r="F109" s="29">
        <v>-1799799</v>
      </c>
      <c r="G109" s="29">
        <v>1</v>
      </c>
      <c r="H109" t="s">
        <v>1795</v>
      </c>
      <c r="I109" t="s">
        <v>675</v>
      </c>
    </row>
    <row r="110" spans="1:9" customFormat="1" ht="21">
      <c r="A110" s="28" t="s">
        <v>1819</v>
      </c>
      <c r="B110" s="28" t="s">
        <v>91</v>
      </c>
      <c r="C110" s="28" t="s">
        <v>679</v>
      </c>
      <c r="D110" s="28" t="s">
        <v>680</v>
      </c>
      <c r="E110" s="29">
        <v>449663</v>
      </c>
      <c r="F110" s="29">
        <v>-103237.7</v>
      </c>
      <c r="G110" s="29">
        <v>346425.3</v>
      </c>
      <c r="H110" t="s">
        <v>1795</v>
      </c>
      <c r="I110" t="s">
        <v>681</v>
      </c>
    </row>
    <row r="111" spans="1:9" customFormat="1" ht="21">
      <c r="A111" s="28" t="s">
        <v>1820</v>
      </c>
      <c r="B111" s="28" t="s">
        <v>91</v>
      </c>
      <c r="C111" s="28" t="s">
        <v>679</v>
      </c>
      <c r="D111" s="28" t="s">
        <v>683</v>
      </c>
      <c r="E111" s="29">
        <v>49870</v>
      </c>
      <c r="F111" s="29">
        <v>-11449.61</v>
      </c>
      <c r="G111" s="29">
        <v>38420.39</v>
      </c>
      <c r="H111" t="s">
        <v>1795</v>
      </c>
      <c r="I111" t="s">
        <v>681</v>
      </c>
    </row>
    <row r="112" spans="1:9" customFormat="1" ht="21">
      <c r="A112" s="28" t="s">
        <v>1821</v>
      </c>
      <c r="B112" s="28" t="s">
        <v>91</v>
      </c>
      <c r="C112" s="28" t="s">
        <v>679</v>
      </c>
      <c r="D112" s="28" t="s">
        <v>683</v>
      </c>
      <c r="E112" s="29">
        <v>49870</v>
      </c>
      <c r="F112" s="29">
        <v>-11449.61</v>
      </c>
      <c r="G112" s="29">
        <v>38420.39</v>
      </c>
      <c r="H112" t="s">
        <v>1795</v>
      </c>
      <c r="I112" t="s">
        <v>681</v>
      </c>
    </row>
    <row r="113" spans="1:9" customFormat="1" ht="21">
      <c r="A113" s="28" t="s">
        <v>1822</v>
      </c>
      <c r="B113" s="28" t="s">
        <v>91</v>
      </c>
      <c r="C113" s="28" t="s">
        <v>679</v>
      </c>
      <c r="D113" s="28" t="s">
        <v>683</v>
      </c>
      <c r="E113" s="29">
        <v>49870</v>
      </c>
      <c r="F113" s="29">
        <v>-11449.61</v>
      </c>
      <c r="G113" s="29">
        <v>38420.39</v>
      </c>
      <c r="H113" t="s">
        <v>1795</v>
      </c>
      <c r="I113" t="s">
        <v>681</v>
      </c>
    </row>
    <row r="114" spans="1:9" customFormat="1" ht="21">
      <c r="A114" s="28" t="s">
        <v>1823</v>
      </c>
      <c r="B114" s="28" t="s">
        <v>91</v>
      </c>
      <c r="C114" s="28" t="s">
        <v>679</v>
      </c>
      <c r="D114" s="28" t="s">
        <v>683</v>
      </c>
      <c r="E114" s="29">
        <v>49870</v>
      </c>
      <c r="F114" s="29">
        <v>-11449.61</v>
      </c>
      <c r="G114" s="29">
        <v>38420.39</v>
      </c>
      <c r="H114" t="s">
        <v>1795</v>
      </c>
      <c r="I114" t="s">
        <v>681</v>
      </c>
    </row>
    <row r="115" spans="1:9" customFormat="1" ht="21">
      <c r="A115" s="28" t="s">
        <v>1824</v>
      </c>
      <c r="B115" s="28" t="s">
        <v>91</v>
      </c>
      <c r="C115" s="28" t="s">
        <v>686</v>
      </c>
      <c r="D115" s="28" t="s">
        <v>687</v>
      </c>
      <c r="E115" s="29">
        <v>699300</v>
      </c>
      <c r="F115" s="29">
        <v>-182009.60000000001</v>
      </c>
      <c r="G115" s="29">
        <v>517290.4</v>
      </c>
      <c r="H115" t="s">
        <v>1795</v>
      </c>
      <c r="I115" t="s">
        <v>681</v>
      </c>
    </row>
    <row r="116" spans="1:9" customFormat="1" ht="21">
      <c r="A116" s="28" t="s">
        <v>1825</v>
      </c>
      <c r="B116" s="28" t="s">
        <v>91</v>
      </c>
      <c r="C116" s="28" t="s">
        <v>605</v>
      </c>
      <c r="D116" s="28" t="s">
        <v>1826</v>
      </c>
      <c r="E116" s="29">
        <v>1500000</v>
      </c>
      <c r="F116" s="29">
        <v>-1499999</v>
      </c>
      <c r="G116" s="29">
        <v>1</v>
      </c>
      <c r="H116" t="s">
        <v>1795</v>
      </c>
      <c r="I116" t="s">
        <v>681</v>
      </c>
    </row>
    <row r="117" spans="1:9" customFormat="1" ht="21">
      <c r="A117" s="28" t="s">
        <v>1827</v>
      </c>
      <c r="B117" s="28" t="s">
        <v>91</v>
      </c>
      <c r="C117" s="28" t="s">
        <v>605</v>
      </c>
      <c r="D117" s="28" t="s">
        <v>1828</v>
      </c>
      <c r="E117" s="29">
        <v>995000</v>
      </c>
      <c r="F117" s="29">
        <v>-375296.23</v>
      </c>
      <c r="G117" s="29">
        <v>619703.77</v>
      </c>
      <c r="H117" t="s">
        <v>1795</v>
      </c>
      <c r="I117" t="s">
        <v>681</v>
      </c>
    </row>
    <row r="118" spans="1:9" customFormat="1" ht="21">
      <c r="A118" s="28" t="s">
        <v>1829</v>
      </c>
      <c r="B118" s="28" t="s">
        <v>91</v>
      </c>
      <c r="C118" s="28" t="s">
        <v>605</v>
      </c>
      <c r="D118" s="28" t="s">
        <v>1830</v>
      </c>
      <c r="E118" s="29">
        <v>436000</v>
      </c>
      <c r="F118" s="29">
        <v>-435999</v>
      </c>
      <c r="G118" s="29">
        <v>1</v>
      </c>
      <c r="H118" t="s">
        <v>1795</v>
      </c>
      <c r="I118" t="s">
        <v>681</v>
      </c>
    </row>
    <row r="119" spans="1:9" customFormat="1" ht="21">
      <c r="A119" s="28" t="s">
        <v>1831</v>
      </c>
      <c r="B119" s="28" t="s">
        <v>91</v>
      </c>
      <c r="C119" s="28" t="s">
        <v>605</v>
      </c>
      <c r="D119" s="28" t="s">
        <v>1832</v>
      </c>
      <c r="E119" s="29">
        <v>98000</v>
      </c>
      <c r="F119" s="29">
        <v>-97999</v>
      </c>
      <c r="G119" s="29">
        <v>1</v>
      </c>
      <c r="H119" t="s">
        <v>1795</v>
      </c>
      <c r="I119" t="s">
        <v>681</v>
      </c>
    </row>
    <row r="120" spans="1:9" customFormat="1" ht="21">
      <c r="A120" s="28" t="s">
        <v>1833</v>
      </c>
      <c r="B120" s="28" t="s">
        <v>91</v>
      </c>
      <c r="C120" s="28" t="s">
        <v>605</v>
      </c>
      <c r="D120" s="28" t="s">
        <v>1099</v>
      </c>
      <c r="E120" s="29">
        <v>1999800</v>
      </c>
      <c r="F120" s="29">
        <v>-1972909.63</v>
      </c>
      <c r="G120" s="29">
        <v>26890.37</v>
      </c>
      <c r="H120" t="s">
        <v>1795</v>
      </c>
      <c r="I120" t="s">
        <v>681</v>
      </c>
    </row>
    <row r="121" spans="1:9" customFormat="1" ht="21">
      <c r="A121" s="28" t="s">
        <v>1834</v>
      </c>
      <c r="B121" s="28" t="s">
        <v>91</v>
      </c>
      <c r="C121" s="28" t="s">
        <v>605</v>
      </c>
      <c r="D121" s="28" t="s">
        <v>1835</v>
      </c>
      <c r="E121" s="29">
        <v>448500</v>
      </c>
      <c r="F121" s="29">
        <v>-435944.11</v>
      </c>
      <c r="G121" s="29">
        <v>12555.89</v>
      </c>
      <c r="H121" t="s">
        <v>1795</v>
      </c>
      <c r="I121" t="s">
        <v>681</v>
      </c>
    </row>
    <row r="122" spans="1:9" customFormat="1" ht="21">
      <c r="A122" s="28" t="s">
        <v>1836</v>
      </c>
      <c r="B122" s="28" t="s">
        <v>91</v>
      </c>
      <c r="C122" s="28" t="s">
        <v>605</v>
      </c>
      <c r="D122" s="28" t="s">
        <v>1835</v>
      </c>
      <c r="E122" s="29">
        <v>448500</v>
      </c>
      <c r="F122" s="29">
        <v>-435944.11</v>
      </c>
      <c r="G122" s="29">
        <v>12555.89</v>
      </c>
      <c r="H122" t="s">
        <v>1795</v>
      </c>
      <c r="I122" t="s">
        <v>681</v>
      </c>
    </row>
    <row r="123" spans="1:9" customFormat="1" ht="21">
      <c r="A123" s="28" t="s">
        <v>1837</v>
      </c>
      <c r="B123" s="28" t="s">
        <v>91</v>
      </c>
      <c r="C123" s="28" t="s">
        <v>605</v>
      </c>
      <c r="D123" s="28" t="s">
        <v>1838</v>
      </c>
      <c r="E123" s="29">
        <v>188888</v>
      </c>
      <c r="F123" s="29">
        <v>-181101.19</v>
      </c>
      <c r="G123" s="29">
        <v>7786.81</v>
      </c>
      <c r="H123" t="s">
        <v>1795</v>
      </c>
      <c r="I123" t="s">
        <v>681</v>
      </c>
    </row>
    <row r="124" spans="1:9" customFormat="1" ht="21">
      <c r="A124" s="28" t="s">
        <v>1839</v>
      </c>
      <c r="B124" s="28" t="s">
        <v>91</v>
      </c>
      <c r="C124" s="28" t="s">
        <v>605</v>
      </c>
      <c r="D124" s="28" t="s">
        <v>1840</v>
      </c>
      <c r="E124" s="29">
        <v>188888</v>
      </c>
      <c r="F124" s="29">
        <v>-181101.19</v>
      </c>
      <c r="G124" s="29">
        <v>7786.81</v>
      </c>
      <c r="H124" t="s">
        <v>1795</v>
      </c>
      <c r="I124" t="s">
        <v>681</v>
      </c>
    </row>
    <row r="125" spans="1:9" customFormat="1" ht="21">
      <c r="A125" s="28" t="s">
        <v>1841</v>
      </c>
      <c r="B125" s="28" t="s">
        <v>91</v>
      </c>
      <c r="C125" s="28" t="s">
        <v>605</v>
      </c>
      <c r="D125" s="28" t="s">
        <v>1842</v>
      </c>
      <c r="E125" s="29">
        <v>31500</v>
      </c>
      <c r="F125" s="29">
        <v>-30595.9</v>
      </c>
      <c r="G125" s="29">
        <v>904.1</v>
      </c>
      <c r="H125" t="s">
        <v>1795</v>
      </c>
      <c r="I125" t="s">
        <v>681</v>
      </c>
    </row>
    <row r="126" spans="1:9" customFormat="1" ht="21">
      <c r="A126" s="28" t="s">
        <v>1843</v>
      </c>
      <c r="B126" s="28" t="s">
        <v>91</v>
      </c>
      <c r="C126" s="28" t="s">
        <v>605</v>
      </c>
      <c r="D126" s="28" t="s">
        <v>1844</v>
      </c>
      <c r="E126" s="29">
        <v>31500</v>
      </c>
      <c r="F126" s="29">
        <v>-30595.9</v>
      </c>
      <c r="G126" s="29">
        <v>904.1</v>
      </c>
      <c r="H126" t="s">
        <v>1795</v>
      </c>
      <c r="I126" t="s">
        <v>681</v>
      </c>
    </row>
    <row r="127" spans="1:9" customFormat="1" ht="21">
      <c r="A127" s="28" t="s">
        <v>1845</v>
      </c>
      <c r="B127" s="28" t="s">
        <v>91</v>
      </c>
      <c r="C127" s="28" t="s">
        <v>605</v>
      </c>
      <c r="D127" s="28" t="s">
        <v>1846</v>
      </c>
      <c r="E127" s="29">
        <v>31500</v>
      </c>
      <c r="F127" s="29">
        <v>-30595.9</v>
      </c>
      <c r="G127" s="29">
        <v>904.1</v>
      </c>
      <c r="H127" t="s">
        <v>1795</v>
      </c>
      <c r="I127" t="s">
        <v>681</v>
      </c>
    </row>
    <row r="128" spans="1:9" customFormat="1" ht="21">
      <c r="A128" s="28" t="s">
        <v>1847</v>
      </c>
      <c r="B128" s="28" t="s">
        <v>91</v>
      </c>
      <c r="C128" s="28" t="s">
        <v>605</v>
      </c>
      <c r="D128" s="28" t="s">
        <v>1846</v>
      </c>
      <c r="E128" s="29">
        <v>31500</v>
      </c>
      <c r="F128" s="29">
        <v>-30595.9</v>
      </c>
      <c r="G128" s="29">
        <v>904.1</v>
      </c>
      <c r="H128" t="s">
        <v>1795</v>
      </c>
      <c r="I128" t="s">
        <v>681</v>
      </c>
    </row>
    <row r="129" spans="1:9" customFormat="1" ht="21">
      <c r="A129" s="28" t="s">
        <v>1848</v>
      </c>
      <c r="B129" s="28" t="s">
        <v>91</v>
      </c>
      <c r="C129" s="28" t="s">
        <v>605</v>
      </c>
      <c r="D129" s="28" t="s">
        <v>1846</v>
      </c>
      <c r="E129" s="29">
        <v>31500</v>
      </c>
      <c r="F129" s="29">
        <v>-30595.9</v>
      </c>
      <c r="G129" s="29">
        <v>904.1</v>
      </c>
      <c r="H129" t="s">
        <v>1795</v>
      </c>
      <c r="I129" t="s">
        <v>681</v>
      </c>
    </row>
    <row r="130" spans="1:9" customFormat="1" ht="21">
      <c r="A130" s="28" t="s">
        <v>1849</v>
      </c>
      <c r="B130" s="28" t="s">
        <v>91</v>
      </c>
      <c r="C130" s="28" t="s">
        <v>605</v>
      </c>
      <c r="D130" s="28" t="s">
        <v>1846</v>
      </c>
      <c r="E130" s="29">
        <v>31500</v>
      </c>
      <c r="F130" s="29">
        <v>-30595.9</v>
      </c>
      <c r="G130" s="29">
        <v>904.1</v>
      </c>
      <c r="H130" t="s">
        <v>1795</v>
      </c>
      <c r="I130" t="s">
        <v>681</v>
      </c>
    </row>
    <row r="131" spans="1:9" customFormat="1" ht="21">
      <c r="A131" s="28" t="s">
        <v>1850</v>
      </c>
      <c r="B131" s="28" t="s">
        <v>91</v>
      </c>
      <c r="C131" s="28" t="s">
        <v>605</v>
      </c>
      <c r="D131" s="28" t="s">
        <v>1846</v>
      </c>
      <c r="E131" s="29">
        <v>31500</v>
      </c>
      <c r="F131" s="29">
        <v>-30595.9</v>
      </c>
      <c r="G131" s="29">
        <v>904.1</v>
      </c>
      <c r="H131" t="s">
        <v>1795</v>
      </c>
      <c r="I131" t="s">
        <v>681</v>
      </c>
    </row>
    <row r="132" spans="1:9" customFormat="1" ht="21">
      <c r="A132" s="28" t="s">
        <v>1851</v>
      </c>
      <c r="B132" s="28" t="s">
        <v>91</v>
      </c>
      <c r="C132" s="28" t="s">
        <v>605</v>
      </c>
      <c r="D132" s="28" t="s">
        <v>1846</v>
      </c>
      <c r="E132" s="29">
        <v>31500</v>
      </c>
      <c r="F132" s="29">
        <v>-30595.9</v>
      </c>
      <c r="G132" s="29">
        <v>904.1</v>
      </c>
      <c r="H132" t="s">
        <v>1795</v>
      </c>
      <c r="I132" t="s">
        <v>681</v>
      </c>
    </row>
    <row r="133" spans="1:9" customFormat="1" ht="21">
      <c r="A133" s="28" t="s">
        <v>1852</v>
      </c>
      <c r="B133" s="28" t="s">
        <v>91</v>
      </c>
      <c r="C133" s="28" t="s">
        <v>605</v>
      </c>
      <c r="D133" s="28" t="s">
        <v>1846</v>
      </c>
      <c r="E133" s="29">
        <v>31500</v>
      </c>
      <c r="F133" s="29">
        <v>-30595.9</v>
      </c>
      <c r="G133" s="29">
        <v>904.1</v>
      </c>
      <c r="H133" t="s">
        <v>1795</v>
      </c>
      <c r="I133" t="s">
        <v>681</v>
      </c>
    </row>
    <row r="134" spans="1:9" customFormat="1" ht="21">
      <c r="A134" s="28" t="s">
        <v>1853</v>
      </c>
      <c r="B134" s="28" t="s">
        <v>91</v>
      </c>
      <c r="C134" s="28" t="s">
        <v>605</v>
      </c>
      <c r="D134" s="28" t="s">
        <v>1846</v>
      </c>
      <c r="E134" s="29">
        <v>31500</v>
      </c>
      <c r="F134" s="29">
        <v>-30595.9</v>
      </c>
      <c r="G134" s="29">
        <v>904.1</v>
      </c>
      <c r="H134" t="s">
        <v>1795</v>
      </c>
      <c r="I134" t="s">
        <v>681</v>
      </c>
    </row>
    <row r="135" spans="1:9" customFormat="1" ht="21">
      <c r="A135" s="28" t="s">
        <v>1854</v>
      </c>
      <c r="B135" s="28" t="s">
        <v>91</v>
      </c>
      <c r="C135" s="28" t="s">
        <v>605</v>
      </c>
      <c r="D135" s="28" t="s">
        <v>1846</v>
      </c>
      <c r="E135" s="29">
        <v>31500</v>
      </c>
      <c r="F135" s="29">
        <v>-30595.9</v>
      </c>
      <c r="G135" s="29">
        <v>904.1</v>
      </c>
      <c r="H135" t="s">
        <v>1795</v>
      </c>
      <c r="I135" t="s">
        <v>681</v>
      </c>
    </row>
    <row r="136" spans="1:9" customFormat="1" ht="21">
      <c r="A136" s="28" t="s">
        <v>1855</v>
      </c>
      <c r="B136" s="28" t="s">
        <v>91</v>
      </c>
      <c r="C136" s="28" t="s">
        <v>605</v>
      </c>
      <c r="D136" s="28" t="s">
        <v>1846</v>
      </c>
      <c r="E136" s="29">
        <v>31500</v>
      </c>
      <c r="F136" s="29">
        <v>-30595.9</v>
      </c>
      <c r="G136" s="29">
        <v>904.1</v>
      </c>
      <c r="H136" t="s">
        <v>1795</v>
      </c>
      <c r="I136" t="s">
        <v>681</v>
      </c>
    </row>
    <row r="137" spans="1:9" customFormat="1" ht="21">
      <c r="A137" s="28" t="s">
        <v>1856</v>
      </c>
      <c r="B137" s="28" t="s">
        <v>91</v>
      </c>
      <c r="C137" s="28" t="s">
        <v>605</v>
      </c>
      <c r="D137" s="28" t="s">
        <v>1846</v>
      </c>
      <c r="E137" s="29">
        <v>31500</v>
      </c>
      <c r="F137" s="29">
        <v>-30595.9</v>
      </c>
      <c r="G137" s="29">
        <v>904.1</v>
      </c>
      <c r="H137" t="s">
        <v>1795</v>
      </c>
      <c r="I137" t="s">
        <v>681</v>
      </c>
    </row>
    <row r="138" spans="1:9" customFormat="1" ht="21">
      <c r="A138" s="28" t="s">
        <v>1857</v>
      </c>
      <c r="B138" s="28" t="s">
        <v>91</v>
      </c>
      <c r="C138" s="28" t="s">
        <v>605</v>
      </c>
      <c r="D138" s="28" t="s">
        <v>1846</v>
      </c>
      <c r="E138" s="29">
        <v>31500</v>
      </c>
      <c r="F138" s="29">
        <v>-30595.9</v>
      </c>
      <c r="G138" s="29">
        <v>904.1</v>
      </c>
      <c r="H138" t="s">
        <v>1795</v>
      </c>
      <c r="I138" t="s">
        <v>681</v>
      </c>
    </row>
    <row r="139" spans="1:9" customFormat="1" ht="21">
      <c r="A139" s="28" t="s">
        <v>1858</v>
      </c>
      <c r="B139" s="28" t="s">
        <v>91</v>
      </c>
      <c r="C139" s="28" t="s">
        <v>605</v>
      </c>
      <c r="D139" s="28" t="s">
        <v>1846</v>
      </c>
      <c r="E139" s="29">
        <v>31500</v>
      </c>
      <c r="F139" s="29">
        <v>-30595.9</v>
      </c>
      <c r="G139" s="29">
        <v>904.1</v>
      </c>
      <c r="H139" t="s">
        <v>1795</v>
      </c>
      <c r="I139" t="s">
        <v>681</v>
      </c>
    </row>
    <row r="140" spans="1:9" customFormat="1" ht="21">
      <c r="A140" s="28" t="s">
        <v>1859</v>
      </c>
      <c r="B140" s="28" t="s">
        <v>91</v>
      </c>
      <c r="C140" s="28" t="s">
        <v>605</v>
      </c>
      <c r="D140" s="28" t="s">
        <v>1846</v>
      </c>
      <c r="E140" s="29">
        <v>31500</v>
      </c>
      <c r="F140" s="29">
        <v>-30595.9</v>
      </c>
      <c r="G140" s="29">
        <v>904.1</v>
      </c>
      <c r="H140" t="s">
        <v>1795</v>
      </c>
      <c r="I140" t="s">
        <v>681</v>
      </c>
    </row>
    <row r="141" spans="1:9" customFormat="1" ht="21">
      <c r="A141" s="28" t="s">
        <v>1860</v>
      </c>
      <c r="B141" s="28" t="s">
        <v>91</v>
      </c>
      <c r="C141" s="28" t="s">
        <v>605</v>
      </c>
      <c r="D141" s="28" t="s">
        <v>1846</v>
      </c>
      <c r="E141" s="29">
        <v>31500</v>
      </c>
      <c r="F141" s="29">
        <v>-30595.9</v>
      </c>
      <c r="G141" s="29">
        <v>904.1</v>
      </c>
      <c r="H141" t="s">
        <v>1795</v>
      </c>
      <c r="I141" t="s">
        <v>681</v>
      </c>
    </row>
    <row r="142" spans="1:9" customFormat="1" ht="21">
      <c r="A142" s="28" t="s">
        <v>1861</v>
      </c>
      <c r="B142" s="28" t="s">
        <v>91</v>
      </c>
      <c r="C142" s="28" t="s">
        <v>605</v>
      </c>
      <c r="D142" s="28" t="s">
        <v>1862</v>
      </c>
      <c r="E142" s="29">
        <v>81180</v>
      </c>
      <c r="F142" s="29">
        <v>-76361.440000000002</v>
      </c>
      <c r="G142" s="29">
        <v>4818.5600000000004</v>
      </c>
      <c r="H142" t="s">
        <v>1795</v>
      </c>
      <c r="I142" t="s">
        <v>681</v>
      </c>
    </row>
    <row r="143" spans="1:9" customFormat="1" ht="21">
      <c r="A143" s="28" t="s">
        <v>1863</v>
      </c>
      <c r="B143" s="28" t="s">
        <v>91</v>
      </c>
      <c r="C143" s="28" t="s">
        <v>605</v>
      </c>
      <c r="D143" s="28" t="s">
        <v>1864</v>
      </c>
      <c r="E143" s="29">
        <v>56235</v>
      </c>
      <c r="F143" s="29">
        <v>-52195.4</v>
      </c>
      <c r="G143" s="29">
        <v>4039.6</v>
      </c>
      <c r="H143" t="s">
        <v>1795</v>
      </c>
      <c r="I143" t="s">
        <v>681</v>
      </c>
    </row>
    <row r="144" spans="1:9" customFormat="1" ht="21">
      <c r="A144" s="28" t="s">
        <v>1865</v>
      </c>
      <c r="B144" s="28" t="s">
        <v>91</v>
      </c>
      <c r="C144" s="28" t="s">
        <v>605</v>
      </c>
      <c r="D144" s="28" t="s">
        <v>798</v>
      </c>
      <c r="E144" s="29">
        <v>56235</v>
      </c>
      <c r="F144" s="29">
        <v>-52195.4</v>
      </c>
      <c r="G144" s="29">
        <v>4039.6</v>
      </c>
      <c r="H144" t="s">
        <v>1795</v>
      </c>
      <c r="I144" t="s">
        <v>681</v>
      </c>
    </row>
    <row r="145" spans="1:9" customFormat="1" ht="21">
      <c r="A145" s="28" t="s">
        <v>1866</v>
      </c>
      <c r="B145" s="28" t="s">
        <v>91</v>
      </c>
      <c r="C145" s="28" t="s">
        <v>605</v>
      </c>
      <c r="D145" s="28" t="s">
        <v>798</v>
      </c>
      <c r="E145" s="29">
        <v>56235</v>
      </c>
      <c r="F145" s="29">
        <v>-52195.4</v>
      </c>
      <c r="G145" s="29">
        <v>4039.6</v>
      </c>
      <c r="H145" t="s">
        <v>1795</v>
      </c>
      <c r="I145" t="s">
        <v>681</v>
      </c>
    </row>
    <row r="146" spans="1:9" customFormat="1" ht="21">
      <c r="A146" s="28" t="s">
        <v>1867</v>
      </c>
      <c r="B146" s="28" t="s">
        <v>91</v>
      </c>
      <c r="C146" s="28" t="s">
        <v>605</v>
      </c>
      <c r="D146" s="28" t="s">
        <v>1868</v>
      </c>
      <c r="E146" s="29">
        <v>56235</v>
      </c>
      <c r="F146" s="29">
        <v>-52195.4</v>
      </c>
      <c r="G146" s="29">
        <v>4039.6</v>
      </c>
      <c r="H146" t="s">
        <v>1795</v>
      </c>
      <c r="I146" t="s">
        <v>681</v>
      </c>
    </row>
    <row r="147" spans="1:9" customFormat="1" ht="21">
      <c r="A147" s="28" t="s">
        <v>1869</v>
      </c>
      <c r="B147" s="28" t="s">
        <v>91</v>
      </c>
      <c r="C147" s="28" t="s">
        <v>605</v>
      </c>
      <c r="D147" s="28" t="s">
        <v>1864</v>
      </c>
      <c r="E147" s="29">
        <v>56235</v>
      </c>
      <c r="F147" s="29">
        <v>-52195.4</v>
      </c>
      <c r="G147" s="29">
        <v>4039.6</v>
      </c>
      <c r="H147" t="s">
        <v>1795</v>
      </c>
      <c r="I147" t="s">
        <v>681</v>
      </c>
    </row>
    <row r="148" spans="1:9" customFormat="1" ht="21">
      <c r="A148" s="28" t="s">
        <v>1870</v>
      </c>
      <c r="B148" s="28" t="s">
        <v>91</v>
      </c>
      <c r="C148" s="28" t="s">
        <v>605</v>
      </c>
      <c r="D148" s="28" t="s">
        <v>1868</v>
      </c>
      <c r="E148" s="29">
        <v>56235</v>
      </c>
      <c r="F148" s="29">
        <v>-52195.4</v>
      </c>
      <c r="G148" s="29">
        <v>4039.6</v>
      </c>
      <c r="H148" t="s">
        <v>1795</v>
      </c>
      <c r="I148" t="s">
        <v>681</v>
      </c>
    </row>
    <row r="149" spans="1:9" customFormat="1" ht="21">
      <c r="A149" s="28" t="s">
        <v>1871</v>
      </c>
      <c r="B149" s="28" t="s">
        <v>91</v>
      </c>
      <c r="C149" s="28" t="s">
        <v>605</v>
      </c>
      <c r="D149" s="28" t="s">
        <v>808</v>
      </c>
      <c r="E149" s="29">
        <v>989700</v>
      </c>
      <c r="F149" s="29">
        <v>-783551.64</v>
      </c>
      <c r="G149" s="29">
        <v>206148.36</v>
      </c>
      <c r="H149" t="s">
        <v>1795</v>
      </c>
      <c r="I149" t="s">
        <v>681</v>
      </c>
    </row>
    <row r="150" spans="1:9" customFormat="1" ht="21">
      <c r="A150" s="28" t="s">
        <v>1872</v>
      </c>
      <c r="B150" s="28" t="s">
        <v>91</v>
      </c>
      <c r="C150" s="28" t="s">
        <v>605</v>
      </c>
      <c r="D150" s="28" t="s">
        <v>1492</v>
      </c>
      <c r="E150" s="29">
        <v>5113000</v>
      </c>
      <c r="F150" s="29">
        <v>-3892174.04</v>
      </c>
      <c r="G150" s="29">
        <v>1220825.96</v>
      </c>
      <c r="H150" t="s">
        <v>1795</v>
      </c>
      <c r="I150" t="s">
        <v>681</v>
      </c>
    </row>
    <row r="151" spans="1:9" customFormat="1" ht="21">
      <c r="A151" s="28" t="s">
        <v>1873</v>
      </c>
      <c r="B151" s="28" t="s">
        <v>91</v>
      </c>
      <c r="C151" s="28" t="s">
        <v>605</v>
      </c>
      <c r="D151" s="28" t="s">
        <v>1672</v>
      </c>
      <c r="E151" s="29">
        <v>998000</v>
      </c>
      <c r="F151" s="29">
        <v>-405808.84</v>
      </c>
      <c r="G151" s="29">
        <v>592191.16</v>
      </c>
      <c r="H151" t="s">
        <v>1795</v>
      </c>
      <c r="I151" t="s">
        <v>681</v>
      </c>
    </row>
    <row r="152" spans="1:9" customFormat="1" ht="21">
      <c r="A152" s="28" t="s">
        <v>1874</v>
      </c>
      <c r="B152" s="28" t="s">
        <v>91</v>
      </c>
      <c r="C152" s="28" t="s">
        <v>605</v>
      </c>
      <c r="D152" s="28" t="s">
        <v>1672</v>
      </c>
      <c r="E152" s="29">
        <v>998000</v>
      </c>
      <c r="F152" s="29">
        <v>-405808.84</v>
      </c>
      <c r="G152" s="29">
        <v>592191.16</v>
      </c>
      <c r="H152" t="s">
        <v>1795</v>
      </c>
      <c r="I152" t="s">
        <v>681</v>
      </c>
    </row>
    <row r="153" spans="1:9" customFormat="1" ht="21">
      <c r="A153" s="28" t="s">
        <v>1875</v>
      </c>
      <c r="B153" s="28" t="s">
        <v>91</v>
      </c>
      <c r="C153" s="28" t="s">
        <v>605</v>
      </c>
      <c r="D153" s="28" t="s">
        <v>1876</v>
      </c>
      <c r="E153" s="29">
        <v>31500</v>
      </c>
      <c r="F153" s="29">
        <v>-30595.9</v>
      </c>
      <c r="G153" s="29">
        <v>904.1</v>
      </c>
      <c r="H153" t="s">
        <v>1795</v>
      </c>
      <c r="I153" t="s">
        <v>681</v>
      </c>
    </row>
    <row r="154" spans="1:9" customFormat="1" ht="21">
      <c r="A154" s="28" t="s">
        <v>1877</v>
      </c>
      <c r="B154" s="28" t="s">
        <v>91</v>
      </c>
      <c r="C154" s="28" t="s">
        <v>605</v>
      </c>
      <c r="D154" s="28" t="s">
        <v>1842</v>
      </c>
      <c r="E154" s="29">
        <v>31500</v>
      </c>
      <c r="F154" s="29">
        <v>-30595.91</v>
      </c>
      <c r="G154" s="29">
        <v>904.09</v>
      </c>
      <c r="H154" t="s">
        <v>1795</v>
      </c>
      <c r="I154" t="s">
        <v>681</v>
      </c>
    </row>
    <row r="155" spans="1:9" customFormat="1" ht="21">
      <c r="A155" s="28" t="s">
        <v>1878</v>
      </c>
      <c r="B155" s="28" t="s">
        <v>91</v>
      </c>
      <c r="C155" s="28" t="s">
        <v>605</v>
      </c>
      <c r="D155" s="28" t="s">
        <v>1842</v>
      </c>
      <c r="E155" s="29">
        <v>31500</v>
      </c>
      <c r="F155" s="29">
        <v>-30595.9</v>
      </c>
      <c r="G155" s="29">
        <v>904.1</v>
      </c>
      <c r="H155" t="s">
        <v>1795</v>
      </c>
      <c r="I155" t="s">
        <v>681</v>
      </c>
    </row>
    <row r="156" spans="1:9" customFormat="1" ht="21">
      <c r="A156" s="28" t="s">
        <v>1879</v>
      </c>
      <c r="B156" s="28" t="s">
        <v>91</v>
      </c>
      <c r="C156" s="28" t="s">
        <v>605</v>
      </c>
      <c r="D156" s="28" t="s">
        <v>1842</v>
      </c>
      <c r="E156" s="29">
        <v>31500</v>
      </c>
      <c r="F156" s="29">
        <v>-30595.91</v>
      </c>
      <c r="G156" s="29">
        <v>904.09</v>
      </c>
      <c r="H156" t="s">
        <v>1795</v>
      </c>
      <c r="I156" t="s">
        <v>681</v>
      </c>
    </row>
    <row r="157" spans="1:9" customFormat="1" ht="21">
      <c r="A157" s="28" t="s">
        <v>1880</v>
      </c>
      <c r="B157" s="28" t="s">
        <v>91</v>
      </c>
      <c r="C157" s="28" t="s">
        <v>605</v>
      </c>
      <c r="D157" s="28" t="s">
        <v>1842</v>
      </c>
      <c r="E157" s="29">
        <v>31500</v>
      </c>
      <c r="F157" s="29">
        <v>-30595.9</v>
      </c>
      <c r="G157" s="29">
        <v>904.1</v>
      </c>
      <c r="H157" t="s">
        <v>1795</v>
      </c>
      <c r="I157" t="s">
        <v>681</v>
      </c>
    </row>
    <row r="158" spans="1:9" customFormat="1" ht="21">
      <c r="A158" s="28" t="s">
        <v>1881</v>
      </c>
      <c r="B158" s="28" t="s">
        <v>91</v>
      </c>
      <c r="C158" s="28" t="s">
        <v>927</v>
      </c>
      <c r="D158" s="28" t="s">
        <v>843</v>
      </c>
      <c r="E158" s="29">
        <v>639500</v>
      </c>
      <c r="F158" s="29">
        <v>-215274.58</v>
      </c>
      <c r="G158" s="29">
        <v>424225.42</v>
      </c>
      <c r="H158" t="s">
        <v>1795</v>
      </c>
      <c r="I158" t="s">
        <v>681</v>
      </c>
    </row>
    <row r="159" spans="1:9" customFormat="1" ht="21">
      <c r="A159" s="28" t="s">
        <v>1882</v>
      </c>
      <c r="B159" s="28" t="s">
        <v>91</v>
      </c>
      <c r="C159" s="28" t="s">
        <v>927</v>
      </c>
      <c r="D159" s="28" t="s">
        <v>687</v>
      </c>
      <c r="E159" s="29">
        <v>594800</v>
      </c>
      <c r="F159" s="29">
        <v>-594799</v>
      </c>
      <c r="G159" s="29">
        <v>1</v>
      </c>
      <c r="H159" t="s">
        <v>1795</v>
      </c>
      <c r="I159" t="s">
        <v>681</v>
      </c>
    </row>
    <row r="160" spans="1:9" customFormat="1" ht="21">
      <c r="A160" s="28" t="s">
        <v>1883</v>
      </c>
      <c r="B160" s="28" t="s">
        <v>91</v>
      </c>
      <c r="C160" s="28" t="s">
        <v>1263</v>
      </c>
      <c r="D160" s="28" t="s">
        <v>1047</v>
      </c>
      <c r="E160" s="29">
        <v>46900</v>
      </c>
      <c r="F160" s="29">
        <v>-46899</v>
      </c>
      <c r="G160" s="29">
        <v>1</v>
      </c>
      <c r="H160" t="s">
        <v>1795</v>
      </c>
      <c r="I160" t="s">
        <v>681</v>
      </c>
    </row>
    <row r="161" spans="1:9" customFormat="1" ht="21">
      <c r="A161" s="28" t="s">
        <v>1884</v>
      </c>
      <c r="B161" s="28" t="s">
        <v>91</v>
      </c>
      <c r="C161" s="28" t="s">
        <v>1263</v>
      </c>
      <c r="D161" s="28" t="s">
        <v>1047</v>
      </c>
      <c r="E161" s="29">
        <v>46900</v>
      </c>
      <c r="F161" s="29">
        <v>-46899</v>
      </c>
      <c r="G161" s="29">
        <v>1</v>
      </c>
      <c r="H161" t="s">
        <v>1795</v>
      </c>
      <c r="I161" t="s">
        <v>681</v>
      </c>
    </row>
    <row r="162" spans="1:9" customFormat="1" ht="21">
      <c r="A162" s="28" t="s">
        <v>1885</v>
      </c>
      <c r="B162" s="28" t="s">
        <v>91</v>
      </c>
      <c r="C162" s="28" t="s">
        <v>1886</v>
      </c>
      <c r="D162" s="28" t="s">
        <v>1887</v>
      </c>
      <c r="E162" s="29">
        <v>319999</v>
      </c>
      <c r="F162" s="29">
        <v>-319998</v>
      </c>
      <c r="G162" s="29">
        <v>1</v>
      </c>
      <c r="H162" t="s">
        <v>1795</v>
      </c>
      <c r="I162" t="s">
        <v>681</v>
      </c>
    </row>
    <row r="163" spans="1:9" customFormat="1" ht="21">
      <c r="A163" s="28" t="s">
        <v>1888</v>
      </c>
      <c r="B163" s="28" t="s">
        <v>91</v>
      </c>
      <c r="C163" s="28" t="s">
        <v>605</v>
      </c>
      <c r="D163" s="28" t="s">
        <v>1889</v>
      </c>
      <c r="E163" s="29">
        <v>247500</v>
      </c>
      <c r="F163" s="29">
        <v>-247499</v>
      </c>
      <c r="G163" s="29">
        <v>1</v>
      </c>
      <c r="H163" t="s">
        <v>1795</v>
      </c>
      <c r="I163" t="s">
        <v>32</v>
      </c>
    </row>
  </sheetData>
  <mergeCells count="105">
    <mergeCell ref="A3:A4"/>
    <mergeCell ref="B3:B4"/>
    <mergeCell ref="C3:N3"/>
    <mergeCell ref="P3:P4"/>
    <mergeCell ref="Q3:Q4"/>
    <mergeCell ref="R3:AC3"/>
    <mergeCell ref="A1:N1"/>
    <mergeCell ref="P1:AC1"/>
    <mergeCell ref="AE1:BD1"/>
    <mergeCell ref="A2:N2"/>
    <mergeCell ref="P2:AC2"/>
    <mergeCell ref="AE2:BD2"/>
    <mergeCell ref="C14:N14"/>
    <mergeCell ref="P14:P15"/>
    <mergeCell ref="Q14:Q15"/>
    <mergeCell ref="R14:AC14"/>
    <mergeCell ref="BA3:BB3"/>
    <mergeCell ref="BC3:BD3"/>
    <mergeCell ref="A12:N12"/>
    <mergeCell ref="P12:AC12"/>
    <mergeCell ref="AE12:BD12"/>
    <mergeCell ref="A13:N13"/>
    <mergeCell ref="P13:AC13"/>
    <mergeCell ref="AE13:BD13"/>
    <mergeCell ref="AO3:AP3"/>
    <mergeCell ref="AQ3:AR3"/>
    <mergeCell ref="AS3:AT3"/>
    <mergeCell ref="AU3:AV3"/>
    <mergeCell ref="AW3:AX3"/>
    <mergeCell ref="AY3:AZ3"/>
    <mergeCell ref="AE3:AE4"/>
    <mergeCell ref="AF3:AF4"/>
    <mergeCell ref="AG3:AH3"/>
    <mergeCell ref="AI3:AJ3"/>
    <mergeCell ref="AK3:AL3"/>
    <mergeCell ref="AM3:AN3"/>
    <mergeCell ref="Q25:Q26"/>
    <mergeCell ref="R25:AC25"/>
    <mergeCell ref="BA14:BB14"/>
    <mergeCell ref="BC14:BD14"/>
    <mergeCell ref="A23:N23"/>
    <mergeCell ref="P23:AC23"/>
    <mergeCell ref="AE23:BD23"/>
    <mergeCell ref="A24:N24"/>
    <mergeCell ref="P24:AC24"/>
    <mergeCell ref="AE24:BD24"/>
    <mergeCell ref="AO14:AP14"/>
    <mergeCell ref="AQ14:AR14"/>
    <mergeCell ref="AS14:AT14"/>
    <mergeCell ref="AU14:AV14"/>
    <mergeCell ref="AW14:AX14"/>
    <mergeCell ref="AY14:AZ14"/>
    <mergeCell ref="AE14:AE15"/>
    <mergeCell ref="AF14:AF15"/>
    <mergeCell ref="AG14:AH14"/>
    <mergeCell ref="AI14:AJ14"/>
    <mergeCell ref="AK14:AL14"/>
    <mergeCell ref="AM14:AN14"/>
    <mergeCell ref="A14:A15"/>
    <mergeCell ref="B14:B15"/>
    <mergeCell ref="BA25:BB25"/>
    <mergeCell ref="BC25:BD25"/>
    <mergeCell ref="A43:N43"/>
    <mergeCell ref="P43:AC43"/>
    <mergeCell ref="AE43:BD43"/>
    <mergeCell ref="A44:N44"/>
    <mergeCell ref="P44:AC44"/>
    <mergeCell ref="AE44:BD44"/>
    <mergeCell ref="AO25:AP25"/>
    <mergeCell ref="AQ25:AR25"/>
    <mergeCell ref="AS25:AT25"/>
    <mergeCell ref="AU25:AV25"/>
    <mergeCell ref="AW25:AX25"/>
    <mergeCell ref="AY25:AZ25"/>
    <mergeCell ref="AE25:AE26"/>
    <mergeCell ref="AF25:AF26"/>
    <mergeCell ref="AG25:AH25"/>
    <mergeCell ref="AI25:AJ25"/>
    <mergeCell ref="AK25:AL25"/>
    <mergeCell ref="AM25:AN25"/>
    <mergeCell ref="A25:A26"/>
    <mergeCell ref="B25:B26"/>
    <mergeCell ref="C25:N25"/>
    <mergeCell ref="P25:P26"/>
    <mergeCell ref="BA45:BB45"/>
    <mergeCell ref="BC45:BD45"/>
    <mergeCell ref="A63:I63"/>
    <mergeCell ref="AO45:AP45"/>
    <mergeCell ref="AQ45:AR45"/>
    <mergeCell ref="AS45:AT45"/>
    <mergeCell ref="AU45:AV45"/>
    <mergeCell ref="AW45:AX45"/>
    <mergeCell ref="AY45:AZ45"/>
    <mergeCell ref="AE45:AE46"/>
    <mergeCell ref="AF45:AF46"/>
    <mergeCell ref="AG45:AH45"/>
    <mergeCell ref="AI45:AJ45"/>
    <mergeCell ref="AK45:AL45"/>
    <mergeCell ref="AM45:AN45"/>
    <mergeCell ref="A45:A46"/>
    <mergeCell ref="B45:B46"/>
    <mergeCell ref="C45:N45"/>
    <mergeCell ref="P45:P46"/>
    <mergeCell ref="Q45:Q46"/>
    <mergeCell ref="R45:AC4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77C1-836A-4257-B6BC-89ED0A3CD14D}">
  <dimension ref="A1:BD147"/>
  <sheetViews>
    <sheetView topLeftCell="N1" workbookViewId="0">
      <selection activeCell="E55" sqref="E55"/>
    </sheetView>
  </sheetViews>
  <sheetFormatPr defaultColWidth="18.75" defaultRowHeight="24.6"/>
  <cols>
    <col min="1" max="1" width="6.75" style="24" bestFit="1" customWidth="1"/>
    <col min="2" max="2" width="53" style="13" bestFit="1" customWidth="1"/>
    <col min="3" max="15" width="18.75" style="13"/>
    <col min="16" max="16" width="6.75" style="24" bestFit="1" customWidth="1"/>
    <col min="17" max="17" width="53" style="13" bestFit="1" customWidth="1"/>
    <col min="18" max="30" width="18.75" style="13"/>
    <col min="31" max="31" width="6.75" style="24" bestFit="1" customWidth="1"/>
    <col min="32" max="32" width="53" style="13" bestFit="1" customWidth="1"/>
    <col min="33" max="16384" width="18.75" style="13"/>
  </cols>
  <sheetData>
    <row r="1" spans="1:56">
      <c r="A1" s="37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2"/>
      <c r="P1" s="37" t="s">
        <v>49</v>
      </c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E1" s="37" t="s">
        <v>0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</row>
    <row r="2" spans="1:56">
      <c r="A2" s="37" t="s">
        <v>1951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2"/>
      <c r="P2" s="37" t="s">
        <v>1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E2" s="37" t="s">
        <v>1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</row>
    <row r="3" spans="1:56" s="15" customFormat="1">
      <c r="A3" s="35" t="s">
        <v>2</v>
      </c>
      <c r="B3" s="35" t="s">
        <v>3</v>
      </c>
      <c r="C3" s="38" t="s">
        <v>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  <c r="O3" s="14"/>
      <c r="P3" s="35" t="s">
        <v>2</v>
      </c>
      <c r="Q3" s="35" t="s">
        <v>3</v>
      </c>
      <c r="R3" s="38" t="s">
        <v>5</v>
      </c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E3" s="35" t="s">
        <v>2</v>
      </c>
      <c r="AF3" s="35" t="s">
        <v>3</v>
      </c>
      <c r="AG3" s="33">
        <v>25112</v>
      </c>
      <c r="AH3" s="34"/>
      <c r="AI3" s="33">
        <v>25143</v>
      </c>
      <c r="AJ3" s="34"/>
      <c r="AK3" s="33">
        <v>25173</v>
      </c>
      <c r="AL3" s="34"/>
      <c r="AM3" s="33">
        <v>25204</v>
      </c>
      <c r="AN3" s="34"/>
      <c r="AO3" s="33">
        <v>25235</v>
      </c>
      <c r="AP3" s="34"/>
      <c r="AQ3" s="33">
        <v>25263</v>
      </c>
      <c r="AR3" s="34"/>
      <c r="AS3" s="33">
        <v>25294</v>
      </c>
      <c r="AT3" s="34"/>
      <c r="AU3" s="33">
        <v>25324</v>
      </c>
      <c r="AV3" s="34"/>
      <c r="AW3" s="33">
        <v>25355</v>
      </c>
      <c r="AX3" s="34"/>
      <c r="AY3" s="33">
        <v>25385</v>
      </c>
      <c r="AZ3" s="34"/>
      <c r="BA3" s="33">
        <v>25416</v>
      </c>
      <c r="BB3" s="34"/>
      <c r="BC3" s="33">
        <v>25447</v>
      </c>
      <c r="BD3" s="34"/>
    </row>
    <row r="4" spans="1:56" s="15" customFormat="1">
      <c r="A4" s="36"/>
      <c r="B4" s="36"/>
      <c r="C4" s="16">
        <v>25112</v>
      </c>
      <c r="D4" s="16">
        <v>25143</v>
      </c>
      <c r="E4" s="16">
        <v>25173</v>
      </c>
      <c r="F4" s="16">
        <v>25204</v>
      </c>
      <c r="G4" s="16">
        <v>25235</v>
      </c>
      <c r="H4" s="16">
        <v>25263</v>
      </c>
      <c r="I4" s="16">
        <v>25294</v>
      </c>
      <c r="J4" s="16">
        <v>25324</v>
      </c>
      <c r="K4" s="16">
        <v>25355</v>
      </c>
      <c r="L4" s="16">
        <v>25385</v>
      </c>
      <c r="M4" s="16">
        <v>25416</v>
      </c>
      <c r="N4" s="16">
        <v>25447</v>
      </c>
      <c r="P4" s="36"/>
      <c r="Q4" s="36"/>
      <c r="R4" s="16">
        <v>25112</v>
      </c>
      <c r="S4" s="16">
        <v>25143</v>
      </c>
      <c r="T4" s="16">
        <v>25173</v>
      </c>
      <c r="U4" s="16">
        <v>25204</v>
      </c>
      <c r="V4" s="16">
        <v>25235</v>
      </c>
      <c r="W4" s="16">
        <v>25263</v>
      </c>
      <c r="X4" s="16">
        <v>25294</v>
      </c>
      <c r="Y4" s="16">
        <v>25324</v>
      </c>
      <c r="Z4" s="16">
        <v>25355</v>
      </c>
      <c r="AA4" s="16">
        <v>25385</v>
      </c>
      <c r="AB4" s="16">
        <v>25416</v>
      </c>
      <c r="AC4" s="16">
        <v>25447</v>
      </c>
      <c r="AE4" s="36"/>
      <c r="AF4" s="36"/>
      <c r="AG4" s="16" t="s">
        <v>85</v>
      </c>
      <c r="AH4" s="16" t="s">
        <v>86</v>
      </c>
      <c r="AI4" s="16" t="s">
        <v>85</v>
      </c>
      <c r="AJ4" s="16" t="s">
        <v>86</v>
      </c>
      <c r="AK4" s="16" t="s">
        <v>85</v>
      </c>
      <c r="AL4" s="16" t="s">
        <v>86</v>
      </c>
      <c r="AM4" s="16" t="s">
        <v>85</v>
      </c>
      <c r="AN4" s="16" t="s">
        <v>86</v>
      </c>
      <c r="AO4" s="16" t="s">
        <v>85</v>
      </c>
      <c r="AP4" s="16" t="s">
        <v>86</v>
      </c>
      <c r="AQ4" s="16" t="s">
        <v>85</v>
      </c>
      <c r="AR4" s="16" t="s">
        <v>86</v>
      </c>
      <c r="AS4" s="16" t="s">
        <v>85</v>
      </c>
      <c r="AT4" s="16" t="s">
        <v>86</v>
      </c>
      <c r="AU4" s="16" t="s">
        <v>85</v>
      </c>
      <c r="AV4" s="16" t="s">
        <v>86</v>
      </c>
      <c r="AW4" s="16" t="s">
        <v>85</v>
      </c>
      <c r="AX4" s="16" t="s">
        <v>86</v>
      </c>
      <c r="AY4" s="16" t="s">
        <v>85</v>
      </c>
      <c r="AZ4" s="16" t="s">
        <v>86</v>
      </c>
      <c r="BA4" s="16" t="s">
        <v>85</v>
      </c>
      <c r="BB4" s="16" t="s">
        <v>86</v>
      </c>
      <c r="BC4" s="16" t="s">
        <v>85</v>
      </c>
      <c r="BD4" s="16" t="s">
        <v>86</v>
      </c>
    </row>
    <row r="5" spans="1:56">
      <c r="A5" s="17">
        <v>1</v>
      </c>
      <c r="B5" s="18" t="s">
        <v>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P5" s="17">
        <v>1</v>
      </c>
      <c r="Q5" s="18" t="s">
        <v>8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E5" s="17">
        <v>1</v>
      </c>
      <c r="AF5" s="18" t="s">
        <v>8</v>
      </c>
      <c r="AG5" s="19">
        <f>+C5-R5</f>
        <v>0</v>
      </c>
      <c r="AH5" s="19" t="e">
        <f>+AG5/C5*100</f>
        <v>#DIV/0!</v>
      </c>
      <c r="AI5" s="19">
        <f>+D5-S5</f>
        <v>0</v>
      </c>
      <c r="AJ5" s="19" t="e">
        <f>+AI5/D5*100</f>
        <v>#DIV/0!</v>
      </c>
      <c r="AK5" s="19">
        <f>+E5-T5</f>
        <v>0</v>
      </c>
      <c r="AL5" s="19" t="e">
        <f>+AK5/E5*100</f>
        <v>#DIV/0!</v>
      </c>
      <c r="AM5" s="19">
        <f>+F5-U5</f>
        <v>0</v>
      </c>
      <c r="AN5" s="19" t="e">
        <f>+AM5/F5*100</f>
        <v>#DIV/0!</v>
      </c>
      <c r="AO5" s="19">
        <f>+G5-V5</f>
        <v>0</v>
      </c>
      <c r="AP5" s="19" t="e">
        <f>+AO5/G5*100</f>
        <v>#DIV/0!</v>
      </c>
      <c r="AQ5" s="19">
        <f>+H5-W5</f>
        <v>0</v>
      </c>
      <c r="AR5" s="19" t="e">
        <f>+AQ5/H5*100</f>
        <v>#DIV/0!</v>
      </c>
      <c r="AS5" s="19">
        <f>+I5-X5</f>
        <v>0</v>
      </c>
      <c r="AT5" s="19" t="e">
        <f>+AS5/I5*100</f>
        <v>#DIV/0!</v>
      </c>
      <c r="AU5" s="19">
        <f>+J5-Y5</f>
        <v>0</v>
      </c>
      <c r="AV5" s="19" t="e">
        <f>+AU5/J5*100</f>
        <v>#DIV/0!</v>
      </c>
      <c r="AW5" s="19">
        <f>+K5-Z5</f>
        <v>0</v>
      </c>
      <c r="AX5" s="19" t="e">
        <f>+AW5/K5*100</f>
        <v>#DIV/0!</v>
      </c>
      <c r="AY5" s="19">
        <f>+L5-AA5</f>
        <v>0</v>
      </c>
      <c r="AZ5" s="19" t="e">
        <f>+AY5/L5*100</f>
        <v>#DIV/0!</v>
      </c>
      <c r="BA5" s="19">
        <f>+M5-AB5</f>
        <v>0</v>
      </c>
      <c r="BB5" s="19" t="e">
        <f>+BA5/M5*100</f>
        <v>#DIV/0!</v>
      </c>
      <c r="BC5" s="19">
        <f>+N5-AC5</f>
        <v>0</v>
      </c>
      <c r="BD5" s="19" t="e">
        <f>+BC5/N5*100</f>
        <v>#DIV/0!</v>
      </c>
    </row>
    <row r="6" spans="1:56">
      <c r="A6" s="17">
        <v>2</v>
      </c>
      <c r="B6" s="18" t="s">
        <v>9</v>
      </c>
      <c r="C6" s="19">
        <v>21052919</v>
      </c>
      <c r="D6" s="19">
        <v>21052919</v>
      </c>
      <c r="E6" s="19">
        <v>21052919</v>
      </c>
      <c r="F6" s="19"/>
      <c r="G6" s="19"/>
      <c r="H6" s="19"/>
      <c r="I6" s="19"/>
      <c r="J6" s="19"/>
      <c r="K6" s="19"/>
      <c r="L6" s="19"/>
      <c r="M6" s="19"/>
      <c r="N6" s="19"/>
      <c r="P6" s="17">
        <v>2</v>
      </c>
      <c r="Q6" s="18" t="s">
        <v>9</v>
      </c>
      <c r="R6" s="19">
        <v>37786550</v>
      </c>
      <c r="S6" s="19">
        <v>37786550</v>
      </c>
      <c r="T6" s="19">
        <v>37786550</v>
      </c>
      <c r="U6" s="19"/>
      <c r="V6" s="19"/>
      <c r="W6" s="19"/>
      <c r="X6" s="19"/>
      <c r="Y6" s="19"/>
      <c r="Z6" s="19"/>
      <c r="AA6" s="19"/>
      <c r="AB6" s="19"/>
      <c r="AC6" s="19"/>
      <c r="AE6" s="17">
        <v>2</v>
      </c>
      <c r="AF6" s="18" t="s">
        <v>9</v>
      </c>
      <c r="AG6" s="19">
        <f t="shared" ref="AG6:AG10" si="0">+C6-R6</f>
        <v>-16733631</v>
      </c>
      <c r="AH6" s="19">
        <f t="shared" ref="AH6:AH10" si="1">+AG6/C6*100</f>
        <v>-79.483662099303189</v>
      </c>
      <c r="AI6" s="19">
        <f t="shared" ref="AI6:AI10" si="2">+D6-S6</f>
        <v>-16733631</v>
      </c>
      <c r="AJ6" s="19">
        <f t="shared" ref="AJ6:AJ10" si="3">+AI6/D6*100</f>
        <v>-79.483662099303189</v>
      </c>
      <c r="AK6" s="19">
        <f t="shared" ref="AK6:AK10" si="4">+E6-T6</f>
        <v>-16733631</v>
      </c>
      <c r="AL6" s="19">
        <f t="shared" ref="AL6:AL10" si="5">+AK6/E6*100</f>
        <v>-79.483662099303189</v>
      </c>
      <c r="AM6" s="19">
        <f t="shared" ref="AM6:AM10" si="6">+F6-U6</f>
        <v>0</v>
      </c>
      <c r="AN6" s="19" t="e">
        <f t="shared" ref="AN6:AN10" si="7">+AM6/F6*100</f>
        <v>#DIV/0!</v>
      </c>
      <c r="AO6" s="19">
        <f t="shared" ref="AO6:AO10" si="8">+G6-V6</f>
        <v>0</v>
      </c>
      <c r="AP6" s="19" t="e">
        <f t="shared" ref="AP6:AP10" si="9">+AO6/G6*100</f>
        <v>#DIV/0!</v>
      </c>
      <c r="AQ6" s="19">
        <f t="shared" ref="AQ6:AQ10" si="10">+H6-W6</f>
        <v>0</v>
      </c>
      <c r="AR6" s="19" t="e">
        <f t="shared" ref="AR6:AR10" si="11">+AQ6/H6*100</f>
        <v>#DIV/0!</v>
      </c>
      <c r="AS6" s="19">
        <f t="shared" ref="AS6:AS10" si="12">+I6-X6</f>
        <v>0</v>
      </c>
      <c r="AT6" s="19" t="e">
        <f t="shared" ref="AT6:AT10" si="13">+AS6/I6*100</f>
        <v>#DIV/0!</v>
      </c>
      <c r="AU6" s="19">
        <f t="shared" ref="AU6:AU10" si="14">+J6-Y6</f>
        <v>0</v>
      </c>
      <c r="AV6" s="19" t="e">
        <f t="shared" ref="AV6:AV10" si="15">+AU6/J6*100</f>
        <v>#DIV/0!</v>
      </c>
      <c r="AW6" s="19">
        <f t="shared" ref="AW6:AW10" si="16">+K6-Z6</f>
        <v>0</v>
      </c>
      <c r="AX6" s="19" t="e">
        <f t="shared" ref="AX6:AX10" si="17">+AW6/K6*100</f>
        <v>#DIV/0!</v>
      </c>
      <c r="AY6" s="19">
        <f t="shared" ref="AY6:AY10" si="18">+L6-AA6</f>
        <v>0</v>
      </c>
      <c r="AZ6" s="19" t="e">
        <f t="shared" ref="AZ6:AZ10" si="19">+AY6/L6*100</f>
        <v>#DIV/0!</v>
      </c>
      <c r="BA6" s="19">
        <f t="shared" ref="BA6:BA10" si="20">+M6-AB6</f>
        <v>0</v>
      </c>
      <c r="BB6" s="19" t="e">
        <f t="shared" ref="BB6:BB10" si="21">+BA6/M6*100</f>
        <v>#DIV/0!</v>
      </c>
      <c r="BC6" s="19">
        <f t="shared" ref="BC6:BC10" si="22">+N6-AC6</f>
        <v>0</v>
      </c>
      <c r="BD6" s="19" t="e">
        <f t="shared" ref="BD6:BD10" si="23">+BC6/N6*100</f>
        <v>#DIV/0!</v>
      </c>
    </row>
    <row r="7" spans="1:56">
      <c r="A7" s="17">
        <v>3</v>
      </c>
      <c r="B7" s="18" t="s">
        <v>11</v>
      </c>
      <c r="C7" s="19">
        <v>9444700</v>
      </c>
      <c r="D7" s="19">
        <v>9444700</v>
      </c>
      <c r="E7" s="19">
        <v>9444700</v>
      </c>
      <c r="F7" s="19"/>
      <c r="G7" s="19"/>
      <c r="H7" s="19"/>
      <c r="I7" s="19"/>
      <c r="J7" s="19"/>
      <c r="K7" s="19"/>
      <c r="L7" s="19"/>
      <c r="M7" s="19"/>
      <c r="N7" s="19"/>
      <c r="P7" s="17">
        <v>3</v>
      </c>
      <c r="Q7" s="18" t="s">
        <v>11</v>
      </c>
      <c r="R7" s="19">
        <v>10919471</v>
      </c>
      <c r="S7" s="19">
        <v>10919471</v>
      </c>
      <c r="T7" s="19">
        <v>10919471</v>
      </c>
      <c r="U7" s="19"/>
      <c r="V7" s="19"/>
      <c r="W7" s="19"/>
      <c r="X7" s="19"/>
      <c r="Y7" s="19"/>
      <c r="Z7" s="19"/>
      <c r="AA7" s="19"/>
      <c r="AB7" s="19"/>
      <c r="AC7" s="19"/>
      <c r="AE7" s="17">
        <v>3</v>
      </c>
      <c r="AF7" s="18" t="s">
        <v>11</v>
      </c>
      <c r="AG7" s="19">
        <f t="shared" si="0"/>
        <v>-1474771</v>
      </c>
      <c r="AH7" s="19">
        <f t="shared" si="1"/>
        <v>-15.614799834828</v>
      </c>
      <c r="AI7" s="19">
        <f t="shared" si="2"/>
        <v>-1474771</v>
      </c>
      <c r="AJ7" s="19">
        <f t="shared" si="3"/>
        <v>-15.614799834828</v>
      </c>
      <c r="AK7" s="19">
        <f t="shared" si="4"/>
        <v>-1474771</v>
      </c>
      <c r="AL7" s="19">
        <f t="shared" si="5"/>
        <v>-15.614799834828</v>
      </c>
      <c r="AM7" s="19">
        <f t="shared" si="6"/>
        <v>0</v>
      </c>
      <c r="AN7" s="19" t="e">
        <f t="shared" si="7"/>
        <v>#DIV/0!</v>
      </c>
      <c r="AO7" s="19">
        <f t="shared" si="8"/>
        <v>0</v>
      </c>
      <c r="AP7" s="19" t="e">
        <f t="shared" si="9"/>
        <v>#DIV/0!</v>
      </c>
      <c r="AQ7" s="19">
        <f t="shared" si="10"/>
        <v>0</v>
      </c>
      <c r="AR7" s="19" t="e">
        <f t="shared" si="11"/>
        <v>#DIV/0!</v>
      </c>
      <c r="AS7" s="19">
        <f t="shared" si="12"/>
        <v>0</v>
      </c>
      <c r="AT7" s="19" t="e">
        <f t="shared" si="13"/>
        <v>#DIV/0!</v>
      </c>
      <c r="AU7" s="19">
        <f t="shared" si="14"/>
        <v>0</v>
      </c>
      <c r="AV7" s="19" t="e">
        <f t="shared" si="15"/>
        <v>#DIV/0!</v>
      </c>
      <c r="AW7" s="19">
        <f t="shared" si="16"/>
        <v>0</v>
      </c>
      <c r="AX7" s="19" t="e">
        <f t="shared" si="17"/>
        <v>#DIV/0!</v>
      </c>
      <c r="AY7" s="19">
        <f t="shared" si="18"/>
        <v>0</v>
      </c>
      <c r="AZ7" s="19" t="e">
        <f t="shared" si="19"/>
        <v>#DIV/0!</v>
      </c>
      <c r="BA7" s="19">
        <f t="shared" si="20"/>
        <v>0</v>
      </c>
      <c r="BB7" s="19" t="e">
        <f t="shared" si="21"/>
        <v>#DIV/0!</v>
      </c>
      <c r="BC7" s="19">
        <f t="shared" si="22"/>
        <v>0</v>
      </c>
      <c r="BD7" s="19" t="e">
        <f t="shared" si="23"/>
        <v>#DIV/0!</v>
      </c>
    </row>
    <row r="8" spans="1:56">
      <c r="A8" s="17">
        <v>4</v>
      </c>
      <c r="B8" s="18" t="s">
        <v>13</v>
      </c>
      <c r="C8" s="19">
        <v>19227999.120000001</v>
      </c>
      <c r="D8" s="19">
        <v>19227999.120000001</v>
      </c>
      <c r="E8" s="19">
        <v>19227999.120000001</v>
      </c>
      <c r="F8" s="19"/>
      <c r="G8" s="19"/>
      <c r="H8" s="19"/>
      <c r="I8" s="19"/>
      <c r="J8" s="19"/>
      <c r="K8" s="19"/>
      <c r="L8" s="19"/>
      <c r="M8" s="19"/>
      <c r="N8" s="19"/>
      <c r="P8" s="17">
        <v>4</v>
      </c>
      <c r="Q8" s="18" t="s">
        <v>13</v>
      </c>
      <c r="R8" s="19">
        <v>5219200</v>
      </c>
      <c r="S8" s="19">
        <v>5219200</v>
      </c>
      <c r="T8" s="19">
        <v>5219200</v>
      </c>
      <c r="U8" s="19"/>
      <c r="V8" s="19"/>
      <c r="W8" s="19"/>
      <c r="X8" s="19"/>
      <c r="Y8" s="19"/>
      <c r="Z8" s="19"/>
      <c r="AA8" s="19"/>
      <c r="AB8" s="19"/>
      <c r="AC8" s="19"/>
      <c r="AE8" s="17">
        <v>4</v>
      </c>
      <c r="AF8" s="18" t="s">
        <v>13</v>
      </c>
      <c r="AG8" s="19">
        <f t="shared" si="0"/>
        <v>14008799.120000001</v>
      </c>
      <c r="AH8" s="19">
        <f t="shared" si="1"/>
        <v>72.856250057910344</v>
      </c>
      <c r="AI8" s="19">
        <f t="shared" si="2"/>
        <v>14008799.120000001</v>
      </c>
      <c r="AJ8" s="19">
        <f t="shared" si="3"/>
        <v>72.856250057910344</v>
      </c>
      <c r="AK8" s="19">
        <f t="shared" si="4"/>
        <v>14008799.120000001</v>
      </c>
      <c r="AL8" s="19">
        <f t="shared" si="5"/>
        <v>72.856250057910344</v>
      </c>
      <c r="AM8" s="19">
        <f t="shared" si="6"/>
        <v>0</v>
      </c>
      <c r="AN8" s="19" t="e">
        <f t="shared" si="7"/>
        <v>#DIV/0!</v>
      </c>
      <c r="AO8" s="19">
        <f t="shared" si="8"/>
        <v>0</v>
      </c>
      <c r="AP8" s="19" t="e">
        <f t="shared" si="9"/>
        <v>#DIV/0!</v>
      </c>
      <c r="AQ8" s="19">
        <f t="shared" si="10"/>
        <v>0</v>
      </c>
      <c r="AR8" s="19" t="e">
        <f t="shared" si="11"/>
        <v>#DIV/0!</v>
      </c>
      <c r="AS8" s="19">
        <f t="shared" si="12"/>
        <v>0</v>
      </c>
      <c r="AT8" s="19" t="e">
        <f t="shared" si="13"/>
        <v>#DIV/0!</v>
      </c>
      <c r="AU8" s="19">
        <f t="shared" si="14"/>
        <v>0</v>
      </c>
      <c r="AV8" s="19" t="e">
        <f t="shared" si="15"/>
        <v>#DIV/0!</v>
      </c>
      <c r="AW8" s="19">
        <f t="shared" si="16"/>
        <v>0</v>
      </c>
      <c r="AX8" s="19" t="e">
        <f t="shared" si="17"/>
        <v>#DIV/0!</v>
      </c>
      <c r="AY8" s="19">
        <f t="shared" si="18"/>
        <v>0</v>
      </c>
      <c r="AZ8" s="19" t="e">
        <f t="shared" si="19"/>
        <v>#DIV/0!</v>
      </c>
      <c r="BA8" s="19">
        <f t="shared" si="20"/>
        <v>0</v>
      </c>
      <c r="BB8" s="19" t="e">
        <f t="shared" si="21"/>
        <v>#DIV/0!</v>
      </c>
      <c r="BC8" s="19">
        <f t="shared" si="22"/>
        <v>0</v>
      </c>
      <c r="BD8" s="19" t="e">
        <f t="shared" si="23"/>
        <v>#DIV/0!</v>
      </c>
    </row>
    <row r="9" spans="1:56">
      <c r="A9" s="17">
        <v>5</v>
      </c>
      <c r="B9" s="18" t="s">
        <v>15</v>
      </c>
      <c r="C9" s="19">
        <v>1430000</v>
      </c>
      <c r="D9" s="19">
        <v>1430000</v>
      </c>
      <c r="E9" s="19">
        <v>1430000</v>
      </c>
      <c r="F9" s="19"/>
      <c r="G9" s="19"/>
      <c r="H9" s="19"/>
      <c r="I9" s="19"/>
      <c r="J9" s="19"/>
      <c r="K9" s="19"/>
      <c r="L9" s="19"/>
      <c r="M9" s="19"/>
      <c r="N9" s="19"/>
      <c r="P9" s="17">
        <v>5</v>
      </c>
      <c r="Q9" s="18" t="s">
        <v>15</v>
      </c>
      <c r="R9" s="19">
        <v>2650156</v>
      </c>
      <c r="S9" s="19">
        <v>2650156</v>
      </c>
      <c r="T9" s="19">
        <v>2650156</v>
      </c>
      <c r="U9" s="19"/>
      <c r="V9" s="19"/>
      <c r="W9" s="19"/>
      <c r="X9" s="19"/>
      <c r="Y9" s="19"/>
      <c r="Z9" s="19"/>
      <c r="AA9" s="19"/>
      <c r="AB9" s="19"/>
      <c r="AC9" s="19"/>
      <c r="AE9" s="17">
        <v>5</v>
      </c>
      <c r="AF9" s="18" t="s">
        <v>15</v>
      </c>
      <c r="AG9" s="19">
        <f t="shared" si="0"/>
        <v>-1220156</v>
      </c>
      <c r="AH9" s="19">
        <f t="shared" si="1"/>
        <v>-85.325594405594401</v>
      </c>
      <c r="AI9" s="19">
        <f t="shared" si="2"/>
        <v>-1220156</v>
      </c>
      <c r="AJ9" s="19">
        <f t="shared" si="3"/>
        <v>-85.325594405594401</v>
      </c>
      <c r="AK9" s="19">
        <f t="shared" si="4"/>
        <v>-1220156</v>
      </c>
      <c r="AL9" s="19">
        <f t="shared" si="5"/>
        <v>-85.325594405594401</v>
      </c>
      <c r="AM9" s="19">
        <f t="shared" si="6"/>
        <v>0</v>
      </c>
      <c r="AN9" s="19" t="e">
        <f t="shared" si="7"/>
        <v>#DIV/0!</v>
      </c>
      <c r="AO9" s="19">
        <f t="shared" si="8"/>
        <v>0</v>
      </c>
      <c r="AP9" s="19" t="e">
        <f t="shared" si="9"/>
        <v>#DIV/0!</v>
      </c>
      <c r="AQ9" s="19">
        <f t="shared" si="10"/>
        <v>0</v>
      </c>
      <c r="AR9" s="19" t="e">
        <f t="shared" si="11"/>
        <v>#DIV/0!</v>
      </c>
      <c r="AS9" s="19">
        <f t="shared" si="12"/>
        <v>0</v>
      </c>
      <c r="AT9" s="19" t="e">
        <f t="shared" si="13"/>
        <v>#DIV/0!</v>
      </c>
      <c r="AU9" s="19">
        <f t="shared" si="14"/>
        <v>0</v>
      </c>
      <c r="AV9" s="19" t="e">
        <f t="shared" si="15"/>
        <v>#DIV/0!</v>
      </c>
      <c r="AW9" s="19">
        <f t="shared" si="16"/>
        <v>0</v>
      </c>
      <c r="AX9" s="19" t="e">
        <f t="shared" si="17"/>
        <v>#DIV/0!</v>
      </c>
      <c r="AY9" s="19">
        <f t="shared" si="18"/>
        <v>0</v>
      </c>
      <c r="AZ9" s="19" t="e">
        <f t="shared" si="19"/>
        <v>#DIV/0!</v>
      </c>
      <c r="BA9" s="19">
        <f t="shared" si="20"/>
        <v>0</v>
      </c>
      <c r="BB9" s="19" t="e">
        <f t="shared" si="21"/>
        <v>#DIV/0!</v>
      </c>
      <c r="BC9" s="19">
        <f t="shared" si="22"/>
        <v>0</v>
      </c>
      <c r="BD9" s="19" t="e">
        <f t="shared" si="23"/>
        <v>#DIV/0!</v>
      </c>
    </row>
    <row r="10" spans="1:56" s="22" customFormat="1" ht="25.2" thickBot="1">
      <c r="A10" s="20"/>
      <c r="B10" s="20" t="s">
        <v>17</v>
      </c>
      <c r="C10" s="21">
        <f>SUM(C5:C9)</f>
        <v>51155618.120000005</v>
      </c>
      <c r="D10" s="21">
        <f t="shared" ref="D10:N10" si="24">SUM(D5:D9)</f>
        <v>51155618.120000005</v>
      </c>
      <c r="E10" s="21">
        <f t="shared" si="24"/>
        <v>51155618.120000005</v>
      </c>
      <c r="F10" s="21">
        <f t="shared" si="24"/>
        <v>0</v>
      </c>
      <c r="G10" s="21">
        <f t="shared" si="24"/>
        <v>0</v>
      </c>
      <c r="H10" s="21">
        <f t="shared" si="24"/>
        <v>0</v>
      </c>
      <c r="I10" s="21">
        <f t="shared" si="24"/>
        <v>0</v>
      </c>
      <c r="J10" s="21">
        <f t="shared" si="24"/>
        <v>0</v>
      </c>
      <c r="K10" s="21">
        <f t="shared" si="24"/>
        <v>0</v>
      </c>
      <c r="L10" s="21">
        <f t="shared" si="24"/>
        <v>0</v>
      </c>
      <c r="M10" s="21">
        <f t="shared" si="24"/>
        <v>0</v>
      </c>
      <c r="N10" s="21">
        <f t="shared" si="24"/>
        <v>0</v>
      </c>
      <c r="P10" s="20"/>
      <c r="Q10" s="20" t="s">
        <v>17</v>
      </c>
      <c r="R10" s="21">
        <f>SUM(R5:R9)</f>
        <v>56575377</v>
      </c>
      <c r="S10" s="21">
        <f t="shared" ref="S10:AC10" si="25">SUM(S5:S9)</f>
        <v>56575377</v>
      </c>
      <c r="T10" s="21">
        <f t="shared" si="25"/>
        <v>56575377</v>
      </c>
      <c r="U10" s="21">
        <f t="shared" si="25"/>
        <v>0</v>
      </c>
      <c r="V10" s="21">
        <f t="shared" si="25"/>
        <v>0</v>
      </c>
      <c r="W10" s="21">
        <f t="shared" si="25"/>
        <v>0</v>
      </c>
      <c r="X10" s="21">
        <f t="shared" si="25"/>
        <v>0</v>
      </c>
      <c r="Y10" s="21">
        <f t="shared" si="25"/>
        <v>0</v>
      </c>
      <c r="Z10" s="21">
        <f t="shared" si="25"/>
        <v>0</v>
      </c>
      <c r="AA10" s="21">
        <f t="shared" si="25"/>
        <v>0</v>
      </c>
      <c r="AB10" s="21">
        <f t="shared" si="25"/>
        <v>0</v>
      </c>
      <c r="AC10" s="21">
        <f t="shared" si="25"/>
        <v>0</v>
      </c>
      <c r="AE10" s="20"/>
      <c r="AF10" s="20" t="s">
        <v>17</v>
      </c>
      <c r="AG10" s="23">
        <f t="shared" si="0"/>
        <v>-5419758.8799999952</v>
      </c>
      <c r="AH10" s="23">
        <f t="shared" si="1"/>
        <v>-10.594650361347242</v>
      </c>
      <c r="AI10" s="23">
        <f t="shared" si="2"/>
        <v>-5419758.8799999952</v>
      </c>
      <c r="AJ10" s="23">
        <f t="shared" si="3"/>
        <v>-10.594650361347242</v>
      </c>
      <c r="AK10" s="23">
        <f t="shared" si="4"/>
        <v>-5419758.8799999952</v>
      </c>
      <c r="AL10" s="23">
        <f t="shared" si="5"/>
        <v>-10.594650361347242</v>
      </c>
      <c r="AM10" s="23">
        <f t="shared" si="6"/>
        <v>0</v>
      </c>
      <c r="AN10" s="23" t="e">
        <f t="shared" si="7"/>
        <v>#DIV/0!</v>
      </c>
      <c r="AO10" s="23">
        <f t="shared" si="8"/>
        <v>0</v>
      </c>
      <c r="AP10" s="23" t="e">
        <f t="shared" si="9"/>
        <v>#DIV/0!</v>
      </c>
      <c r="AQ10" s="23">
        <f t="shared" si="10"/>
        <v>0</v>
      </c>
      <c r="AR10" s="23" t="e">
        <f t="shared" si="11"/>
        <v>#DIV/0!</v>
      </c>
      <c r="AS10" s="23">
        <f t="shared" si="12"/>
        <v>0</v>
      </c>
      <c r="AT10" s="23" t="e">
        <f t="shared" si="13"/>
        <v>#DIV/0!</v>
      </c>
      <c r="AU10" s="23">
        <f t="shared" si="14"/>
        <v>0</v>
      </c>
      <c r="AV10" s="23" t="e">
        <f t="shared" si="15"/>
        <v>#DIV/0!</v>
      </c>
      <c r="AW10" s="23">
        <f t="shared" si="16"/>
        <v>0</v>
      </c>
      <c r="AX10" s="23" t="e">
        <f t="shared" si="17"/>
        <v>#DIV/0!</v>
      </c>
      <c r="AY10" s="23">
        <f t="shared" si="18"/>
        <v>0</v>
      </c>
      <c r="AZ10" s="23" t="e">
        <f t="shared" si="19"/>
        <v>#DIV/0!</v>
      </c>
      <c r="BA10" s="23">
        <f t="shared" si="20"/>
        <v>0</v>
      </c>
      <c r="BB10" s="23" t="e">
        <f t="shared" si="21"/>
        <v>#DIV/0!</v>
      </c>
      <c r="BC10" s="23">
        <f t="shared" si="22"/>
        <v>0</v>
      </c>
      <c r="BD10" s="23" t="e">
        <f t="shared" si="23"/>
        <v>#DIV/0!</v>
      </c>
    </row>
    <row r="11" spans="1:56" ht="25.2" thickTop="1"/>
    <row r="12" spans="1:56">
      <c r="A12" s="37" t="s">
        <v>46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P12" s="37" t="s">
        <v>50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E12" s="37" t="s">
        <v>87</v>
      </c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</row>
    <row r="13" spans="1:56">
      <c r="A13" s="37" t="s">
        <v>1951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P13" s="37" t="s">
        <v>1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E13" s="37" t="s">
        <v>1</v>
      </c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</row>
    <row r="14" spans="1:56" s="15" customFormat="1">
      <c r="A14" s="35" t="s">
        <v>2</v>
      </c>
      <c r="B14" s="35" t="s">
        <v>3</v>
      </c>
      <c r="C14" s="38" t="s">
        <v>4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0"/>
      <c r="P14" s="35" t="s">
        <v>2</v>
      </c>
      <c r="Q14" s="35" t="s">
        <v>3</v>
      </c>
      <c r="R14" s="38" t="s">
        <v>5</v>
      </c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40"/>
      <c r="AE14" s="35" t="s">
        <v>2</v>
      </c>
      <c r="AF14" s="35" t="s">
        <v>3</v>
      </c>
      <c r="AG14" s="33">
        <v>25112</v>
      </c>
      <c r="AH14" s="34"/>
      <c r="AI14" s="33">
        <v>25143</v>
      </c>
      <c r="AJ14" s="34"/>
      <c r="AK14" s="33">
        <v>25173</v>
      </c>
      <c r="AL14" s="34"/>
      <c r="AM14" s="33">
        <v>25204</v>
      </c>
      <c r="AN14" s="34"/>
      <c r="AO14" s="33">
        <v>25235</v>
      </c>
      <c r="AP14" s="34"/>
      <c r="AQ14" s="33">
        <v>25263</v>
      </c>
      <c r="AR14" s="34"/>
      <c r="AS14" s="33">
        <v>25294</v>
      </c>
      <c r="AT14" s="34"/>
      <c r="AU14" s="33">
        <v>25324</v>
      </c>
      <c r="AV14" s="34"/>
      <c r="AW14" s="33">
        <v>25355</v>
      </c>
      <c r="AX14" s="34"/>
      <c r="AY14" s="33">
        <v>25385</v>
      </c>
      <c r="AZ14" s="34"/>
      <c r="BA14" s="33">
        <v>25416</v>
      </c>
      <c r="BB14" s="34"/>
      <c r="BC14" s="33">
        <v>25447</v>
      </c>
      <c r="BD14" s="34"/>
    </row>
    <row r="15" spans="1:56" s="15" customFormat="1">
      <c r="A15" s="36"/>
      <c r="B15" s="36"/>
      <c r="C15" s="16">
        <v>25112</v>
      </c>
      <c r="D15" s="16">
        <v>25143</v>
      </c>
      <c r="E15" s="16">
        <v>25173</v>
      </c>
      <c r="F15" s="16">
        <v>25204</v>
      </c>
      <c r="G15" s="16">
        <v>25235</v>
      </c>
      <c r="H15" s="16">
        <v>25263</v>
      </c>
      <c r="I15" s="16">
        <v>25294</v>
      </c>
      <c r="J15" s="16">
        <v>25324</v>
      </c>
      <c r="K15" s="16">
        <v>25355</v>
      </c>
      <c r="L15" s="16">
        <v>25385</v>
      </c>
      <c r="M15" s="16">
        <v>25416</v>
      </c>
      <c r="N15" s="16">
        <v>25447</v>
      </c>
      <c r="P15" s="36"/>
      <c r="Q15" s="36"/>
      <c r="R15" s="16">
        <v>25112</v>
      </c>
      <c r="S15" s="16">
        <v>25143</v>
      </c>
      <c r="T15" s="16">
        <v>25173</v>
      </c>
      <c r="U15" s="16">
        <v>25204</v>
      </c>
      <c r="V15" s="16">
        <v>25235</v>
      </c>
      <c r="W15" s="16">
        <v>25263</v>
      </c>
      <c r="X15" s="16">
        <v>25294</v>
      </c>
      <c r="Y15" s="16">
        <v>25324</v>
      </c>
      <c r="Z15" s="16">
        <v>25355</v>
      </c>
      <c r="AA15" s="16">
        <v>25385</v>
      </c>
      <c r="AB15" s="16">
        <v>25416</v>
      </c>
      <c r="AC15" s="16">
        <v>25447</v>
      </c>
      <c r="AE15" s="36"/>
      <c r="AF15" s="36"/>
      <c r="AG15" s="16" t="s">
        <v>85</v>
      </c>
      <c r="AH15" s="16" t="s">
        <v>86</v>
      </c>
      <c r="AI15" s="16" t="s">
        <v>85</v>
      </c>
      <c r="AJ15" s="16" t="s">
        <v>86</v>
      </c>
      <c r="AK15" s="16" t="s">
        <v>85</v>
      </c>
      <c r="AL15" s="16" t="s">
        <v>86</v>
      </c>
      <c r="AM15" s="16" t="s">
        <v>85</v>
      </c>
      <c r="AN15" s="16" t="s">
        <v>86</v>
      </c>
      <c r="AO15" s="16" t="s">
        <v>85</v>
      </c>
      <c r="AP15" s="16" t="s">
        <v>86</v>
      </c>
      <c r="AQ15" s="16" t="s">
        <v>85</v>
      </c>
      <c r="AR15" s="16" t="s">
        <v>86</v>
      </c>
      <c r="AS15" s="16" t="s">
        <v>85</v>
      </c>
      <c r="AT15" s="16" t="s">
        <v>86</v>
      </c>
      <c r="AU15" s="16" t="s">
        <v>85</v>
      </c>
      <c r="AV15" s="16" t="s">
        <v>86</v>
      </c>
      <c r="AW15" s="16" t="s">
        <v>85</v>
      </c>
      <c r="AX15" s="16" t="s">
        <v>86</v>
      </c>
      <c r="AY15" s="16" t="s">
        <v>85</v>
      </c>
      <c r="AZ15" s="16" t="s">
        <v>86</v>
      </c>
      <c r="BA15" s="16" t="s">
        <v>85</v>
      </c>
      <c r="BB15" s="16" t="s">
        <v>86</v>
      </c>
      <c r="BC15" s="16" t="s">
        <v>85</v>
      </c>
      <c r="BD15" s="16" t="s">
        <v>86</v>
      </c>
    </row>
    <row r="16" spans="1:56">
      <c r="A16" s="17"/>
      <c r="B16" s="18"/>
      <c r="C16" s="19"/>
      <c r="D16" s="19"/>
      <c r="E16" s="19"/>
      <c r="F16" s="19"/>
      <c r="G16" s="18"/>
      <c r="H16" s="18"/>
      <c r="I16" s="18"/>
      <c r="J16" s="18"/>
      <c r="K16" s="18"/>
      <c r="L16" s="18"/>
      <c r="M16" s="18"/>
      <c r="N16" s="18"/>
      <c r="P16" s="17"/>
      <c r="Q16" s="18"/>
      <c r="R16" s="19"/>
      <c r="S16" s="19"/>
      <c r="T16" s="19"/>
      <c r="U16" s="19"/>
      <c r="V16" s="18"/>
      <c r="W16" s="18"/>
      <c r="X16" s="18"/>
      <c r="Y16" s="18"/>
      <c r="Z16" s="18"/>
      <c r="AA16" s="18"/>
      <c r="AB16" s="18"/>
      <c r="AC16" s="18"/>
      <c r="AE16" s="17"/>
      <c r="AF16" s="18"/>
      <c r="AG16" s="19"/>
      <c r="AH16" s="19"/>
      <c r="AI16" s="19"/>
      <c r="AJ16" s="19"/>
      <c r="AK16" s="19"/>
      <c r="AL16" s="19"/>
      <c r="AM16" s="19"/>
      <c r="AN16" s="19"/>
      <c r="AO16" s="18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</row>
    <row r="17" spans="1:56">
      <c r="A17" s="17">
        <v>1</v>
      </c>
      <c r="B17" s="18" t="s">
        <v>10</v>
      </c>
      <c r="C17" s="19">
        <v>15881381.6</v>
      </c>
      <c r="D17" s="19">
        <v>15907140.52</v>
      </c>
      <c r="E17" s="19">
        <v>15933758.08</v>
      </c>
      <c r="F17" s="19"/>
      <c r="G17" s="18"/>
      <c r="H17" s="18"/>
      <c r="I17" s="18"/>
      <c r="J17" s="18"/>
      <c r="K17" s="18"/>
      <c r="L17" s="18"/>
      <c r="M17" s="18"/>
      <c r="N17" s="18"/>
      <c r="P17" s="17">
        <v>1</v>
      </c>
      <c r="Q17" s="18" t="s">
        <v>10</v>
      </c>
      <c r="R17" s="19">
        <v>21290057.170000002</v>
      </c>
      <c r="S17" s="19">
        <v>21371954</v>
      </c>
      <c r="T17" s="19">
        <v>21453850.829999998</v>
      </c>
      <c r="U17" s="19"/>
      <c r="V17" s="18"/>
      <c r="W17" s="18"/>
      <c r="X17" s="18"/>
      <c r="Y17" s="18"/>
      <c r="Z17" s="18"/>
      <c r="AA17" s="18"/>
      <c r="AB17" s="18"/>
      <c r="AC17" s="18"/>
      <c r="AE17" s="17">
        <v>1</v>
      </c>
      <c r="AF17" s="18" t="s">
        <v>10</v>
      </c>
      <c r="AG17" s="19">
        <f t="shared" ref="AG17:AG21" si="26">+C17-R17</f>
        <v>-5408675.5700000022</v>
      </c>
      <c r="AH17" s="19">
        <f t="shared" ref="AH17:AH21" si="27">+AG17/C17*100</f>
        <v>-34.056706816993824</v>
      </c>
      <c r="AI17" s="19">
        <f t="shared" ref="AI17:AI21" si="28">+D17-S17</f>
        <v>-5464813.4800000004</v>
      </c>
      <c r="AJ17" s="19">
        <f t="shared" ref="AJ17:AJ21" si="29">+AI17/D17*100</f>
        <v>-34.354467876417552</v>
      </c>
      <c r="AK17" s="19">
        <f t="shared" ref="AK17:AK21" si="30">+E17-T17</f>
        <v>-5520092.7499999981</v>
      </c>
      <c r="AL17" s="19">
        <f t="shared" ref="AL17:AL21" si="31">+AK17/E17*100</f>
        <v>-34.644010046373182</v>
      </c>
      <c r="AM17" s="19">
        <f t="shared" ref="AM17:AM21" si="32">+F17-U17</f>
        <v>0</v>
      </c>
      <c r="AN17" s="19" t="e">
        <f t="shared" ref="AN17:AN21" si="33">+AM17/F17*100</f>
        <v>#DIV/0!</v>
      </c>
      <c r="AO17" s="19">
        <f t="shared" ref="AO17:AO21" si="34">+G17-V17</f>
        <v>0</v>
      </c>
      <c r="AP17" s="19" t="e">
        <f t="shared" ref="AP17:AP21" si="35">+AO17/G17*100</f>
        <v>#DIV/0!</v>
      </c>
      <c r="AQ17" s="19">
        <f t="shared" ref="AQ17:AQ21" si="36">+H17-W17</f>
        <v>0</v>
      </c>
      <c r="AR17" s="19" t="e">
        <f t="shared" ref="AR17:AR21" si="37">+AQ17/H17*100</f>
        <v>#DIV/0!</v>
      </c>
      <c r="AS17" s="19">
        <f t="shared" ref="AS17:AS21" si="38">+I17-X17</f>
        <v>0</v>
      </c>
      <c r="AT17" s="19" t="e">
        <f t="shared" ref="AT17:AT21" si="39">+AS17/I17*100</f>
        <v>#DIV/0!</v>
      </c>
      <c r="AU17" s="19">
        <f t="shared" ref="AU17:AU21" si="40">+J17-Y17</f>
        <v>0</v>
      </c>
      <c r="AV17" s="19" t="e">
        <f t="shared" ref="AV17:AV21" si="41">+AU17/J17*100</f>
        <v>#DIV/0!</v>
      </c>
      <c r="AW17" s="19">
        <f t="shared" ref="AW17:AW21" si="42">+K17-Z17</f>
        <v>0</v>
      </c>
      <c r="AX17" s="19" t="e">
        <f t="shared" ref="AX17:AX21" si="43">+AW17/K17*100</f>
        <v>#DIV/0!</v>
      </c>
      <c r="AY17" s="19">
        <f t="shared" ref="AY17:AY21" si="44">+L17-AA17</f>
        <v>0</v>
      </c>
      <c r="AZ17" s="19" t="e">
        <f t="shared" ref="AZ17:AZ21" si="45">+AY17/L17*100</f>
        <v>#DIV/0!</v>
      </c>
      <c r="BA17" s="19">
        <f t="shared" ref="BA17:BA21" si="46">+M17-AB17</f>
        <v>0</v>
      </c>
      <c r="BB17" s="19" t="e">
        <f t="shared" ref="BB17:BB21" si="47">+BA17/M17*100</f>
        <v>#DIV/0!</v>
      </c>
      <c r="BC17" s="19">
        <f t="shared" ref="BC17:BC21" si="48">+N17-AC17</f>
        <v>0</v>
      </c>
      <c r="BD17" s="19" t="e">
        <f t="shared" ref="BD17:BD21" si="49">+BC17/N17*100</f>
        <v>#DIV/0!</v>
      </c>
    </row>
    <row r="18" spans="1:56">
      <c r="A18" s="17">
        <v>2</v>
      </c>
      <c r="B18" s="18" t="s">
        <v>12</v>
      </c>
      <c r="C18" s="19">
        <v>9444688</v>
      </c>
      <c r="D18" s="19">
        <v>9444688</v>
      </c>
      <c r="E18" s="19">
        <v>9444688</v>
      </c>
      <c r="F18" s="19"/>
      <c r="G18" s="18"/>
      <c r="H18" s="18"/>
      <c r="I18" s="18"/>
      <c r="J18" s="18"/>
      <c r="K18" s="18"/>
      <c r="L18" s="18"/>
      <c r="M18" s="18"/>
      <c r="N18" s="18"/>
      <c r="P18" s="17">
        <v>2</v>
      </c>
      <c r="Q18" s="18" t="s">
        <v>12</v>
      </c>
      <c r="R18" s="19">
        <v>10919459</v>
      </c>
      <c r="S18" s="19">
        <v>10919459</v>
      </c>
      <c r="T18" s="19">
        <v>10919459</v>
      </c>
      <c r="U18" s="19"/>
      <c r="V18" s="18"/>
      <c r="W18" s="18"/>
      <c r="X18" s="18"/>
      <c r="Y18" s="18"/>
      <c r="Z18" s="18"/>
      <c r="AA18" s="18"/>
      <c r="AB18" s="18"/>
      <c r="AC18" s="18"/>
      <c r="AE18" s="17">
        <v>2</v>
      </c>
      <c r="AF18" s="18" t="s">
        <v>12</v>
      </c>
      <c r="AG18" s="19">
        <f t="shared" si="26"/>
        <v>-1474771</v>
      </c>
      <c r="AH18" s="19">
        <f t="shared" si="27"/>
        <v>-15.614819674297339</v>
      </c>
      <c r="AI18" s="19">
        <f t="shared" si="28"/>
        <v>-1474771</v>
      </c>
      <c r="AJ18" s="19">
        <f t="shared" si="29"/>
        <v>-15.614819674297339</v>
      </c>
      <c r="AK18" s="19">
        <f t="shared" si="30"/>
        <v>-1474771</v>
      </c>
      <c r="AL18" s="19">
        <f t="shared" si="31"/>
        <v>-15.614819674297339</v>
      </c>
      <c r="AM18" s="19">
        <f t="shared" si="32"/>
        <v>0</v>
      </c>
      <c r="AN18" s="19" t="e">
        <f t="shared" si="33"/>
        <v>#DIV/0!</v>
      </c>
      <c r="AO18" s="19">
        <f t="shared" si="34"/>
        <v>0</v>
      </c>
      <c r="AP18" s="19" t="e">
        <f t="shared" si="35"/>
        <v>#DIV/0!</v>
      </c>
      <c r="AQ18" s="19">
        <f t="shared" si="36"/>
        <v>0</v>
      </c>
      <c r="AR18" s="19" t="e">
        <f t="shared" si="37"/>
        <v>#DIV/0!</v>
      </c>
      <c r="AS18" s="19">
        <f t="shared" si="38"/>
        <v>0</v>
      </c>
      <c r="AT18" s="19" t="e">
        <f t="shared" si="39"/>
        <v>#DIV/0!</v>
      </c>
      <c r="AU18" s="19">
        <f t="shared" si="40"/>
        <v>0</v>
      </c>
      <c r="AV18" s="19" t="e">
        <f t="shared" si="41"/>
        <v>#DIV/0!</v>
      </c>
      <c r="AW18" s="19">
        <f t="shared" si="42"/>
        <v>0</v>
      </c>
      <c r="AX18" s="19" t="e">
        <f t="shared" si="43"/>
        <v>#DIV/0!</v>
      </c>
      <c r="AY18" s="19">
        <f t="shared" si="44"/>
        <v>0</v>
      </c>
      <c r="AZ18" s="19" t="e">
        <f t="shared" si="45"/>
        <v>#DIV/0!</v>
      </c>
      <c r="BA18" s="19">
        <f t="shared" si="46"/>
        <v>0</v>
      </c>
      <c r="BB18" s="19" t="e">
        <f t="shared" si="47"/>
        <v>#DIV/0!</v>
      </c>
      <c r="BC18" s="19">
        <f t="shared" si="48"/>
        <v>0</v>
      </c>
      <c r="BD18" s="19" t="e">
        <f t="shared" si="49"/>
        <v>#DIV/0!</v>
      </c>
    </row>
    <row r="19" spans="1:56">
      <c r="A19" s="17">
        <v>3</v>
      </c>
      <c r="B19" s="18" t="s">
        <v>14</v>
      </c>
      <c r="C19" s="19">
        <v>4282162.3600000003</v>
      </c>
      <c r="D19" s="19">
        <v>4342865.9400000004</v>
      </c>
      <c r="E19" s="19">
        <v>4405592.9800000004</v>
      </c>
      <c r="F19" s="19"/>
      <c r="G19" s="18"/>
      <c r="H19" s="18"/>
      <c r="I19" s="18"/>
      <c r="J19" s="18"/>
      <c r="K19" s="18"/>
      <c r="L19" s="18"/>
      <c r="M19" s="18"/>
      <c r="N19" s="18"/>
      <c r="P19" s="17">
        <v>3</v>
      </c>
      <c r="Q19" s="18" t="s">
        <v>14</v>
      </c>
      <c r="R19" s="19">
        <v>4401967.34</v>
      </c>
      <c r="S19" s="19">
        <v>4406074</v>
      </c>
      <c r="T19" s="19">
        <v>4410180.67</v>
      </c>
      <c r="U19" s="19"/>
      <c r="V19" s="18"/>
      <c r="W19" s="18"/>
      <c r="X19" s="18"/>
      <c r="Y19" s="18"/>
      <c r="Z19" s="18"/>
      <c r="AA19" s="18"/>
      <c r="AB19" s="18"/>
      <c r="AC19" s="18"/>
      <c r="AE19" s="17">
        <v>3</v>
      </c>
      <c r="AF19" s="18" t="s">
        <v>14</v>
      </c>
      <c r="AG19" s="19">
        <f t="shared" si="26"/>
        <v>-119804.97999999952</v>
      </c>
      <c r="AH19" s="19">
        <f t="shared" si="27"/>
        <v>-2.7977682751851454</v>
      </c>
      <c r="AI19" s="19">
        <f t="shared" si="28"/>
        <v>-63208.05999999959</v>
      </c>
      <c r="AJ19" s="19">
        <f t="shared" si="29"/>
        <v>-1.4554458017647118</v>
      </c>
      <c r="AK19" s="19">
        <f t="shared" si="30"/>
        <v>-4587.6899999994785</v>
      </c>
      <c r="AL19" s="19">
        <f t="shared" si="31"/>
        <v>-0.1041333146485874</v>
      </c>
      <c r="AM19" s="19">
        <f t="shared" si="32"/>
        <v>0</v>
      </c>
      <c r="AN19" s="19" t="e">
        <f t="shared" si="33"/>
        <v>#DIV/0!</v>
      </c>
      <c r="AO19" s="19">
        <f t="shared" si="34"/>
        <v>0</v>
      </c>
      <c r="AP19" s="19" t="e">
        <f t="shared" si="35"/>
        <v>#DIV/0!</v>
      </c>
      <c r="AQ19" s="19">
        <f t="shared" si="36"/>
        <v>0</v>
      </c>
      <c r="AR19" s="19" t="e">
        <f t="shared" si="37"/>
        <v>#DIV/0!</v>
      </c>
      <c r="AS19" s="19">
        <f t="shared" si="38"/>
        <v>0</v>
      </c>
      <c r="AT19" s="19" t="e">
        <f t="shared" si="39"/>
        <v>#DIV/0!</v>
      </c>
      <c r="AU19" s="19">
        <f t="shared" si="40"/>
        <v>0</v>
      </c>
      <c r="AV19" s="19" t="e">
        <f t="shared" si="41"/>
        <v>#DIV/0!</v>
      </c>
      <c r="AW19" s="19">
        <f t="shared" si="42"/>
        <v>0</v>
      </c>
      <c r="AX19" s="19" t="e">
        <f t="shared" si="43"/>
        <v>#DIV/0!</v>
      </c>
      <c r="AY19" s="19">
        <f t="shared" si="44"/>
        <v>0</v>
      </c>
      <c r="AZ19" s="19" t="e">
        <f t="shared" si="45"/>
        <v>#DIV/0!</v>
      </c>
      <c r="BA19" s="19">
        <f t="shared" si="46"/>
        <v>0</v>
      </c>
      <c r="BB19" s="19" t="e">
        <f t="shared" si="47"/>
        <v>#DIV/0!</v>
      </c>
      <c r="BC19" s="19">
        <f t="shared" si="48"/>
        <v>0</v>
      </c>
      <c r="BD19" s="19" t="e">
        <f t="shared" si="49"/>
        <v>#DIV/0!</v>
      </c>
    </row>
    <row r="20" spans="1:56">
      <c r="A20" s="17">
        <v>4</v>
      </c>
      <c r="B20" s="18" t="s">
        <v>16</v>
      </c>
      <c r="C20" s="19">
        <v>1429999</v>
      </c>
      <c r="D20" s="19">
        <v>1429999</v>
      </c>
      <c r="E20" s="19">
        <v>1429999</v>
      </c>
      <c r="F20" s="19"/>
      <c r="G20" s="18"/>
      <c r="H20" s="18"/>
      <c r="I20" s="18"/>
      <c r="J20" s="18"/>
      <c r="K20" s="18"/>
      <c r="L20" s="18"/>
      <c r="M20" s="18"/>
      <c r="N20" s="18"/>
      <c r="P20" s="17">
        <v>4</v>
      </c>
      <c r="Q20" s="18" t="s">
        <v>16</v>
      </c>
      <c r="R20" s="19">
        <v>2400441.7200000002</v>
      </c>
      <c r="S20" s="19">
        <v>2402540.11</v>
      </c>
      <c r="T20" s="19">
        <v>2404638.5</v>
      </c>
      <c r="U20" s="19"/>
      <c r="V20" s="18"/>
      <c r="W20" s="18"/>
      <c r="X20" s="18"/>
      <c r="Y20" s="18"/>
      <c r="Z20" s="18"/>
      <c r="AA20" s="18"/>
      <c r="AB20" s="18"/>
      <c r="AC20" s="18"/>
      <c r="AE20" s="17">
        <v>4</v>
      </c>
      <c r="AF20" s="18" t="s">
        <v>16</v>
      </c>
      <c r="AG20" s="19">
        <f t="shared" si="26"/>
        <v>-970442.7200000002</v>
      </c>
      <c r="AH20" s="19">
        <f t="shared" si="27"/>
        <v>-67.86317472949284</v>
      </c>
      <c r="AI20" s="19">
        <f t="shared" si="28"/>
        <v>-972541.10999999987</v>
      </c>
      <c r="AJ20" s="19">
        <f t="shared" si="29"/>
        <v>-68.009915391549214</v>
      </c>
      <c r="AK20" s="19">
        <f t="shared" si="30"/>
        <v>-974639.5</v>
      </c>
      <c r="AL20" s="19">
        <f t="shared" si="31"/>
        <v>-68.15665605360563</v>
      </c>
      <c r="AM20" s="19">
        <f t="shared" si="32"/>
        <v>0</v>
      </c>
      <c r="AN20" s="19" t="e">
        <f t="shared" si="33"/>
        <v>#DIV/0!</v>
      </c>
      <c r="AO20" s="19">
        <f t="shared" si="34"/>
        <v>0</v>
      </c>
      <c r="AP20" s="19" t="e">
        <f t="shared" si="35"/>
        <v>#DIV/0!</v>
      </c>
      <c r="AQ20" s="19">
        <f t="shared" si="36"/>
        <v>0</v>
      </c>
      <c r="AR20" s="19" t="e">
        <f t="shared" si="37"/>
        <v>#DIV/0!</v>
      </c>
      <c r="AS20" s="19">
        <f t="shared" si="38"/>
        <v>0</v>
      </c>
      <c r="AT20" s="19" t="e">
        <f t="shared" si="39"/>
        <v>#DIV/0!</v>
      </c>
      <c r="AU20" s="19">
        <f t="shared" si="40"/>
        <v>0</v>
      </c>
      <c r="AV20" s="19" t="e">
        <f t="shared" si="41"/>
        <v>#DIV/0!</v>
      </c>
      <c r="AW20" s="19">
        <f t="shared" si="42"/>
        <v>0</v>
      </c>
      <c r="AX20" s="19" t="e">
        <f t="shared" si="43"/>
        <v>#DIV/0!</v>
      </c>
      <c r="AY20" s="19">
        <f t="shared" si="44"/>
        <v>0</v>
      </c>
      <c r="AZ20" s="19" t="e">
        <f t="shared" si="45"/>
        <v>#DIV/0!</v>
      </c>
      <c r="BA20" s="19">
        <f t="shared" si="46"/>
        <v>0</v>
      </c>
      <c r="BB20" s="19" t="e">
        <f t="shared" si="47"/>
        <v>#DIV/0!</v>
      </c>
      <c r="BC20" s="19">
        <f t="shared" si="48"/>
        <v>0</v>
      </c>
      <c r="BD20" s="19" t="e">
        <f t="shared" si="49"/>
        <v>#DIV/0!</v>
      </c>
    </row>
    <row r="21" spans="1:56" ht="25.2" thickBot="1">
      <c r="A21" s="20"/>
      <c r="B21" s="20" t="s">
        <v>17</v>
      </c>
      <c r="C21" s="21">
        <f>SUM(C16:C20)</f>
        <v>31038230.960000001</v>
      </c>
      <c r="D21" s="21">
        <f t="shared" ref="D21:N21" si="50">SUM(D16:D20)</f>
        <v>31124693.460000001</v>
      </c>
      <c r="E21" s="21">
        <f t="shared" si="50"/>
        <v>31214038.059999999</v>
      </c>
      <c r="F21" s="21">
        <f t="shared" si="50"/>
        <v>0</v>
      </c>
      <c r="G21" s="21">
        <f t="shared" si="50"/>
        <v>0</v>
      </c>
      <c r="H21" s="21">
        <f t="shared" si="50"/>
        <v>0</v>
      </c>
      <c r="I21" s="21">
        <f t="shared" si="50"/>
        <v>0</v>
      </c>
      <c r="J21" s="21">
        <f t="shared" si="50"/>
        <v>0</v>
      </c>
      <c r="K21" s="21">
        <f t="shared" si="50"/>
        <v>0</v>
      </c>
      <c r="L21" s="21">
        <f t="shared" si="50"/>
        <v>0</v>
      </c>
      <c r="M21" s="21">
        <f t="shared" si="50"/>
        <v>0</v>
      </c>
      <c r="N21" s="21">
        <f t="shared" si="50"/>
        <v>0</v>
      </c>
      <c r="P21" s="20"/>
      <c r="Q21" s="20" t="s">
        <v>17</v>
      </c>
      <c r="R21" s="21">
        <f>SUM(R16:R20)</f>
        <v>39011925.230000004</v>
      </c>
      <c r="S21" s="21">
        <f t="shared" ref="S21:AC21" si="51">SUM(S16:S20)</f>
        <v>39100027.109999999</v>
      </c>
      <c r="T21" s="21">
        <f t="shared" si="51"/>
        <v>39188129</v>
      </c>
      <c r="U21" s="21">
        <f t="shared" si="51"/>
        <v>0</v>
      </c>
      <c r="V21" s="21">
        <f t="shared" si="51"/>
        <v>0</v>
      </c>
      <c r="W21" s="21">
        <f t="shared" si="51"/>
        <v>0</v>
      </c>
      <c r="X21" s="21">
        <f t="shared" si="51"/>
        <v>0</v>
      </c>
      <c r="Y21" s="21">
        <f t="shared" si="51"/>
        <v>0</v>
      </c>
      <c r="Z21" s="21">
        <f t="shared" si="51"/>
        <v>0</v>
      </c>
      <c r="AA21" s="21">
        <f t="shared" si="51"/>
        <v>0</v>
      </c>
      <c r="AB21" s="21">
        <f t="shared" si="51"/>
        <v>0</v>
      </c>
      <c r="AC21" s="21">
        <f t="shared" si="51"/>
        <v>0</v>
      </c>
      <c r="AE21" s="20"/>
      <c r="AF21" s="20" t="s">
        <v>17</v>
      </c>
      <c r="AG21" s="23">
        <f t="shared" si="26"/>
        <v>-7973694.2700000033</v>
      </c>
      <c r="AH21" s="23">
        <f t="shared" si="27"/>
        <v>-25.689912161153668</v>
      </c>
      <c r="AI21" s="23">
        <f t="shared" si="28"/>
        <v>-7975333.6499999985</v>
      </c>
      <c r="AJ21" s="23">
        <f t="shared" si="29"/>
        <v>-25.623814288322304</v>
      </c>
      <c r="AK21" s="23">
        <f t="shared" si="30"/>
        <v>-7974090.9400000013</v>
      </c>
      <c r="AL21" s="23">
        <f t="shared" si="31"/>
        <v>-25.546489450266279</v>
      </c>
      <c r="AM21" s="23">
        <f t="shared" si="32"/>
        <v>0</v>
      </c>
      <c r="AN21" s="23" t="e">
        <f t="shared" si="33"/>
        <v>#DIV/0!</v>
      </c>
      <c r="AO21" s="23">
        <f t="shared" si="34"/>
        <v>0</v>
      </c>
      <c r="AP21" s="23" t="e">
        <f t="shared" si="35"/>
        <v>#DIV/0!</v>
      </c>
      <c r="AQ21" s="23">
        <f t="shared" si="36"/>
        <v>0</v>
      </c>
      <c r="AR21" s="23" t="e">
        <f t="shared" si="37"/>
        <v>#DIV/0!</v>
      </c>
      <c r="AS21" s="23">
        <f t="shared" si="38"/>
        <v>0</v>
      </c>
      <c r="AT21" s="23" t="e">
        <f t="shared" si="39"/>
        <v>#DIV/0!</v>
      </c>
      <c r="AU21" s="23">
        <f t="shared" si="40"/>
        <v>0</v>
      </c>
      <c r="AV21" s="23" t="e">
        <f t="shared" si="41"/>
        <v>#DIV/0!</v>
      </c>
      <c r="AW21" s="23">
        <f t="shared" si="42"/>
        <v>0</v>
      </c>
      <c r="AX21" s="23" t="e">
        <f t="shared" si="43"/>
        <v>#DIV/0!</v>
      </c>
      <c r="AY21" s="23">
        <f t="shared" si="44"/>
        <v>0</v>
      </c>
      <c r="AZ21" s="23" t="e">
        <f t="shared" si="45"/>
        <v>#DIV/0!</v>
      </c>
      <c r="BA21" s="23">
        <f t="shared" si="46"/>
        <v>0</v>
      </c>
      <c r="BB21" s="23" t="e">
        <f t="shared" si="47"/>
        <v>#DIV/0!</v>
      </c>
      <c r="BC21" s="23">
        <f t="shared" si="48"/>
        <v>0</v>
      </c>
      <c r="BD21" s="23" t="e">
        <f t="shared" si="49"/>
        <v>#DIV/0!</v>
      </c>
    </row>
    <row r="22" spans="1:56" ht="25.2" thickTop="1"/>
    <row r="23" spans="1:56">
      <c r="A23" s="37" t="s">
        <v>47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P23" s="37" t="s">
        <v>51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E23" s="37" t="s">
        <v>88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</row>
    <row r="24" spans="1:56">
      <c r="A24" s="37" t="s">
        <v>1951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P24" s="37" t="s">
        <v>1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E24" s="37" t="s">
        <v>1</v>
      </c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</row>
    <row r="25" spans="1:56" s="25" customFormat="1">
      <c r="A25" s="35" t="s">
        <v>2</v>
      </c>
      <c r="B25" s="35" t="s">
        <v>3</v>
      </c>
      <c r="C25" s="38" t="s">
        <v>4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P25" s="35" t="s">
        <v>2</v>
      </c>
      <c r="Q25" s="35" t="s">
        <v>3</v>
      </c>
      <c r="R25" s="38" t="s">
        <v>5</v>
      </c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/>
      <c r="AE25" s="35" t="s">
        <v>2</v>
      </c>
      <c r="AF25" s="35" t="s">
        <v>3</v>
      </c>
      <c r="AG25" s="33">
        <v>25112</v>
      </c>
      <c r="AH25" s="34"/>
      <c r="AI25" s="33">
        <v>25143</v>
      </c>
      <c r="AJ25" s="34"/>
      <c r="AK25" s="33">
        <v>25173</v>
      </c>
      <c r="AL25" s="34"/>
      <c r="AM25" s="33">
        <v>25204</v>
      </c>
      <c r="AN25" s="34"/>
      <c r="AO25" s="33">
        <v>25235</v>
      </c>
      <c r="AP25" s="34"/>
      <c r="AQ25" s="33">
        <v>25263</v>
      </c>
      <c r="AR25" s="34"/>
      <c r="AS25" s="33">
        <v>25294</v>
      </c>
      <c r="AT25" s="34"/>
      <c r="AU25" s="33">
        <v>25324</v>
      </c>
      <c r="AV25" s="34"/>
      <c r="AW25" s="33">
        <v>25355</v>
      </c>
      <c r="AX25" s="34"/>
      <c r="AY25" s="33">
        <v>25385</v>
      </c>
      <c r="AZ25" s="34"/>
      <c r="BA25" s="33">
        <v>25416</v>
      </c>
      <c r="BB25" s="34"/>
      <c r="BC25" s="33">
        <v>25447</v>
      </c>
      <c r="BD25" s="34"/>
    </row>
    <row r="26" spans="1:56" s="25" customFormat="1">
      <c r="A26" s="36"/>
      <c r="B26" s="36"/>
      <c r="C26" s="16">
        <v>25112</v>
      </c>
      <c r="D26" s="16">
        <v>25143</v>
      </c>
      <c r="E26" s="16">
        <v>25173</v>
      </c>
      <c r="F26" s="16">
        <v>25204</v>
      </c>
      <c r="G26" s="16">
        <v>25235</v>
      </c>
      <c r="H26" s="16">
        <v>25263</v>
      </c>
      <c r="I26" s="16">
        <v>25294</v>
      </c>
      <c r="J26" s="16">
        <v>25324</v>
      </c>
      <c r="K26" s="16">
        <v>25355</v>
      </c>
      <c r="L26" s="16">
        <v>25385</v>
      </c>
      <c r="M26" s="16">
        <v>25416</v>
      </c>
      <c r="N26" s="16">
        <v>25447</v>
      </c>
      <c r="P26" s="36"/>
      <c r="Q26" s="36"/>
      <c r="R26" s="16">
        <v>25112</v>
      </c>
      <c r="S26" s="16">
        <v>25143</v>
      </c>
      <c r="T26" s="16">
        <v>25173</v>
      </c>
      <c r="U26" s="16">
        <v>25204</v>
      </c>
      <c r="V26" s="16">
        <v>25235</v>
      </c>
      <c r="W26" s="16">
        <v>25263</v>
      </c>
      <c r="X26" s="16">
        <v>25294</v>
      </c>
      <c r="Y26" s="16">
        <v>25324</v>
      </c>
      <c r="Z26" s="16">
        <v>25355</v>
      </c>
      <c r="AA26" s="16">
        <v>25385</v>
      </c>
      <c r="AB26" s="16">
        <v>25416</v>
      </c>
      <c r="AC26" s="16">
        <v>25447</v>
      </c>
      <c r="AE26" s="36"/>
      <c r="AF26" s="36"/>
      <c r="AG26" s="16" t="s">
        <v>85</v>
      </c>
      <c r="AH26" s="16" t="s">
        <v>86</v>
      </c>
      <c r="AI26" s="16" t="s">
        <v>85</v>
      </c>
      <c r="AJ26" s="16" t="s">
        <v>86</v>
      </c>
      <c r="AK26" s="16" t="s">
        <v>85</v>
      </c>
      <c r="AL26" s="16" t="s">
        <v>86</v>
      </c>
      <c r="AM26" s="16" t="s">
        <v>85</v>
      </c>
      <c r="AN26" s="16" t="s">
        <v>86</v>
      </c>
      <c r="AO26" s="16" t="s">
        <v>85</v>
      </c>
      <c r="AP26" s="16" t="s">
        <v>86</v>
      </c>
      <c r="AQ26" s="16" t="s">
        <v>85</v>
      </c>
      <c r="AR26" s="16" t="s">
        <v>86</v>
      </c>
      <c r="AS26" s="16" t="s">
        <v>85</v>
      </c>
      <c r="AT26" s="16" t="s">
        <v>86</v>
      </c>
      <c r="AU26" s="16" t="s">
        <v>85</v>
      </c>
      <c r="AV26" s="16" t="s">
        <v>86</v>
      </c>
      <c r="AW26" s="16" t="s">
        <v>85</v>
      </c>
      <c r="AX26" s="16" t="s">
        <v>86</v>
      </c>
      <c r="AY26" s="16" t="s">
        <v>85</v>
      </c>
      <c r="AZ26" s="16" t="s">
        <v>86</v>
      </c>
      <c r="BA26" s="16" t="s">
        <v>85</v>
      </c>
      <c r="BB26" s="16" t="s">
        <v>86</v>
      </c>
      <c r="BC26" s="16" t="s">
        <v>85</v>
      </c>
      <c r="BD26" s="16" t="s">
        <v>86</v>
      </c>
    </row>
    <row r="27" spans="1:56">
      <c r="A27" s="17">
        <v>1</v>
      </c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>
        <v>104270</v>
      </c>
      <c r="M27" s="19"/>
      <c r="N27" s="19"/>
      <c r="O27" s="26"/>
      <c r="P27" s="17">
        <v>1</v>
      </c>
      <c r="Q27" s="18" t="s">
        <v>18</v>
      </c>
      <c r="R27" s="19">
        <v>1546070.42</v>
      </c>
      <c r="S27" s="19">
        <v>1546070.42</v>
      </c>
      <c r="T27" s="19">
        <v>1546070.42</v>
      </c>
      <c r="U27" s="19"/>
      <c r="V27" s="19"/>
      <c r="W27" s="19"/>
      <c r="X27" s="19"/>
      <c r="Y27" s="19"/>
      <c r="Z27" s="19"/>
      <c r="AA27" s="19"/>
      <c r="AB27" s="19"/>
      <c r="AC27" s="19"/>
      <c r="AE27" s="17">
        <v>1</v>
      </c>
      <c r="AF27" s="18" t="s">
        <v>18</v>
      </c>
      <c r="AG27" s="19">
        <f t="shared" ref="AG27:AG41" si="52">+C27-R27</f>
        <v>-1546070.42</v>
      </c>
      <c r="AH27" s="19" t="e">
        <f t="shared" ref="AH27:AH41" si="53">+AG27/C27*100</f>
        <v>#DIV/0!</v>
      </c>
      <c r="AI27" s="19">
        <f t="shared" ref="AI27:AI41" si="54">+D27-S27</f>
        <v>-1546070.42</v>
      </c>
      <c r="AJ27" s="19" t="e">
        <f t="shared" ref="AJ27:AJ41" si="55">+AI27/D27*100</f>
        <v>#DIV/0!</v>
      </c>
      <c r="AK27" s="19">
        <f t="shared" ref="AK27:AK41" si="56">+E27-T27</f>
        <v>-1546070.42</v>
      </c>
      <c r="AL27" s="19" t="e">
        <f t="shared" ref="AL27:AL41" si="57">+AK27/E27*100</f>
        <v>#DIV/0!</v>
      </c>
      <c r="AM27" s="19">
        <f t="shared" ref="AM27:AM41" si="58">+F27-U27</f>
        <v>0</v>
      </c>
      <c r="AN27" s="19" t="e">
        <f t="shared" ref="AN27:AN41" si="59">+AM27/F27*100</f>
        <v>#DIV/0!</v>
      </c>
      <c r="AO27" s="19">
        <f t="shared" ref="AO27:AO41" si="60">+G27-V27</f>
        <v>0</v>
      </c>
      <c r="AP27" s="19" t="e">
        <f t="shared" ref="AP27:AP41" si="61">+AO27/G27*100</f>
        <v>#DIV/0!</v>
      </c>
      <c r="AQ27" s="19">
        <f t="shared" ref="AQ27:AQ41" si="62">+H27-W27</f>
        <v>0</v>
      </c>
      <c r="AR27" s="19" t="e">
        <f t="shared" ref="AR27:AR41" si="63">+AQ27/H27*100</f>
        <v>#DIV/0!</v>
      </c>
      <c r="AS27" s="19">
        <f t="shared" ref="AS27:AS41" si="64">+I27-X27</f>
        <v>0</v>
      </c>
      <c r="AT27" s="19" t="e">
        <f t="shared" ref="AT27:AT41" si="65">+AS27/I27*100</f>
        <v>#DIV/0!</v>
      </c>
      <c r="AU27" s="19">
        <f t="shared" ref="AU27:AU41" si="66">+J27-Y27</f>
        <v>0</v>
      </c>
      <c r="AV27" s="19" t="e">
        <f t="shared" ref="AV27:AV41" si="67">+AU27/J27*100</f>
        <v>#DIV/0!</v>
      </c>
      <c r="AW27" s="19">
        <f t="shared" ref="AW27:AW41" si="68">+K27-Z27</f>
        <v>0</v>
      </c>
      <c r="AX27" s="19" t="e">
        <f t="shared" ref="AX27:AX41" si="69">+AW27/K27*100</f>
        <v>#DIV/0!</v>
      </c>
      <c r="AY27" s="19">
        <f t="shared" ref="AY27:AY41" si="70">+L27-AA27</f>
        <v>104270</v>
      </c>
      <c r="AZ27" s="19">
        <f t="shared" ref="AZ27:AZ41" si="71">+AY27/L27*100</f>
        <v>100</v>
      </c>
      <c r="BA27" s="19">
        <f t="shared" ref="BA27:BA41" si="72">+M27-AB27</f>
        <v>0</v>
      </c>
      <c r="BB27" s="19" t="e">
        <f t="shared" ref="BB27:BB41" si="73">+BA27/M27*100</f>
        <v>#DIV/0!</v>
      </c>
      <c r="BC27" s="19">
        <f t="shared" ref="BC27:BC41" si="74">+N27-AC27</f>
        <v>0</v>
      </c>
      <c r="BD27" s="19" t="e">
        <f t="shared" ref="BD27:BD41" si="75">+BC27/N27*100</f>
        <v>#DIV/0!</v>
      </c>
    </row>
    <row r="28" spans="1:56">
      <c r="A28" s="17">
        <v>2</v>
      </c>
      <c r="B28" s="18" t="s">
        <v>20</v>
      </c>
      <c r="C28" s="19">
        <v>2100000</v>
      </c>
      <c r="D28" s="19">
        <v>2100000</v>
      </c>
      <c r="E28" s="19">
        <v>2100000</v>
      </c>
      <c r="F28" s="19"/>
      <c r="G28" s="19"/>
      <c r="H28" s="19"/>
      <c r="I28" s="19"/>
      <c r="J28" s="19"/>
      <c r="K28" s="19"/>
      <c r="L28" s="19">
        <v>1645000</v>
      </c>
      <c r="M28" s="19"/>
      <c r="N28" s="19"/>
      <c r="O28" s="26"/>
      <c r="P28" s="17">
        <v>2</v>
      </c>
      <c r="Q28" s="18" t="s">
        <v>20</v>
      </c>
      <c r="R28" s="19">
        <v>3146460</v>
      </c>
      <c r="S28" s="19">
        <v>3146460</v>
      </c>
      <c r="T28" s="19">
        <v>3146460</v>
      </c>
      <c r="U28" s="19"/>
      <c r="V28" s="19"/>
      <c r="W28" s="19"/>
      <c r="X28" s="19"/>
      <c r="Y28" s="19"/>
      <c r="Z28" s="19"/>
      <c r="AA28" s="19"/>
      <c r="AB28" s="19"/>
      <c r="AC28" s="19"/>
      <c r="AE28" s="17">
        <v>2</v>
      </c>
      <c r="AF28" s="18" t="s">
        <v>20</v>
      </c>
      <c r="AG28" s="19">
        <f t="shared" si="52"/>
        <v>-1046460</v>
      </c>
      <c r="AH28" s="19">
        <f t="shared" si="53"/>
        <v>-49.831428571428575</v>
      </c>
      <c r="AI28" s="19">
        <f t="shared" si="54"/>
        <v>-1046460</v>
      </c>
      <c r="AJ28" s="19">
        <f t="shared" si="55"/>
        <v>-49.831428571428575</v>
      </c>
      <c r="AK28" s="19">
        <f t="shared" si="56"/>
        <v>-1046460</v>
      </c>
      <c r="AL28" s="19">
        <f t="shared" si="57"/>
        <v>-49.831428571428575</v>
      </c>
      <c r="AM28" s="19">
        <f t="shared" si="58"/>
        <v>0</v>
      </c>
      <c r="AN28" s="19" t="e">
        <f t="shared" si="59"/>
        <v>#DIV/0!</v>
      </c>
      <c r="AO28" s="19">
        <f t="shared" si="60"/>
        <v>0</v>
      </c>
      <c r="AP28" s="19" t="e">
        <f t="shared" si="61"/>
        <v>#DIV/0!</v>
      </c>
      <c r="AQ28" s="19">
        <f t="shared" si="62"/>
        <v>0</v>
      </c>
      <c r="AR28" s="19" t="e">
        <f t="shared" si="63"/>
        <v>#DIV/0!</v>
      </c>
      <c r="AS28" s="19">
        <f t="shared" si="64"/>
        <v>0</v>
      </c>
      <c r="AT28" s="19" t="e">
        <f t="shared" si="65"/>
        <v>#DIV/0!</v>
      </c>
      <c r="AU28" s="19">
        <f t="shared" si="66"/>
        <v>0</v>
      </c>
      <c r="AV28" s="19" t="e">
        <f t="shared" si="67"/>
        <v>#DIV/0!</v>
      </c>
      <c r="AW28" s="19">
        <f t="shared" si="68"/>
        <v>0</v>
      </c>
      <c r="AX28" s="19" t="e">
        <f t="shared" si="69"/>
        <v>#DIV/0!</v>
      </c>
      <c r="AY28" s="19">
        <f t="shared" si="70"/>
        <v>1645000</v>
      </c>
      <c r="AZ28" s="19">
        <f t="shared" si="71"/>
        <v>100</v>
      </c>
      <c r="BA28" s="19">
        <f t="shared" si="72"/>
        <v>0</v>
      </c>
      <c r="BB28" s="19" t="e">
        <f t="shared" si="73"/>
        <v>#DIV/0!</v>
      </c>
      <c r="BC28" s="19">
        <f t="shared" si="74"/>
        <v>0</v>
      </c>
      <c r="BD28" s="19" t="e">
        <f t="shared" si="75"/>
        <v>#DIV/0!</v>
      </c>
    </row>
    <row r="29" spans="1:56">
      <c r="A29" s="17">
        <v>3</v>
      </c>
      <c r="B29" s="18" t="s">
        <v>22</v>
      </c>
      <c r="C29" s="19"/>
      <c r="D29" s="19"/>
      <c r="E29" s="19"/>
      <c r="F29" s="19"/>
      <c r="G29" s="19"/>
      <c r="H29" s="19"/>
      <c r="I29" s="19"/>
      <c r="J29" s="19"/>
      <c r="K29" s="19"/>
      <c r="L29" s="19">
        <v>745000</v>
      </c>
      <c r="M29" s="19"/>
      <c r="N29" s="19"/>
      <c r="O29" s="26"/>
      <c r="P29" s="17">
        <v>3</v>
      </c>
      <c r="Q29" s="18" t="s">
        <v>22</v>
      </c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E29" s="17">
        <v>3</v>
      </c>
      <c r="AF29" s="18" t="s">
        <v>22</v>
      </c>
      <c r="AG29" s="19">
        <f t="shared" si="52"/>
        <v>0</v>
      </c>
      <c r="AH29" s="19" t="e">
        <f t="shared" si="53"/>
        <v>#DIV/0!</v>
      </c>
      <c r="AI29" s="19">
        <f t="shared" si="54"/>
        <v>0</v>
      </c>
      <c r="AJ29" s="19" t="e">
        <f t="shared" si="55"/>
        <v>#DIV/0!</v>
      </c>
      <c r="AK29" s="19">
        <f t="shared" si="56"/>
        <v>0</v>
      </c>
      <c r="AL29" s="19" t="e">
        <f t="shared" si="57"/>
        <v>#DIV/0!</v>
      </c>
      <c r="AM29" s="19">
        <f t="shared" si="58"/>
        <v>0</v>
      </c>
      <c r="AN29" s="19" t="e">
        <f t="shared" si="59"/>
        <v>#DIV/0!</v>
      </c>
      <c r="AO29" s="19">
        <f t="shared" si="60"/>
        <v>0</v>
      </c>
      <c r="AP29" s="19" t="e">
        <f t="shared" si="61"/>
        <v>#DIV/0!</v>
      </c>
      <c r="AQ29" s="19">
        <f t="shared" si="62"/>
        <v>0</v>
      </c>
      <c r="AR29" s="19" t="e">
        <f t="shared" si="63"/>
        <v>#DIV/0!</v>
      </c>
      <c r="AS29" s="19">
        <f t="shared" si="64"/>
        <v>0</v>
      </c>
      <c r="AT29" s="19" t="e">
        <f t="shared" si="65"/>
        <v>#DIV/0!</v>
      </c>
      <c r="AU29" s="19">
        <f t="shared" si="66"/>
        <v>0</v>
      </c>
      <c r="AV29" s="19" t="e">
        <f t="shared" si="67"/>
        <v>#DIV/0!</v>
      </c>
      <c r="AW29" s="19">
        <f t="shared" si="68"/>
        <v>0</v>
      </c>
      <c r="AX29" s="19" t="e">
        <f t="shared" si="69"/>
        <v>#DIV/0!</v>
      </c>
      <c r="AY29" s="19">
        <f t="shared" si="70"/>
        <v>745000</v>
      </c>
      <c r="AZ29" s="19">
        <f t="shared" si="71"/>
        <v>100</v>
      </c>
      <c r="BA29" s="19">
        <f t="shared" si="72"/>
        <v>0</v>
      </c>
      <c r="BB29" s="19" t="e">
        <f t="shared" si="73"/>
        <v>#DIV/0!</v>
      </c>
      <c r="BC29" s="19">
        <f t="shared" si="74"/>
        <v>0</v>
      </c>
      <c r="BD29" s="19" t="e">
        <f t="shared" si="75"/>
        <v>#DIV/0!</v>
      </c>
    </row>
    <row r="30" spans="1:56">
      <c r="A30" s="17">
        <v>4</v>
      </c>
      <c r="B30" s="18" t="s">
        <v>24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6"/>
      <c r="P30" s="17">
        <v>4</v>
      </c>
      <c r="Q30" s="18" t="s">
        <v>24</v>
      </c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E30" s="17">
        <v>4</v>
      </c>
      <c r="AF30" s="18" t="s">
        <v>24</v>
      </c>
      <c r="AG30" s="19">
        <f t="shared" si="52"/>
        <v>0</v>
      </c>
      <c r="AH30" s="19" t="e">
        <f t="shared" si="53"/>
        <v>#DIV/0!</v>
      </c>
      <c r="AI30" s="19">
        <f t="shared" si="54"/>
        <v>0</v>
      </c>
      <c r="AJ30" s="19" t="e">
        <f t="shared" si="55"/>
        <v>#DIV/0!</v>
      </c>
      <c r="AK30" s="19">
        <f t="shared" si="56"/>
        <v>0</v>
      </c>
      <c r="AL30" s="19" t="e">
        <f t="shared" si="57"/>
        <v>#DIV/0!</v>
      </c>
      <c r="AM30" s="19">
        <f t="shared" si="58"/>
        <v>0</v>
      </c>
      <c r="AN30" s="19" t="e">
        <f t="shared" si="59"/>
        <v>#DIV/0!</v>
      </c>
      <c r="AO30" s="19">
        <f t="shared" si="60"/>
        <v>0</v>
      </c>
      <c r="AP30" s="19" t="e">
        <f t="shared" si="61"/>
        <v>#DIV/0!</v>
      </c>
      <c r="AQ30" s="19">
        <f t="shared" si="62"/>
        <v>0</v>
      </c>
      <c r="AR30" s="19" t="e">
        <f t="shared" si="63"/>
        <v>#DIV/0!</v>
      </c>
      <c r="AS30" s="19">
        <f t="shared" si="64"/>
        <v>0</v>
      </c>
      <c r="AT30" s="19" t="e">
        <f t="shared" si="65"/>
        <v>#DIV/0!</v>
      </c>
      <c r="AU30" s="19">
        <f t="shared" si="66"/>
        <v>0</v>
      </c>
      <c r="AV30" s="19" t="e">
        <f t="shared" si="67"/>
        <v>#DIV/0!</v>
      </c>
      <c r="AW30" s="19">
        <f t="shared" si="68"/>
        <v>0</v>
      </c>
      <c r="AX30" s="19" t="e">
        <f t="shared" si="69"/>
        <v>#DIV/0!</v>
      </c>
      <c r="AY30" s="19">
        <f t="shared" si="70"/>
        <v>0</v>
      </c>
      <c r="AZ30" s="19" t="e">
        <f t="shared" si="71"/>
        <v>#DIV/0!</v>
      </c>
      <c r="BA30" s="19">
        <f t="shared" si="72"/>
        <v>0</v>
      </c>
      <c r="BB30" s="19" t="e">
        <f t="shared" si="73"/>
        <v>#DIV/0!</v>
      </c>
      <c r="BC30" s="19">
        <f t="shared" si="74"/>
        <v>0</v>
      </c>
      <c r="BD30" s="19" t="e">
        <f t="shared" si="75"/>
        <v>#DIV/0!</v>
      </c>
    </row>
    <row r="31" spans="1:56">
      <c r="A31" s="17">
        <v>5</v>
      </c>
      <c r="B31" s="18" t="s">
        <v>26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6"/>
      <c r="P31" s="17">
        <v>5</v>
      </c>
      <c r="Q31" s="18" t="s">
        <v>26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E31" s="17">
        <v>5</v>
      </c>
      <c r="AF31" s="18" t="s">
        <v>26</v>
      </c>
      <c r="AG31" s="19">
        <f t="shared" si="52"/>
        <v>0</v>
      </c>
      <c r="AH31" s="19" t="e">
        <f t="shared" si="53"/>
        <v>#DIV/0!</v>
      </c>
      <c r="AI31" s="19">
        <f t="shared" si="54"/>
        <v>0</v>
      </c>
      <c r="AJ31" s="19" t="e">
        <f t="shared" si="55"/>
        <v>#DIV/0!</v>
      </c>
      <c r="AK31" s="19">
        <f t="shared" si="56"/>
        <v>0</v>
      </c>
      <c r="AL31" s="19" t="e">
        <f t="shared" si="57"/>
        <v>#DIV/0!</v>
      </c>
      <c r="AM31" s="19">
        <f t="shared" si="58"/>
        <v>0</v>
      </c>
      <c r="AN31" s="19" t="e">
        <f t="shared" si="59"/>
        <v>#DIV/0!</v>
      </c>
      <c r="AO31" s="19">
        <f t="shared" si="60"/>
        <v>0</v>
      </c>
      <c r="AP31" s="19" t="e">
        <f t="shared" si="61"/>
        <v>#DIV/0!</v>
      </c>
      <c r="AQ31" s="19">
        <f t="shared" si="62"/>
        <v>0</v>
      </c>
      <c r="AR31" s="19" t="e">
        <f t="shared" si="63"/>
        <v>#DIV/0!</v>
      </c>
      <c r="AS31" s="19">
        <f t="shared" si="64"/>
        <v>0</v>
      </c>
      <c r="AT31" s="19" t="e">
        <f t="shared" si="65"/>
        <v>#DIV/0!</v>
      </c>
      <c r="AU31" s="19">
        <f t="shared" si="66"/>
        <v>0</v>
      </c>
      <c r="AV31" s="19" t="e">
        <f t="shared" si="67"/>
        <v>#DIV/0!</v>
      </c>
      <c r="AW31" s="19">
        <f t="shared" si="68"/>
        <v>0</v>
      </c>
      <c r="AX31" s="19" t="e">
        <f t="shared" si="69"/>
        <v>#DIV/0!</v>
      </c>
      <c r="AY31" s="19">
        <f t="shared" si="70"/>
        <v>0</v>
      </c>
      <c r="AZ31" s="19" t="e">
        <f t="shared" si="71"/>
        <v>#DIV/0!</v>
      </c>
      <c r="BA31" s="19">
        <f t="shared" si="72"/>
        <v>0</v>
      </c>
      <c r="BB31" s="19" t="e">
        <f t="shared" si="73"/>
        <v>#DIV/0!</v>
      </c>
      <c r="BC31" s="19">
        <f t="shared" si="74"/>
        <v>0</v>
      </c>
      <c r="BD31" s="19" t="e">
        <f t="shared" si="75"/>
        <v>#DIV/0!</v>
      </c>
    </row>
    <row r="32" spans="1:56">
      <c r="A32" s="17">
        <v>6</v>
      </c>
      <c r="B32" s="18" t="s">
        <v>28</v>
      </c>
      <c r="C32" s="19">
        <v>12354410</v>
      </c>
      <c r="D32" s="19">
        <v>12354410</v>
      </c>
      <c r="E32" s="19">
        <v>12354410</v>
      </c>
      <c r="F32" s="19"/>
      <c r="G32" s="19"/>
      <c r="H32" s="19"/>
      <c r="I32" s="19"/>
      <c r="J32" s="19"/>
      <c r="K32" s="19"/>
      <c r="L32" s="19">
        <v>7908423</v>
      </c>
      <c r="M32" s="19"/>
      <c r="N32" s="19"/>
      <c r="O32" s="26"/>
      <c r="P32" s="17">
        <v>6</v>
      </c>
      <c r="Q32" s="18" t="s">
        <v>28</v>
      </c>
      <c r="R32" s="19">
        <v>23046778</v>
      </c>
      <c r="S32" s="19">
        <v>23046778</v>
      </c>
      <c r="T32" s="19">
        <v>23046778</v>
      </c>
      <c r="U32" s="19"/>
      <c r="V32" s="19"/>
      <c r="W32" s="19"/>
      <c r="X32" s="19"/>
      <c r="Y32" s="19"/>
      <c r="Z32" s="19"/>
      <c r="AA32" s="19"/>
      <c r="AB32" s="19"/>
      <c r="AC32" s="19"/>
      <c r="AE32" s="17">
        <v>6</v>
      </c>
      <c r="AF32" s="18" t="s">
        <v>28</v>
      </c>
      <c r="AG32" s="19">
        <f t="shared" si="52"/>
        <v>-10692368</v>
      </c>
      <c r="AH32" s="19">
        <f t="shared" si="53"/>
        <v>-86.546973914577876</v>
      </c>
      <c r="AI32" s="19">
        <f t="shared" si="54"/>
        <v>-10692368</v>
      </c>
      <c r="AJ32" s="19">
        <f t="shared" si="55"/>
        <v>-86.546973914577876</v>
      </c>
      <c r="AK32" s="19">
        <f t="shared" si="56"/>
        <v>-10692368</v>
      </c>
      <c r="AL32" s="19">
        <f t="shared" si="57"/>
        <v>-86.546973914577876</v>
      </c>
      <c r="AM32" s="19">
        <f t="shared" si="58"/>
        <v>0</v>
      </c>
      <c r="AN32" s="19" t="e">
        <f t="shared" si="59"/>
        <v>#DIV/0!</v>
      </c>
      <c r="AO32" s="19">
        <f t="shared" si="60"/>
        <v>0</v>
      </c>
      <c r="AP32" s="19" t="e">
        <f t="shared" si="61"/>
        <v>#DIV/0!</v>
      </c>
      <c r="AQ32" s="19">
        <f t="shared" si="62"/>
        <v>0</v>
      </c>
      <c r="AR32" s="19" t="e">
        <f t="shared" si="63"/>
        <v>#DIV/0!</v>
      </c>
      <c r="AS32" s="19">
        <f t="shared" si="64"/>
        <v>0</v>
      </c>
      <c r="AT32" s="19" t="e">
        <f t="shared" si="65"/>
        <v>#DIV/0!</v>
      </c>
      <c r="AU32" s="19">
        <f t="shared" si="66"/>
        <v>0</v>
      </c>
      <c r="AV32" s="19" t="e">
        <f t="shared" si="67"/>
        <v>#DIV/0!</v>
      </c>
      <c r="AW32" s="19">
        <f t="shared" si="68"/>
        <v>0</v>
      </c>
      <c r="AX32" s="19" t="e">
        <f t="shared" si="69"/>
        <v>#DIV/0!</v>
      </c>
      <c r="AY32" s="19">
        <f t="shared" si="70"/>
        <v>7908423</v>
      </c>
      <c r="AZ32" s="19">
        <f t="shared" si="71"/>
        <v>100</v>
      </c>
      <c r="BA32" s="19">
        <f t="shared" si="72"/>
        <v>0</v>
      </c>
      <c r="BB32" s="19" t="e">
        <f t="shared" si="73"/>
        <v>#DIV/0!</v>
      </c>
      <c r="BC32" s="19">
        <f t="shared" si="74"/>
        <v>0</v>
      </c>
      <c r="BD32" s="19" t="e">
        <f t="shared" si="75"/>
        <v>#DIV/0!</v>
      </c>
    </row>
    <row r="33" spans="1:56">
      <c r="A33" s="17">
        <v>7</v>
      </c>
      <c r="B33" s="18" t="s">
        <v>30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6"/>
      <c r="P33" s="17">
        <v>7</v>
      </c>
      <c r="Q33" s="18" t="s">
        <v>30</v>
      </c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E33" s="17">
        <v>7</v>
      </c>
      <c r="AF33" s="18" t="s">
        <v>30</v>
      </c>
      <c r="AG33" s="19">
        <f t="shared" si="52"/>
        <v>0</v>
      </c>
      <c r="AH33" s="19" t="e">
        <f t="shared" si="53"/>
        <v>#DIV/0!</v>
      </c>
      <c r="AI33" s="19">
        <f t="shared" si="54"/>
        <v>0</v>
      </c>
      <c r="AJ33" s="19" t="e">
        <f t="shared" si="55"/>
        <v>#DIV/0!</v>
      </c>
      <c r="AK33" s="19">
        <f t="shared" si="56"/>
        <v>0</v>
      </c>
      <c r="AL33" s="19" t="e">
        <f t="shared" si="57"/>
        <v>#DIV/0!</v>
      </c>
      <c r="AM33" s="19">
        <f t="shared" si="58"/>
        <v>0</v>
      </c>
      <c r="AN33" s="19" t="e">
        <f t="shared" si="59"/>
        <v>#DIV/0!</v>
      </c>
      <c r="AO33" s="19">
        <f t="shared" si="60"/>
        <v>0</v>
      </c>
      <c r="AP33" s="19" t="e">
        <f t="shared" si="61"/>
        <v>#DIV/0!</v>
      </c>
      <c r="AQ33" s="19">
        <f t="shared" si="62"/>
        <v>0</v>
      </c>
      <c r="AR33" s="19" t="e">
        <f t="shared" si="63"/>
        <v>#DIV/0!</v>
      </c>
      <c r="AS33" s="19">
        <f t="shared" si="64"/>
        <v>0</v>
      </c>
      <c r="AT33" s="19" t="e">
        <f t="shared" si="65"/>
        <v>#DIV/0!</v>
      </c>
      <c r="AU33" s="19">
        <f t="shared" si="66"/>
        <v>0</v>
      </c>
      <c r="AV33" s="19" t="e">
        <f t="shared" si="67"/>
        <v>#DIV/0!</v>
      </c>
      <c r="AW33" s="19">
        <f t="shared" si="68"/>
        <v>0</v>
      </c>
      <c r="AX33" s="19" t="e">
        <f t="shared" si="69"/>
        <v>#DIV/0!</v>
      </c>
      <c r="AY33" s="19">
        <f t="shared" si="70"/>
        <v>0</v>
      </c>
      <c r="AZ33" s="19" t="e">
        <f t="shared" si="71"/>
        <v>#DIV/0!</v>
      </c>
      <c r="BA33" s="19">
        <f t="shared" si="72"/>
        <v>0</v>
      </c>
      <c r="BB33" s="19" t="e">
        <f t="shared" si="73"/>
        <v>#DIV/0!</v>
      </c>
      <c r="BC33" s="19">
        <f t="shared" si="74"/>
        <v>0</v>
      </c>
      <c r="BD33" s="19" t="e">
        <f t="shared" si="75"/>
        <v>#DIV/0!</v>
      </c>
    </row>
    <row r="34" spans="1:56">
      <c r="A34" s="17">
        <v>8</v>
      </c>
      <c r="B34" s="18" t="s">
        <v>32</v>
      </c>
      <c r="C34" s="19">
        <v>682500</v>
      </c>
      <c r="D34" s="19">
        <v>682500</v>
      </c>
      <c r="E34" s="19">
        <v>682500</v>
      </c>
      <c r="F34" s="19"/>
      <c r="G34" s="19"/>
      <c r="H34" s="19"/>
      <c r="I34" s="19"/>
      <c r="J34" s="19"/>
      <c r="K34" s="19"/>
      <c r="L34" s="19">
        <v>18280</v>
      </c>
      <c r="M34" s="19"/>
      <c r="N34" s="19"/>
      <c r="O34" s="26"/>
      <c r="P34" s="17">
        <v>8</v>
      </c>
      <c r="Q34" s="18" t="s">
        <v>32</v>
      </c>
      <c r="R34" s="19">
        <v>755940</v>
      </c>
      <c r="S34" s="19">
        <v>755940</v>
      </c>
      <c r="T34" s="19">
        <v>755940</v>
      </c>
      <c r="U34" s="19"/>
      <c r="V34" s="19"/>
      <c r="W34" s="19"/>
      <c r="X34" s="19"/>
      <c r="Y34" s="19"/>
      <c r="Z34" s="19"/>
      <c r="AA34" s="19"/>
      <c r="AB34" s="19"/>
      <c r="AC34" s="19"/>
      <c r="AE34" s="17">
        <v>8</v>
      </c>
      <c r="AF34" s="18" t="s">
        <v>32</v>
      </c>
      <c r="AG34" s="19">
        <f t="shared" si="52"/>
        <v>-73440</v>
      </c>
      <c r="AH34" s="19">
        <f t="shared" si="53"/>
        <v>-10.760439560439561</v>
      </c>
      <c r="AI34" s="19">
        <f t="shared" si="54"/>
        <v>-73440</v>
      </c>
      <c r="AJ34" s="19">
        <f t="shared" si="55"/>
        <v>-10.760439560439561</v>
      </c>
      <c r="AK34" s="19">
        <f t="shared" si="56"/>
        <v>-73440</v>
      </c>
      <c r="AL34" s="19">
        <f t="shared" si="57"/>
        <v>-10.760439560439561</v>
      </c>
      <c r="AM34" s="19">
        <f t="shared" si="58"/>
        <v>0</v>
      </c>
      <c r="AN34" s="19" t="e">
        <f t="shared" si="59"/>
        <v>#DIV/0!</v>
      </c>
      <c r="AO34" s="19">
        <f t="shared" si="60"/>
        <v>0</v>
      </c>
      <c r="AP34" s="19" t="e">
        <f t="shared" si="61"/>
        <v>#DIV/0!</v>
      </c>
      <c r="AQ34" s="19">
        <f t="shared" si="62"/>
        <v>0</v>
      </c>
      <c r="AR34" s="19" t="e">
        <f t="shared" si="63"/>
        <v>#DIV/0!</v>
      </c>
      <c r="AS34" s="19">
        <f t="shared" si="64"/>
        <v>0</v>
      </c>
      <c r="AT34" s="19" t="e">
        <f t="shared" si="65"/>
        <v>#DIV/0!</v>
      </c>
      <c r="AU34" s="19">
        <f t="shared" si="66"/>
        <v>0</v>
      </c>
      <c r="AV34" s="19" t="e">
        <f t="shared" si="67"/>
        <v>#DIV/0!</v>
      </c>
      <c r="AW34" s="19">
        <f t="shared" si="68"/>
        <v>0</v>
      </c>
      <c r="AX34" s="19" t="e">
        <f t="shared" si="69"/>
        <v>#DIV/0!</v>
      </c>
      <c r="AY34" s="19">
        <f t="shared" si="70"/>
        <v>18280</v>
      </c>
      <c r="AZ34" s="19">
        <f t="shared" si="71"/>
        <v>100</v>
      </c>
      <c r="BA34" s="19">
        <f t="shared" si="72"/>
        <v>0</v>
      </c>
      <c r="BB34" s="19" t="e">
        <f t="shared" si="73"/>
        <v>#DIV/0!</v>
      </c>
      <c r="BC34" s="19">
        <f t="shared" si="74"/>
        <v>0</v>
      </c>
      <c r="BD34" s="19" t="e">
        <f t="shared" si="75"/>
        <v>#DIV/0!</v>
      </c>
    </row>
    <row r="35" spans="1:56">
      <c r="A35" s="17">
        <v>9</v>
      </c>
      <c r="B35" s="18" t="s">
        <v>34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6"/>
      <c r="P35" s="17">
        <v>9</v>
      </c>
      <c r="Q35" s="18" t="s">
        <v>34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E35" s="17">
        <v>9</v>
      </c>
      <c r="AF35" s="18" t="s">
        <v>34</v>
      </c>
      <c r="AG35" s="19">
        <f t="shared" si="52"/>
        <v>0</v>
      </c>
      <c r="AH35" s="19" t="e">
        <f t="shared" si="53"/>
        <v>#DIV/0!</v>
      </c>
      <c r="AI35" s="19">
        <f t="shared" si="54"/>
        <v>0</v>
      </c>
      <c r="AJ35" s="19" t="e">
        <f t="shared" si="55"/>
        <v>#DIV/0!</v>
      </c>
      <c r="AK35" s="19">
        <f t="shared" si="56"/>
        <v>0</v>
      </c>
      <c r="AL35" s="19" t="e">
        <f t="shared" si="57"/>
        <v>#DIV/0!</v>
      </c>
      <c r="AM35" s="19">
        <f t="shared" si="58"/>
        <v>0</v>
      </c>
      <c r="AN35" s="19" t="e">
        <f t="shared" si="59"/>
        <v>#DIV/0!</v>
      </c>
      <c r="AO35" s="19">
        <f t="shared" si="60"/>
        <v>0</v>
      </c>
      <c r="AP35" s="19" t="e">
        <f t="shared" si="61"/>
        <v>#DIV/0!</v>
      </c>
      <c r="AQ35" s="19">
        <f t="shared" si="62"/>
        <v>0</v>
      </c>
      <c r="AR35" s="19" t="e">
        <f t="shared" si="63"/>
        <v>#DIV/0!</v>
      </c>
      <c r="AS35" s="19">
        <f t="shared" si="64"/>
        <v>0</v>
      </c>
      <c r="AT35" s="19" t="e">
        <f t="shared" si="65"/>
        <v>#DIV/0!</v>
      </c>
      <c r="AU35" s="19">
        <f t="shared" si="66"/>
        <v>0</v>
      </c>
      <c r="AV35" s="19" t="e">
        <f t="shared" si="67"/>
        <v>#DIV/0!</v>
      </c>
      <c r="AW35" s="19">
        <f t="shared" si="68"/>
        <v>0</v>
      </c>
      <c r="AX35" s="19" t="e">
        <f t="shared" si="69"/>
        <v>#DIV/0!</v>
      </c>
      <c r="AY35" s="19">
        <f t="shared" si="70"/>
        <v>0</v>
      </c>
      <c r="AZ35" s="19" t="e">
        <f t="shared" si="71"/>
        <v>#DIV/0!</v>
      </c>
      <c r="BA35" s="19">
        <f t="shared" si="72"/>
        <v>0</v>
      </c>
      <c r="BB35" s="19" t="e">
        <f t="shared" si="73"/>
        <v>#DIV/0!</v>
      </c>
      <c r="BC35" s="19">
        <f t="shared" si="74"/>
        <v>0</v>
      </c>
      <c r="BD35" s="19" t="e">
        <f t="shared" si="75"/>
        <v>#DIV/0!</v>
      </c>
    </row>
    <row r="36" spans="1:56">
      <c r="A36" s="17">
        <v>10</v>
      </c>
      <c r="B36" s="18" t="s">
        <v>36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6"/>
      <c r="P36" s="17">
        <v>10</v>
      </c>
      <c r="Q36" s="18" t="s">
        <v>36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E36" s="17">
        <v>10</v>
      </c>
      <c r="AF36" s="18" t="s">
        <v>36</v>
      </c>
      <c r="AG36" s="19">
        <f t="shared" si="52"/>
        <v>0</v>
      </c>
      <c r="AH36" s="19" t="e">
        <f t="shared" si="53"/>
        <v>#DIV/0!</v>
      </c>
      <c r="AI36" s="19">
        <f t="shared" si="54"/>
        <v>0</v>
      </c>
      <c r="AJ36" s="19" t="e">
        <f t="shared" si="55"/>
        <v>#DIV/0!</v>
      </c>
      <c r="AK36" s="19">
        <f t="shared" si="56"/>
        <v>0</v>
      </c>
      <c r="AL36" s="19" t="e">
        <f t="shared" si="57"/>
        <v>#DIV/0!</v>
      </c>
      <c r="AM36" s="19">
        <f t="shared" si="58"/>
        <v>0</v>
      </c>
      <c r="AN36" s="19" t="e">
        <f t="shared" si="59"/>
        <v>#DIV/0!</v>
      </c>
      <c r="AO36" s="19">
        <f t="shared" si="60"/>
        <v>0</v>
      </c>
      <c r="AP36" s="19" t="e">
        <f t="shared" si="61"/>
        <v>#DIV/0!</v>
      </c>
      <c r="AQ36" s="19">
        <f t="shared" si="62"/>
        <v>0</v>
      </c>
      <c r="AR36" s="19" t="e">
        <f t="shared" si="63"/>
        <v>#DIV/0!</v>
      </c>
      <c r="AS36" s="19">
        <f t="shared" si="64"/>
        <v>0</v>
      </c>
      <c r="AT36" s="19" t="e">
        <f t="shared" si="65"/>
        <v>#DIV/0!</v>
      </c>
      <c r="AU36" s="19">
        <f t="shared" si="66"/>
        <v>0</v>
      </c>
      <c r="AV36" s="19" t="e">
        <f t="shared" si="67"/>
        <v>#DIV/0!</v>
      </c>
      <c r="AW36" s="19">
        <f t="shared" si="68"/>
        <v>0</v>
      </c>
      <c r="AX36" s="19" t="e">
        <f t="shared" si="69"/>
        <v>#DIV/0!</v>
      </c>
      <c r="AY36" s="19">
        <f t="shared" si="70"/>
        <v>0</v>
      </c>
      <c r="AZ36" s="19" t="e">
        <f t="shared" si="71"/>
        <v>#DIV/0!</v>
      </c>
      <c r="BA36" s="19">
        <f t="shared" si="72"/>
        <v>0</v>
      </c>
      <c r="BB36" s="19" t="e">
        <f t="shared" si="73"/>
        <v>#DIV/0!</v>
      </c>
      <c r="BC36" s="19">
        <f t="shared" si="74"/>
        <v>0</v>
      </c>
      <c r="BD36" s="19" t="e">
        <f t="shared" si="75"/>
        <v>#DIV/0!</v>
      </c>
    </row>
    <row r="37" spans="1:56">
      <c r="A37" s="17">
        <v>11</v>
      </c>
      <c r="B37" s="18" t="s">
        <v>38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6"/>
      <c r="P37" s="17">
        <v>11</v>
      </c>
      <c r="Q37" s="18" t="s">
        <v>38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E37" s="17">
        <v>11</v>
      </c>
      <c r="AF37" s="18" t="s">
        <v>38</v>
      </c>
      <c r="AG37" s="19">
        <f t="shared" si="52"/>
        <v>0</v>
      </c>
      <c r="AH37" s="19" t="e">
        <f t="shared" si="53"/>
        <v>#DIV/0!</v>
      </c>
      <c r="AI37" s="19">
        <f t="shared" si="54"/>
        <v>0</v>
      </c>
      <c r="AJ37" s="19" t="e">
        <f t="shared" si="55"/>
        <v>#DIV/0!</v>
      </c>
      <c r="AK37" s="19">
        <f t="shared" si="56"/>
        <v>0</v>
      </c>
      <c r="AL37" s="19" t="e">
        <f t="shared" si="57"/>
        <v>#DIV/0!</v>
      </c>
      <c r="AM37" s="19">
        <f t="shared" si="58"/>
        <v>0</v>
      </c>
      <c r="AN37" s="19" t="e">
        <f t="shared" si="59"/>
        <v>#DIV/0!</v>
      </c>
      <c r="AO37" s="19">
        <f t="shared" si="60"/>
        <v>0</v>
      </c>
      <c r="AP37" s="19" t="e">
        <f t="shared" si="61"/>
        <v>#DIV/0!</v>
      </c>
      <c r="AQ37" s="19">
        <f t="shared" si="62"/>
        <v>0</v>
      </c>
      <c r="AR37" s="19" t="e">
        <f t="shared" si="63"/>
        <v>#DIV/0!</v>
      </c>
      <c r="AS37" s="19">
        <f t="shared" si="64"/>
        <v>0</v>
      </c>
      <c r="AT37" s="19" t="e">
        <f t="shared" si="65"/>
        <v>#DIV/0!</v>
      </c>
      <c r="AU37" s="19">
        <f t="shared" si="66"/>
        <v>0</v>
      </c>
      <c r="AV37" s="19" t="e">
        <f t="shared" si="67"/>
        <v>#DIV/0!</v>
      </c>
      <c r="AW37" s="19">
        <f t="shared" si="68"/>
        <v>0</v>
      </c>
      <c r="AX37" s="19" t="e">
        <f t="shared" si="69"/>
        <v>#DIV/0!</v>
      </c>
      <c r="AY37" s="19">
        <f t="shared" si="70"/>
        <v>0</v>
      </c>
      <c r="AZ37" s="19" t="e">
        <f t="shared" si="71"/>
        <v>#DIV/0!</v>
      </c>
      <c r="BA37" s="19">
        <f t="shared" si="72"/>
        <v>0</v>
      </c>
      <c r="BB37" s="19" t="e">
        <f t="shared" si="73"/>
        <v>#DIV/0!</v>
      </c>
      <c r="BC37" s="19">
        <f t="shared" si="74"/>
        <v>0</v>
      </c>
      <c r="BD37" s="19" t="e">
        <f t="shared" si="75"/>
        <v>#DIV/0!</v>
      </c>
    </row>
    <row r="38" spans="1:56">
      <c r="A38" s="17">
        <v>12</v>
      </c>
      <c r="B38" s="18" t="s">
        <v>40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6"/>
      <c r="P38" s="17">
        <v>12</v>
      </c>
      <c r="Q38" s="18" t="s">
        <v>40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E38" s="17">
        <v>12</v>
      </c>
      <c r="AF38" s="18" t="s">
        <v>40</v>
      </c>
      <c r="AG38" s="19">
        <f t="shared" si="52"/>
        <v>0</v>
      </c>
      <c r="AH38" s="19" t="e">
        <f t="shared" si="53"/>
        <v>#DIV/0!</v>
      </c>
      <c r="AI38" s="19">
        <f t="shared" si="54"/>
        <v>0</v>
      </c>
      <c r="AJ38" s="19" t="e">
        <f t="shared" si="55"/>
        <v>#DIV/0!</v>
      </c>
      <c r="AK38" s="19">
        <f t="shared" si="56"/>
        <v>0</v>
      </c>
      <c r="AL38" s="19" t="e">
        <f t="shared" si="57"/>
        <v>#DIV/0!</v>
      </c>
      <c r="AM38" s="19">
        <f t="shared" si="58"/>
        <v>0</v>
      </c>
      <c r="AN38" s="19" t="e">
        <f t="shared" si="59"/>
        <v>#DIV/0!</v>
      </c>
      <c r="AO38" s="19">
        <f t="shared" si="60"/>
        <v>0</v>
      </c>
      <c r="AP38" s="19" t="e">
        <f t="shared" si="61"/>
        <v>#DIV/0!</v>
      </c>
      <c r="AQ38" s="19">
        <f t="shared" si="62"/>
        <v>0</v>
      </c>
      <c r="AR38" s="19" t="e">
        <f t="shared" si="63"/>
        <v>#DIV/0!</v>
      </c>
      <c r="AS38" s="19">
        <f t="shared" si="64"/>
        <v>0</v>
      </c>
      <c r="AT38" s="19" t="e">
        <f t="shared" si="65"/>
        <v>#DIV/0!</v>
      </c>
      <c r="AU38" s="19">
        <f t="shared" si="66"/>
        <v>0</v>
      </c>
      <c r="AV38" s="19" t="e">
        <f t="shared" si="67"/>
        <v>#DIV/0!</v>
      </c>
      <c r="AW38" s="19">
        <f t="shared" si="68"/>
        <v>0</v>
      </c>
      <c r="AX38" s="19" t="e">
        <f t="shared" si="69"/>
        <v>#DIV/0!</v>
      </c>
      <c r="AY38" s="19">
        <f t="shared" si="70"/>
        <v>0</v>
      </c>
      <c r="AZ38" s="19" t="e">
        <f t="shared" si="71"/>
        <v>#DIV/0!</v>
      </c>
      <c r="BA38" s="19">
        <f t="shared" si="72"/>
        <v>0</v>
      </c>
      <c r="BB38" s="19" t="e">
        <f t="shared" si="73"/>
        <v>#DIV/0!</v>
      </c>
      <c r="BC38" s="19">
        <f t="shared" si="74"/>
        <v>0</v>
      </c>
      <c r="BD38" s="19" t="e">
        <f t="shared" si="75"/>
        <v>#DIV/0!</v>
      </c>
    </row>
    <row r="39" spans="1:56">
      <c r="A39" s="17">
        <v>13</v>
      </c>
      <c r="B39" s="18" t="s">
        <v>42</v>
      </c>
      <c r="C39" s="19"/>
      <c r="D39" s="19"/>
      <c r="E39" s="19"/>
      <c r="F39" s="19"/>
      <c r="G39" s="19"/>
      <c r="H39" s="19"/>
      <c r="I39" s="19"/>
      <c r="J39" s="19"/>
      <c r="K39" s="19"/>
      <c r="L39" s="19">
        <v>172860</v>
      </c>
      <c r="M39" s="19"/>
      <c r="N39" s="19"/>
      <c r="O39" s="26"/>
      <c r="P39" s="17">
        <v>13</v>
      </c>
      <c r="Q39" s="18" t="s">
        <v>42</v>
      </c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E39" s="17">
        <v>13</v>
      </c>
      <c r="AF39" s="18" t="s">
        <v>42</v>
      </c>
      <c r="AG39" s="19">
        <f t="shared" si="52"/>
        <v>0</v>
      </c>
      <c r="AH39" s="19" t="e">
        <f t="shared" si="53"/>
        <v>#DIV/0!</v>
      </c>
      <c r="AI39" s="19">
        <f t="shared" si="54"/>
        <v>0</v>
      </c>
      <c r="AJ39" s="19" t="e">
        <f t="shared" si="55"/>
        <v>#DIV/0!</v>
      </c>
      <c r="AK39" s="19">
        <f t="shared" si="56"/>
        <v>0</v>
      </c>
      <c r="AL39" s="19" t="e">
        <f t="shared" si="57"/>
        <v>#DIV/0!</v>
      </c>
      <c r="AM39" s="19">
        <f t="shared" si="58"/>
        <v>0</v>
      </c>
      <c r="AN39" s="19" t="e">
        <f t="shared" si="59"/>
        <v>#DIV/0!</v>
      </c>
      <c r="AO39" s="19">
        <f t="shared" si="60"/>
        <v>0</v>
      </c>
      <c r="AP39" s="19" t="e">
        <f t="shared" si="61"/>
        <v>#DIV/0!</v>
      </c>
      <c r="AQ39" s="19">
        <f t="shared" si="62"/>
        <v>0</v>
      </c>
      <c r="AR39" s="19" t="e">
        <f t="shared" si="63"/>
        <v>#DIV/0!</v>
      </c>
      <c r="AS39" s="19">
        <f t="shared" si="64"/>
        <v>0</v>
      </c>
      <c r="AT39" s="19" t="e">
        <f t="shared" si="65"/>
        <v>#DIV/0!</v>
      </c>
      <c r="AU39" s="19">
        <f t="shared" si="66"/>
        <v>0</v>
      </c>
      <c r="AV39" s="19" t="e">
        <f t="shared" si="67"/>
        <v>#DIV/0!</v>
      </c>
      <c r="AW39" s="19">
        <f t="shared" si="68"/>
        <v>0</v>
      </c>
      <c r="AX39" s="19" t="e">
        <f t="shared" si="69"/>
        <v>#DIV/0!</v>
      </c>
      <c r="AY39" s="19">
        <f t="shared" si="70"/>
        <v>172860</v>
      </c>
      <c r="AZ39" s="19">
        <f t="shared" si="71"/>
        <v>100</v>
      </c>
      <c r="BA39" s="19">
        <f t="shared" si="72"/>
        <v>0</v>
      </c>
      <c r="BB39" s="19" t="e">
        <f t="shared" si="73"/>
        <v>#DIV/0!</v>
      </c>
      <c r="BC39" s="19">
        <f t="shared" si="74"/>
        <v>0</v>
      </c>
      <c r="BD39" s="19" t="e">
        <f t="shared" si="75"/>
        <v>#DIV/0!</v>
      </c>
    </row>
    <row r="40" spans="1:56">
      <c r="A40" s="17">
        <v>14</v>
      </c>
      <c r="B40" s="18" t="s">
        <v>44</v>
      </c>
      <c r="C40" s="19"/>
      <c r="D40" s="19"/>
      <c r="E40" s="19"/>
      <c r="F40" s="19"/>
      <c r="G40" s="19"/>
      <c r="H40" s="19"/>
      <c r="I40" s="19"/>
      <c r="J40" s="19"/>
      <c r="K40" s="19"/>
      <c r="L40" s="19">
        <v>21400</v>
      </c>
      <c r="M40" s="19"/>
      <c r="N40" s="19"/>
      <c r="O40" s="26"/>
      <c r="P40" s="17">
        <v>14</v>
      </c>
      <c r="Q40" s="18" t="s">
        <v>44</v>
      </c>
      <c r="R40" s="19">
        <v>21400</v>
      </c>
      <c r="S40" s="19">
        <v>21400</v>
      </c>
      <c r="T40" s="19">
        <v>21400</v>
      </c>
      <c r="U40" s="19"/>
      <c r="V40" s="19"/>
      <c r="W40" s="19"/>
      <c r="X40" s="19"/>
      <c r="Y40" s="19"/>
      <c r="Z40" s="19"/>
      <c r="AA40" s="19"/>
      <c r="AB40" s="19"/>
      <c r="AC40" s="19"/>
      <c r="AE40" s="17">
        <v>14</v>
      </c>
      <c r="AF40" s="18" t="s">
        <v>44</v>
      </c>
      <c r="AG40" s="19">
        <f t="shared" si="52"/>
        <v>-21400</v>
      </c>
      <c r="AH40" s="19" t="e">
        <f t="shared" si="53"/>
        <v>#DIV/0!</v>
      </c>
      <c r="AI40" s="19">
        <f t="shared" si="54"/>
        <v>-21400</v>
      </c>
      <c r="AJ40" s="19" t="e">
        <f t="shared" si="55"/>
        <v>#DIV/0!</v>
      </c>
      <c r="AK40" s="19">
        <f t="shared" si="56"/>
        <v>-21400</v>
      </c>
      <c r="AL40" s="19" t="e">
        <f t="shared" si="57"/>
        <v>#DIV/0!</v>
      </c>
      <c r="AM40" s="19">
        <f t="shared" si="58"/>
        <v>0</v>
      </c>
      <c r="AN40" s="19" t="e">
        <f t="shared" si="59"/>
        <v>#DIV/0!</v>
      </c>
      <c r="AO40" s="19">
        <f t="shared" si="60"/>
        <v>0</v>
      </c>
      <c r="AP40" s="19" t="e">
        <f t="shared" si="61"/>
        <v>#DIV/0!</v>
      </c>
      <c r="AQ40" s="19">
        <f t="shared" si="62"/>
        <v>0</v>
      </c>
      <c r="AR40" s="19" t="e">
        <f t="shared" si="63"/>
        <v>#DIV/0!</v>
      </c>
      <c r="AS40" s="19">
        <f t="shared" si="64"/>
        <v>0</v>
      </c>
      <c r="AT40" s="19" t="e">
        <f t="shared" si="65"/>
        <v>#DIV/0!</v>
      </c>
      <c r="AU40" s="19">
        <f t="shared" si="66"/>
        <v>0</v>
      </c>
      <c r="AV40" s="19" t="e">
        <f t="shared" si="67"/>
        <v>#DIV/0!</v>
      </c>
      <c r="AW40" s="19">
        <f t="shared" si="68"/>
        <v>0</v>
      </c>
      <c r="AX40" s="19" t="e">
        <f t="shared" si="69"/>
        <v>#DIV/0!</v>
      </c>
      <c r="AY40" s="19">
        <f t="shared" si="70"/>
        <v>21400</v>
      </c>
      <c r="AZ40" s="19">
        <f t="shared" si="71"/>
        <v>100</v>
      </c>
      <c r="BA40" s="19">
        <f t="shared" si="72"/>
        <v>0</v>
      </c>
      <c r="BB40" s="19" t="e">
        <f t="shared" si="73"/>
        <v>#DIV/0!</v>
      </c>
      <c r="BC40" s="19">
        <f t="shared" si="74"/>
        <v>0</v>
      </c>
      <c r="BD40" s="19" t="e">
        <f t="shared" si="75"/>
        <v>#DIV/0!</v>
      </c>
    </row>
    <row r="41" spans="1:56" ht="25.2" thickBot="1">
      <c r="A41" s="17"/>
      <c r="B41" s="20" t="s">
        <v>17</v>
      </c>
      <c r="C41" s="27">
        <f>SUM(C27:C40)</f>
        <v>15136910</v>
      </c>
      <c r="D41" s="27">
        <f t="shared" ref="D41:N41" si="76">SUM(D27:D40)</f>
        <v>15136910</v>
      </c>
      <c r="E41" s="27">
        <f t="shared" si="76"/>
        <v>15136910</v>
      </c>
      <c r="F41" s="27">
        <f t="shared" si="76"/>
        <v>0</v>
      </c>
      <c r="G41" s="27">
        <f t="shared" si="76"/>
        <v>0</v>
      </c>
      <c r="H41" s="27">
        <f t="shared" si="76"/>
        <v>0</v>
      </c>
      <c r="I41" s="27">
        <f t="shared" si="76"/>
        <v>0</v>
      </c>
      <c r="J41" s="27">
        <f t="shared" si="76"/>
        <v>0</v>
      </c>
      <c r="K41" s="27">
        <f t="shared" si="76"/>
        <v>0</v>
      </c>
      <c r="L41" s="27">
        <f t="shared" si="76"/>
        <v>10615233</v>
      </c>
      <c r="M41" s="27">
        <f t="shared" si="76"/>
        <v>0</v>
      </c>
      <c r="N41" s="27">
        <f t="shared" si="76"/>
        <v>0</v>
      </c>
      <c r="P41" s="17"/>
      <c r="Q41" s="20" t="s">
        <v>17</v>
      </c>
      <c r="R41" s="27">
        <f>SUM(R27:R40)</f>
        <v>28516648.420000002</v>
      </c>
      <c r="S41" s="27">
        <f t="shared" ref="S41:AC41" si="77">SUM(S27:S40)</f>
        <v>28516648.420000002</v>
      </c>
      <c r="T41" s="27">
        <f t="shared" si="77"/>
        <v>28516648.420000002</v>
      </c>
      <c r="U41" s="27">
        <f t="shared" si="77"/>
        <v>0</v>
      </c>
      <c r="V41" s="27">
        <f t="shared" si="77"/>
        <v>0</v>
      </c>
      <c r="W41" s="27">
        <f t="shared" si="77"/>
        <v>0</v>
      </c>
      <c r="X41" s="27">
        <f t="shared" si="77"/>
        <v>0</v>
      </c>
      <c r="Y41" s="27">
        <f t="shared" si="77"/>
        <v>0</v>
      </c>
      <c r="Z41" s="27">
        <f t="shared" si="77"/>
        <v>0</v>
      </c>
      <c r="AA41" s="27">
        <f t="shared" si="77"/>
        <v>0</v>
      </c>
      <c r="AB41" s="27">
        <f t="shared" si="77"/>
        <v>0</v>
      </c>
      <c r="AC41" s="27">
        <f t="shared" si="77"/>
        <v>0</v>
      </c>
      <c r="AE41" s="17"/>
      <c r="AF41" s="20" t="s">
        <v>17</v>
      </c>
      <c r="AG41" s="23">
        <f t="shared" si="52"/>
        <v>-13379738.420000002</v>
      </c>
      <c r="AH41" s="23">
        <f t="shared" si="53"/>
        <v>-88.391477652968817</v>
      </c>
      <c r="AI41" s="23">
        <f t="shared" si="54"/>
        <v>-13379738.420000002</v>
      </c>
      <c r="AJ41" s="23">
        <f t="shared" si="55"/>
        <v>-88.391477652968817</v>
      </c>
      <c r="AK41" s="23">
        <f t="shared" si="56"/>
        <v>-13379738.420000002</v>
      </c>
      <c r="AL41" s="23">
        <f t="shared" si="57"/>
        <v>-88.391477652968817</v>
      </c>
      <c r="AM41" s="23">
        <f t="shared" si="58"/>
        <v>0</v>
      </c>
      <c r="AN41" s="23" t="e">
        <f t="shared" si="59"/>
        <v>#DIV/0!</v>
      </c>
      <c r="AO41" s="23">
        <f t="shared" si="60"/>
        <v>0</v>
      </c>
      <c r="AP41" s="23" t="e">
        <f t="shared" si="61"/>
        <v>#DIV/0!</v>
      </c>
      <c r="AQ41" s="23">
        <f t="shared" si="62"/>
        <v>0</v>
      </c>
      <c r="AR41" s="23" t="e">
        <f t="shared" si="63"/>
        <v>#DIV/0!</v>
      </c>
      <c r="AS41" s="23">
        <f t="shared" si="64"/>
        <v>0</v>
      </c>
      <c r="AT41" s="23" t="e">
        <f t="shared" si="65"/>
        <v>#DIV/0!</v>
      </c>
      <c r="AU41" s="23">
        <f t="shared" si="66"/>
        <v>0</v>
      </c>
      <c r="AV41" s="23" t="e">
        <f t="shared" si="67"/>
        <v>#DIV/0!</v>
      </c>
      <c r="AW41" s="23">
        <f t="shared" si="68"/>
        <v>0</v>
      </c>
      <c r="AX41" s="23" t="e">
        <f t="shared" si="69"/>
        <v>#DIV/0!</v>
      </c>
      <c r="AY41" s="23">
        <f t="shared" si="70"/>
        <v>10615233</v>
      </c>
      <c r="AZ41" s="23">
        <f t="shared" si="71"/>
        <v>100</v>
      </c>
      <c r="BA41" s="23">
        <f t="shared" si="72"/>
        <v>0</v>
      </c>
      <c r="BB41" s="23" t="e">
        <f t="shared" si="73"/>
        <v>#DIV/0!</v>
      </c>
      <c r="BC41" s="23">
        <f t="shared" si="74"/>
        <v>0</v>
      </c>
      <c r="BD41" s="23" t="e">
        <f t="shared" si="75"/>
        <v>#DIV/0!</v>
      </c>
    </row>
    <row r="42" spans="1:56" ht="25.2" thickTop="1"/>
    <row r="43" spans="1:56">
      <c r="A43" s="37" t="s">
        <v>48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P43" s="37" t="s">
        <v>52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E43" s="37" t="s">
        <v>89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1:56">
      <c r="A44" s="37" t="s">
        <v>1951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P44" s="37" t="s">
        <v>1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E44" s="37" t="s">
        <v>1</v>
      </c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</row>
    <row r="45" spans="1:56" s="15" customFormat="1">
      <c r="A45" s="35" t="s">
        <v>2</v>
      </c>
      <c r="B45" s="35" t="s">
        <v>3</v>
      </c>
      <c r="C45" s="38" t="s">
        <v>4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P45" s="35" t="s">
        <v>2</v>
      </c>
      <c r="Q45" s="35" t="s">
        <v>3</v>
      </c>
      <c r="R45" s="38" t="s">
        <v>5</v>
      </c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40"/>
      <c r="AE45" s="35" t="s">
        <v>2</v>
      </c>
      <c r="AF45" s="35" t="s">
        <v>3</v>
      </c>
      <c r="AG45" s="33">
        <v>25112</v>
      </c>
      <c r="AH45" s="34"/>
      <c r="AI45" s="33">
        <v>25143</v>
      </c>
      <c r="AJ45" s="34"/>
      <c r="AK45" s="33">
        <v>25173</v>
      </c>
      <c r="AL45" s="34"/>
      <c r="AM45" s="33">
        <v>25204</v>
      </c>
      <c r="AN45" s="34"/>
      <c r="AO45" s="33">
        <v>25235</v>
      </c>
      <c r="AP45" s="34"/>
      <c r="AQ45" s="33">
        <v>25263</v>
      </c>
      <c r="AR45" s="34"/>
      <c r="AS45" s="33">
        <v>25294</v>
      </c>
      <c r="AT45" s="34"/>
      <c r="AU45" s="33">
        <v>25324</v>
      </c>
      <c r="AV45" s="34"/>
      <c r="AW45" s="33">
        <v>25355</v>
      </c>
      <c r="AX45" s="34"/>
      <c r="AY45" s="33">
        <v>25385</v>
      </c>
      <c r="AZ45" s="34"/>
      <c r="BA45" s="33">
        <v>25416</v>
      </c>
      <c r="BB45" s="34"/>
      <c r="BC45" s="33">
        <v>25447</v>
      </c>
      <c r="BD45" s="34"/>
    </row>
    <row r="46" spans="1:56" s="15" customFormat="1">
      <c r="A46" s="36"/>
      <c r="B46" s="36"/>
      <c r="C46" s="16">
        <v>25112</v>
      </c>
      <c r="D46" s="16">
        <v>25143</v>
      </c>
      <c r="E46" s="16">
        <v>25173</v>
      </c>
      <c r="F46" s="16">
        <v>25204</v>
      </c>
      <c r="G46" s="16">
        <v>25235</v>
      </c>
      <c r="H46" s="16">
        <v>25263</v>
      </c>
      <c r="I46" s="16">
        <v>25294</v>
      </c>
      <c r="J46" s="16">
        <v>25324</v>
      </c>
      <c r="K46" s="16">
        <v>25355</v>
      </c>
      <c r="L46" s="16">
        <v>25385</v>
      </c>
      <c r="M46" s="16">
        <v>25416</v>
      </c>
      <c r="N46" s="16">
        <v>25447</v>
      </c>
      <c r="P46" s="36"/>
      <c r="Q46" s="36"/>
      <c r="R46" s="16">
        <v>25112</v>
      </c>
      <c r="S46" s="16">
        <v>25143</v>
      </c>
      <c r="T46" s="16">
        <v>25173</v>
      </c>
      <c r="U46" s="16">
        <v>25204</v>
      </c>
      <c r="V46" s="16">
        <v>25235</v>
      </c>
      <c r="W46" s="16">
        <v>25263</v>
      </c>
      <c r="X46" s="16">
        <v>25294</v>
      </c>
      <c r="Y46" s="16">
        <v>25324</v>
      </c>
      <c r="Z46" s="16">
        <v>25355</v>
      </c>
      <c r="AA46" s="16">
        <v>25385</v>
      </c>
      <c r="AB46" s="16">
        <v>25416</v>
      </c>
      <c r="AC46" s="16">
        <v>25447</v>
      </c>
      <c r="AE46" s="36"/>
      <c r="AF46" s="36"/>
      <c r="AG46" s="16" t="s">
        <v>85</v>
      </c>
      <c r="AH46" s="16" t="s">
        <v>86</v>
      </c>
      <c r="AI46" s="16" t="s">
        <v>85</v>
      </c>
      <c r="AJ46" s="16" t="s">
        <v>86</v>
      </c>
      <c r="AK46" s="16" t="s">
        <v>85</v>
      </c>
      <c r="AL46" s="16" t="s">
        <v>86</v>
      </c>
      <c r="AM46" s="16" t="s">
        <v>85</v>
      </c>
      <c r="AN46" s="16" t="s">
        <v>86</v>
      </c>
      <c r="AO46" s="16" t="s">
        <v>85</v>
      </c>
      <c r="AP46" s="16" t="s">
        <v>86</v>
      </c>
      <c r="AQ46" s="16" t="s">
        <v>85</v>
      </c>
      <c r="AR46" s="16" t="s">
        <v>86</v>
      </c>
      <c r="AS46" s="16" t="s">
        <v>85</v>
      </c>
      <c r="AT46" s="16" t="s">
        <v>86</v>
      </c>
      <c r="AU46" s="16" t="s">
        <v>85</v>
      </c>
      <c r="AV46" s="16" t="s">
        <v>86</v>
      </c>
      <c r="AW46" s="16" t="s">
        <v>85</v>
      </c>
      <c r="AX46" s="16" t="s">
        <v>86</v>
      </c>
      <c r="AY46" s="16" t="s">
        <v>85</v>
      </c>
      <c r="AZ46" s="16" t="s">
        <v>86</v>
      </c>
      <c r="BA46" s="16" t="s">
        <v>85</v>
      </c>
      <c r="BB46" s="16" t="s">
        <v>86</v>
      </c>
      <c r="BC46" s="16" t="s">
        <v>85</v>
      </c>
      <c r="BD46" s="16" t="s">
        <v>86</v>
      </c>
    </row>
    <row r="47" spans="1:56">
      <c r="A47" s="17">
        <v>1</v>
      </c>
      <c r="B47" s="18" t="s">
        <v>19</v>
      </c>
      <c r="C47" s="19"/>
      <c r="D47" s="19"/>
      <c r="E47" s="19"/>
      <c r="F47" s="19"/>
      <c r="G47" s="18"/>
      <c r="H47" s="18"/>
      <c r="I47" s="18"/>
      <c r="J47" s="18"/>
      <c r="K47" s="18"/>
      <c r="L47" s="18"/>
      <c r="M47" s="18"/>
      <c r="N47" s="18"/>
      <c r="P47" s="17">
        <v>1</v>
      </c>
      <c r="Q47" s="18" t="s">
        <v>19</v>
      </c>
      <c r="R47" s="19">
        <v>1545919.42</v>
      </c>
      <c r="S47" s="19">
        <v>1545919.42</v>
      </c>
      <c r="T47" s="19">
        <v>1545919.42</v>
      </c>
      <c r="U47" s="19"/>
      <c r="V47" s="18"/>
      <c r="W47" s="18"/>
      <c r="X47" s="18"/>
      <c r="Y47" s="18"/>
      <c r="Z47" s="18"/>
      <c r="AA47" s="18"/>
      <c r="AB47" s="18"/>
      <c r="AC47" s="18"/>
      <c r="AE47" s="17">
        <v>1</v>
      </c>
      <c r="AF47" s="18" t="s">
        <v>19</v>
      </c>
      <c r="AG47" s="19">
        <f t="shared" ref="AG47:AG61" si="78">+C47-R47</f>
        <v>-1545919.42</v>
      </c>
      <c r="AH47" s="19" t="e">
        <f t="shared" ref="AH47:AH61" si="79">+AG47/C47*100</f>
        <v>#DIV/0!</v>
      </c>
      <c r="AI47" s="19">
        <f t="shared" ref="AI47:AI61" si="80">+D47-S47</f>
        <v>-1545919.42</v>
      </c>
      <c r="AJ47" s="19" t="e">
        <f t="shared" ref="AJ47:AJ61" si="81">+AI47/D47*100</f>
        <v>#DIV/0!</v>
      </c>
      <c r="AK47" s="19">
        <f t="shared" ref="AK47:AK61" si="82">+E47-T47</f>
        <v>-1545919.42</v>
      </c>
      <c r="AL47" s="19" t="e">
        <f t="shared" ref="AL47:AL61" si="83">+AK47/E47*100</f>
        <v>#DIV/0!</v>
      </c>
      <c r="AM47" s="19">
        <f t="shared" ref="AM47:AM61" si="84">+F47-U47</f>
        <v>0</v>
      </c>
      <c r="AN47" s="19" t="e">
        <f t="shared" ref="AN47:AN61" si="85">+AM47/F47*100</f>
        <v>#DIV/0!</v>
      </c>
      <c r="AO47" s="19">
        <f t="shared" ref="AO47:AO61" si="86">+G47-V47</f>
        <v>0</v>
      </c>
      <c r="AP47" s="19" t="e">
        <f t="shared" ref="AP47:AP61" si="87">+AO47/G47*100</f>
        <v>#DIV/0!</v>
      </c>
      <c r="AQ47" s="19">
        <f t="shared" ref="AQ47:AQ61" si="88">+H47-W47</f>
        <v>0</v>
      </c>
      <c r="AR47" s="19" t="e">
        <f t="shared" ref="AR47:AR61" si="89">+AQ47/H47*100</f>
        <v>#DIV/0!</v>
      </c>
      <c r="AS47" s="19">
        <f t="shared" ref="AS47:AS61" si="90">+I47-X47</f>
        <v>0</v>
      </c>
      <c r="AT47" s="19" t="e">
        <f t="shared" ref="AT47:AT61" si="91">+AS47/I47*100</f>
        <v>#DIV/0!</v>
      </c>
      <c r="AU47" s="19">
        <f t="shared" ref="AU47:AU61" si="92">+J47-Y47</f>
        <v>0</v>
      </c>
      <c r="AV47" s="19" t="e">
        <f t="shared" ref="AV47:AV61" si="93">+AU47/J47*100</f>
        <v>#DIV/0!</v>
      </c>
      <c r="AW47" s="19">
        <f t="shared" ref="AW47:AW61" si="94">+K47-Z47</f>
        <v>0</v>
      </c>
      <c r="AX47" s="19" t="e">
        <f t="shared" ref="AX47:AX61" si="95">+AW47/K47*100</f>
        <v>#DIV/0!</v>
      </c>
      <c r="AY47" s="19">
        <f t="shared" ref="AY47:AY61" si="96">+L47-AA47</f>
        <v>0</v>
      </c>
      <c r="AZ47" s="19" t="e">
        <f t="shared" ref="AZ47:AZ61" si="97">+AY47/L47*100</f>
        <v>#DIV/0!</v>
      </c>
      <c r="BA47" s="19">
        <f t="shared" ref="BA47:BA61" si="98">+M47-AB47</f>
        <v>0</v>
      </c>
      <c r="BB47" s="19" t="e">
        <f t="shared" ref="BB47:BB61" si="99">+BA47/M47*100</f>
        <v>#DIV/0!</v>
      </c>
      <c r="BC47" s="19">
        <f t="shared" ref="BC47:BC61" si="100">+N47-AC47</f>
        <v>0</v>
      </c>
      <c r="BD47" s="19" t="e">
        <f t="shared" ref="BD47:BD61" si="101">+BC47/N47*100</f>
        <v>#DIV/0!</v>
      </c>
    </row>
    <row r="48" spans="1:56">
      <c r="A48" s="17">
        <v>2</v>
      </c>
      <c r="B48" s="18" t="s">
        <v>21</v>
      </c>
      <c r="C48" s="19">
        <v>2099999</v>
      </c>
      <c r="D48" s="19">
        <v>2099999</v>
      </c>
      <c r="E48" s="19">
        <v>2099999</v>
      </c>
      <c r="F48" s="19"/>
      <c r="G48" s="18"/>
      <c r="H48" s="18"/>
      <c r="I48" s="18"/>
      <c r="J48" s="18"/>
      <c r="K48" s="18"/>
      <c r="L48" s="18"/>
      <c r="M48" s="18"/>
      <c r="N48" s="18"/>
      <c r="P48" s="17">
        <v>2</v>
      </c>
      <c r="Q48" s="18" t="s">
        <v>21</v>
      </c>
      <c r="R48" s="19">
        <v>3146458</v>
      </c>
      <c r="S48" s="19">
        <v>3146458</v>
      </c>
      <c r="T48" s="19">
        <v>3146458</v>
      </c>
      <c r="U48" s="19"/>
      <c r="V48" s="18"/>
      <c r="W48" s="18"/>
      <c r="X48" s="18"/>
      <c r="Y48" s="18"/>
      <c r="Z48" s="18"/>
      <c r="AA48" s="18"/>
      <c r="AB48" s="18"/>
      <c r="AC48" s="18"/>
      <c r="AE48" s="17">
        <v>2</v>
      </c>
      <c r="AF48" s="18" t="s">
        <v>21</v>
      </c>
      <c r="AG48" s="19">
        <f t="shared" si="78"/>
        <v>-1046459</v>
      </c>
      <c r="AH48" s="19">
        <f t="shared" si="79"/>
        <v>-49.831404681621279</v>
      </c>
      <c r="AI48" s="19">
        <f t="shared" si="80"/>
        <v>-1046459</v>
      </c>
      <c r="AJ48" s="19">
        <f t="shared" si="81"/>
        <v>-49.831404681621279</v>
      </c>
      <c r="AK48" s="19">
        <f t="shared" si="82"/>
        <v>-1046459</v>
      </c>
      <c r="AL48" s="19">
        <f t="shared" si="83"/>
        <v>-49.831404681621279</v>
      </c>
      <c r="AM48" s="19">
        <f t="shared" si="84"/>
        <v>0</v>
      </c>
      <c r="AN48" s="19" t="e">
        <f t="shared" si="85"/>
        <v>#DIV/0!</v>
      </c>
      <c r="AO48" s="19">
        <f t="shared" si="86"/>
        <v>0</v>
      </c>
      <c r="AP48" s="19" t="e">
        <f t="shared" si="87"/>
        <v>#DIV/0!</v>
      </c>
      <c r="AQ48" s="19">
        <f t="shared" si="88"/>
        <v>0</v>
      </c>
      <c r="AR48" s="19" t="e">
        <f t="shared" si="89"/>
        <v>#DIV/0!</v>
      </c>
      <c r="AS48" s="19">
        <f t="shared" si="90"/>
        <v>0</v>
      </c>
      <c r="AT48" s="19" t="e">
        <f t="shared" si="91"/>
        <v>#DIV/0!</v>
      </c>
      <c r="AU48" s="19">
        <f t="shared" si="92"/>
        <v>0</v>
      </c>
      <c r="AV48" s="19" t="e">
        <f t="shared" si="93"/>
        <v>#DIV/0!</v>
      </c>
      <c r="AW48" s="19">
        <f t="shared" si="94"/>
        <v>0</v>
      </c>
      <c r="AX48" s="19" t="e">
        <f t="shared" si="95"/>
        <v>#DIV/0!</v>
      </c>
      <c r="AY48" s="19">
        <f t="shared" si="96"/>
        <v>0</v>
      </c>
      <c r="AZ48" s="19" t="e">
        <f t="shared" si="97"/>
        <v>#DIV/0!</v>
      </c>
      <c r="BA48" s="19">
        <f t="shared" si="98"/>
        <v>0</v>
      </c>
      <c r="BB48" s="19" t="e">
        <f t="shared" si="99"/>
        <v>#DIV/0!</v>
      </c>
      <c r="BC48" s="19">
        <f t="shared" si="100"/>
        <v>0</v>
      </c>
      <c r="BD48" s="19" t="e">
        <f t="shared" si="101"/>
        <v>#DIV/0!</v>
      </c>
    </row>
    <row r="49" spans="1:56">
      <c r="A49" s="17">
        <v>3</v>
      </c>
      <c r="B49" s="18" t="s">
        <v>23</v>
      </c>
      <c r="C49" s="19"/>
      <c r="D49" s="19"/>
      <c r="E49" s="19"/>
      <c r="F49" s="19"/>
      <c r="G49" s="18"/>
      <c r="H49" s="18"/>
      <c r="I49" s="18"/>
      <c r="J49" s="18"/>
      <c r="K49" s="18"/>
      <c r="L49" s="18"/>
      <c r="M49" s="18"/>
      <c r="N49" s="18"/>
      <c r="P49" s="17">
        <v>3</v>
      </c>
      <c r="Q49" s="18" t="s">
        <v>23</v>
      </c>
      <c r="R49" s="19"/>
      <c r="S49" s="19"/>
      <c r="T49" s="19"/>
      <c r="U49" s="19"/>
      <c r="V49" s="18"/>
      <c r="W49" s="18"/>
      <c r="X49" s="18"/>
      <c r="Y49" s="18"/>
      <c r="Z49" s="18"/>
      <c r="AA49" s="18"/>
      <c r="AB49" s="18"/>
      <c r="AC49" s="18"/>
      <c r="AE49" s="17">
        <v>3</v>
      </c>
      <c r="AF49" s="18" t="s">
        <v>23</v>
      </c>
      <c r="AG49" s="19">
        <f t="shared" si="78"/>
        <v>0</v>
      </c>
      <c r="AH49" s="19" t="e">
        <f t="shared" si="79"/>
        <v>#DIV/0!</v>
      </c>
      <c r="AI49" s="19">
        <f t="shared" si="80"/>
        <v>0</v>
      </c>
      <c r="AJ49" s="19" t="e">
        <f t="shared" si="81"/>
        <v>#DIV/0!</v>
      </c>
      <c r="AK49" s="19">
        <f t="shared" si="82"/>
        <v>0</v>
      </c>
      <c r="AL49" s="19" t="e">
        <f t="shared" si="83"/>
        <v>#DIV/0!</v>
      </c>
      <c r="AM49" s="19">
        <f t="shared" si="84"/>
        <v>0</v>
      </c>
      <c r="AN49" s="19" t="e">
        <f t="shared" si="85"/>
        <v>#DIV/0!</v>
      </c>
      <c r="AO49" s="19">
        <f t="shared" si="86"/>
        <v>0</v>
      </c>
      <c r="AP49" s="19" t="e">
        <f t="shared" si="87"/>
        <v>#DIV/0!</v>
      </c>
      <c r="AQ49" s="19">
        <f t="shared" si="88"/>
        <v>0</v>
      </c>
      <c r="AR49" s="19" t="e">
        <f t="shared" si="89"/>
        <v>#DIV/0!</v>
      </c>
      <c r="AS49" s="19">
        <f t="shared" si="90"/>
        <v>0</v>
      </c>
      <c r="AT49" s="19" t="e">
        <f t="shared" si="91"/>
        <v>#DIV/0!</v>
      </c>
      <c r="AU49" s="19">
        <f t="shared" si="92"/>
        <v>0</v>
      </c>
      <c r="AV49" s="19" t="e">
        <f t="shared" si="93"/>
        <v>#DIV/0!</v>
      </c>
      <c r="AW49" s="19">
        <f t="shared" si="94"/>
        <v>0</v>
      </c>
      <c r="AX49" s="19" t="e">
        <f t="shared" si="95"/>
        <v>#DIV/0!</v>
      </c>
      <c r="AY49" s="19">
        <f t="shared" si="96"/>
        <v>0</v>
      </c>
      <c r="AZ49" s="19" t="e">
        <f t="shared" si="97"/>
        <v>#DIV/0!</v>
      </c>
      <c r="BA49" s="19">
        <f t="shared" si="98"/>
        <v>0</v>
      </c>
      <c r="BB49" s="19" t="e">
        <f t="shared" si="99"/>
        <v>#DIV/0!</v>
      </c>
      <c r="BC49" s="19">
        <f t="shared" si="100"/>
        <v>0</v>
      </c>
      <c r="BD49" s="19" t="e">
        <f t="shared" si="101"/>
        <v>#DIV/0!</v>
      </c>
    </row>
    <row r="50" spans="1:56">
      <c r="A50" s="17">
        <v>4</v>
      </c>
      <c r="B50" s="18" t="s">
        <v>25</v>
      </c>
      <c r="C50" s="19"/>
      <c r="D50" s="19"/>
      <c r="E50" s="19"/>
      <c r="F50" s="19"/>
      <c r="G50" s="18"/>
      <c r="H50" s="18"/>
      <c r="I50" s="18"/>
      <c r="J50" s="18"/>
      <c r="K50" s="18"/>
      <c r="L50" s="18"/>
      <c r="M50" s="18"/>
      <c r="N50" s="18"/>
      <c r="P50" s="17">
        <v>4</v>
      </c>
      <c r="Q50" s="18" t="s">
        <v>25</v>
      </c>
      <c r="R50" s="19"/>
      <c r="S50" s="19"/>
      <c r="T50" s="19"/>
      <c r="U50" s="19"/>
      <c r="V50" s="18"/>
      <c r="W50" s="18"/>
      <c r="X50" s="18"/>
      <c r="Y50" s="18"/>
      <c r="Z50" s="18"/>
      <c r="AA50" s="18"/>
      <c r="AB50" s="18"/>
      <c r="AC50" s="18"/>
      <c r="AE50" s="17">
        <v>4</v>
      </c>
      <c r="AF50" s="18" t="s">
        <v>25</v>
      </c>
      <c r="AG50" s="19">
        <f t="shared" si="78"/>
        <v>0</v>
      </c>
      <c r="AH50" s="19" t="e">
        <f t="shared" si="79"/>
        <v>#DIV/0!</v>
      </c>
      <c r="AI50" s="19">
        <f t="shared" si="80"/>
        <v>0</v>
      </c>
      <c r="AJ50" s="19" t="e">
        <f t="shared" si="81"/>
        <v>#DIV/0!</v>
      </c>
      <c r="AK50" s="19">
        <f t="shared" si="82"/>
        <v>0</v>
      </c>
      <c r="AL50" s="19" t="e">
        <f t="shared" si="83"/>
        <v>#DIV/0!</v>
      </c>
      <c r="AM50" s="19">
        <f t="shared" si="84"/>
        <v>0</v>
      </c>
      <c r="AN50" s="19" t="e">
        <f t="shared" si="85"/>
        <v>#DIV/0!</v>
      </c>
      <c r="AO50" s="19">
        <f t="shared" si="86"/>
        <v>0</v>
      </c>
      <c r="AP50" s="19" t="e">
        <f t="shared" si="87"/>
        <v>#DIV/0!</v>
      </c>
      <c r="AQ50" s="19">
        <f t="shared" si="88"/>
        <v>0</v>
      </c>
      <c r="AR50" s="19" t="e">
        <f t="shared" si="89"/>
        <v>#DIV/0!</v>
      </c>
      <c r="AS50" s="19">
        <f t="shared" si="90"/>
        <v>0</v>
      </c>
      <c r="AT50" s="19" t="e">
        <f t="shared" si="91"/>
        <v>#DIV/0!</v>
      </c>
      <c r="AU50" s="19">
        <f t="shared" si="92"/>
        <v>0</v>
      </c>
      <c r="AV50" s="19" t="e">
        <f t="shared" si="93"/>
        <v>#DIV/0!</v>
      </c>
      <c r="AW50" s="19">
        <f t="shared" si="94"/>
        <v>0</v>
      </c>
      <c r="AX50" s="19" t="e">
        <f t="shared" si="95"/>
        <v>#DIV/0!</v>
      </c>
      <c r="AY50" s="19">
        <f t="shared" si="96"/>
        <v>0</v>
      </c>
      <c r="AZ50" s="19" t="e">
        <f t="shared" si="97"/>
        <v>#DIV/0!</v>
      </c>
      <c r="BA50" s="19">
        <f t="shared" si="98"/>
        <v>0</v>
      </c>
      <c r="BB50" s="19" t="e">
        <f t="shared" si="99"/>
        <v>#DIV/0!</v>
      </c>
      <c r="BC50" s="19">
        <f t="shared" si="100"/>
        <v>0</v>
      </c>
      <c r="BD50" s="19" t="e">
        <f t="shared" si="101"/>
        <v>#DIV/0!</v>
      </c>
    </row>
    <row r="51" spans="1:56">
      <c r="A51" s="17">
        <v>5</v>
      </c>
      <c r="B51" s="18" t="s">
        <v>27</v>
      </c>
      <c r="C51" s="19"/>
      <c r="D51" s="19"/>
      <c r="E51" s="19"/>
      <c r="F51" s="19"/>
      <c r="G51" s="18"/>
      <c r="H51" s="18"/>
      <c r="I51" s="18"/>
      <c r="J51" s="18"/>
      <c r="K51" s="18"/>
      <c r="L51" s="18"/>
      <c r="M51" s="18"/>
      <c r="N51" s="18"/>
      <c r="P51" s="17">
        <v>5</v>
      </c>
      <c r="Q51" s="18" t="s">
        <v>27</v>
      </c>
      <c r="R51" s="19"/>
      <c r="S51" s="19"/>
      <c r="T51" s="19"/>
      <c r="U51" s="19"/>
      <c r="V51" s="18"/>
      <c r="W51" s="18"/>
      <c r="X51" s="18"/>
      <c r="Y51" s="18"/>
      <c r="Z51" s="18"/>
      <c r="AA51" s="18"/>
      <c r="AB51" s="18"/>
      <c r="AC51" s="18"/>
      <c r="AE51" s="17">
        <v>5</v>
      </c>
      <c r="AF51" s="18" t="s">
        <v>27</v>
      </c>
      <c r="AG51" s="19">
        <f t="shared" si="78"/>
        <v>0</v>
      </c>
      <c r="AH51" s="19" t="e">
        <f t="shared" si="79"/>
        <v>#DIV/0!</v>
      </c>
      <c r="AI51" s="19">
        <f t="shared" si="80"/>
        <v>0</v>
      </c>
      <c r="AJ51" s="19" t="e">
        <f t="shared" si="81"/>
        <v>#DIV/0!</v>
      </c>
      <c r="AK51" s="19">
        <f t="shared" si="82"/>
        <v>0</v>
      </c>
      <c r="AL51" s="19" t="e">
        <f t="shared" si="83"/>
        <v>#DIV/0!</v>
      </c>
      <c r="AM51" s="19">
        <f t="shared" si="84"/>
        <v>0</v>
      </c>
      <c r="AN51" s="19" t="e">
        <f t="shared" si="85"/>
        <v>#DIV/0!</v>
      </c>
      <c r="AO51" s="19">
        <f t="shared" si="86"/>
        <v>0</v>
      </c>
      <c r="AP51" s="19" t="e">
        <f t="shared" si="87"/>
        <v>#DIV/0!</v>
      </c>
      <c r="AQ51" s="19">
        <f t="shared" si="88"/>
        <v>0</v>
      </c>
      <c r="AR51" s="19" t="e">
        <f t="shared" si="89"/>
        <v>#DIV/0!</v>
      </c>
      <c r="AS51" s="19">
        <f t="shared" si="90"/>
        <v>0</v>
      </c>
      <c r="AT51" s="19" t="e">
        <f t="shared" si="91"/>
        <v>#DIV/0!</v>
      </c>
      <c r="AU51" s="19">
        <f t="shared" si="92"/>
        <v>0</v>
      </c>
      <c r="AV51" s="19" t="e">
        <f t="shared" si="93"/>
        <v>#DIV/0!</v>
      </c>
      <c r="AW51" s="19">
        <f t="shared" si="94"/>
        <v>0</v>
      </c>
      <c r="AX51" s="19" t="e">
        <f t="shared" si="95"/>
        <v>#DIV/0!</v>
      </c>
      <c r="AY51" s="19">
        <f t="shared" si="96"/>
        <v>0</v>
      </c>
      <c r="AZ51" s="19" t="e">
        <f t="shared" si="97"/>
        <v>#DIV/0!</v>
      </c>
      <c r="BA51" s="19">
        <f t="shared" si="98"/>
        <v>0</v>
      </c>
      <c r="BB51" s="19" t="e">
        <f t="shared" si="99"/>
        <v>#DIV/0!</v>
      </c>
      <c r="BC51" s="19">
        <f t="shared" si="100"/>
        <v>0</v>
      </c>
      <c r="BD51" s="19" t="e">
        <f t="shared" si="101"/>
        <v>#DIV/0!</v>
      </c>
    </row>
    <row r="52" spans="1:56">
      <c r="A52" s="17">
        <v>6</v>
      </c>
      <c r="B52" s="18" t="s">
        <v>29</v>
      </c>
      <c r="C52" s="19">
        <v>6985642.8899999997</v>
      </c>
      <c r="D52" s="19">
        <v>7171508.1699999999</v>
      </c>
      <c r="E52" s="19">
        <v>7363568.9800000004</v>
      </c>
      <c r="F52" s="19"/>
      <c r="G52" s="18"/>
      <c r="H52" s="18"/>
      <c r="I52" s="18"/>
      <c r="J52" s="18"/>
      <c r="K52" s="18"/>
      <c r="L52" s="18"/>
      <c r="M52" s="18"/>
      <c r="N52" s="18"/>
      <c r="P52" s="17">
        <v>6</v>
      </c>
      <c r="Q52" s="18" t="s">
        <v>29</v>
      </c>
      <c r="R52" s="19">
        <v>17158445.25</v>
      </c>
      <c r="S52" s="19">
        <v>17388743.75</v>
      </c>
      <c r="T52" s="19">
        <v>17619042.25</v>
      </c>
      <c r="U52" s="19"/>
      <c r="V52" s="18"/>
      <c r="W52" s="18"/>
      <c r="X52" s="18"/>
      <c r="Y52" s="18"/>
      <c r="Z52" s="18"/>
      <c r="AA52" s="18"/>
      <c r="AB52" s="18"/>
      <c r="AC52" s="18"/>
      <c r="AE52" s="17">
        <v>6</v>
      </c>
      <c r="AF52" s="18" t="s">
        <v>29</v>
      </c>
      <c r="AG52" s="19">
        <f t="shared" si="78"/>
        <v>-10172802.359999999</v>
      </c>
      <c r="AH52" s="19">
        <f t="shared" si="79"/>
        <v>-145.62442598608129</v>
      </c>
      <c r="AI52" s="19">
        <f t="shared" si="80"/>
        <v>-10217235.58</v>
      </c>
      <c r="AJ52" s="19">
        <f t="shared" si="81"/>
        <v>-142.4698311401352</v>
      </c>
      <c r="AK52" s="19">
        <f t="shared" si="82"/>
        <v>-10255473.27</v>
      </c>
      <c r="AL52" s="19">
        <f t="shared" si="83"/>
        <v>-139.27313369175499</v>
      </c>
      <c r="AM52" s="19">
        <f t="shared" si="84"/>
        <v>0</v>
      </c>
      <c r="AN52" s="19" t="e">
        <f t="shared" si="85"/>
        <v>#DIV/0!</v>
      </c>
      <c r="AO52" s="19">
        <f t="shared" si="86"/>
        <v>0</v>
      </c>
      <c r="AP52" s="19" t="e">
        <f t="shared" si="87"/>
        <v>#DIV/0!</v>
      </c>
      <c r="AQ52" s="19">
        <f t="shared" si="88"/>
        <v>0</v>
      </c>
      <c r="AR52" s="19" t="e">
        <f t="shared" si="89"/>
        <v>#DIV/0!</v>
      </c>
      <c r="AS52" s="19">
        <f t="shared" si="90"/>
        <v>0</v>
      </c>
      <c r="AT52" s="19" t="e">
        <f t="shared" si="91"/>
        <v>#DIV/0!</v>
      </c>
      <c r="AU52" s="19">
        <f t="shared" si="92"/>
        <v>0</v>
      </c>
      <c r="AV52" s="19" t="e">
        <f t="shared" si="93"/>
        <v>#DIV/0!</v>
      </c>
      <c r="AW52" s="19">
        <f t="shared" si="94"/>
        <v>0</v>
      </c>
      <c r="AX52" s="19" t="e">
        <f t="shared" si="95"/>
        <v>#DIV/0!</v>
      </c>
      <c r="AY52" s="19">
        <f t="shared" si="96"/>
        <v>0</v>
      </c>
      <c r="AZ52" s="19" t="e">
        <f t="shared" si="97"/>
        <v>#DIV/0!</v>
      </c>
      <c r="BA52" s="19">
        <f t="shared" si="98"/>
        <v>0</v>
      </c>
      <c r="BB52" s="19" t="e">
        <f t="shared" si="99"/>
        <v>#DIV/0!</v>
      </c>
      <c r="BC52" s="19">
        <f t="shared" si="100"/>
        <v>0</v>
      </c>
      <c r="BD52" s="19" t="e">
        <f t="shared" si="101"/>
        <v>#DIV/0!</v>
      </c>
    </row>
    <row r="53" spans="1:56">
      <c r="A53" s="17">
        <v>7</v>
      </c>
      <c r="B53" s="18" t="s">
        <v>31</v>
      </c>
      <c r="C53" s="19"/>
      <c r="D53" s="19"/>
      <c r="E53" s="19"/>
      <c r="F53" s="19"/>
      <c r="G53" s="18"/>
      <c r="H53" s="18"/>
      <c r="I53" s="18"/>
      <c r="J53" s="18"/>
      <c r="K53" s="18"/>
      <c r="L53" s="18"/>
      <c r="M53" s="18"/>
      <c r="N53" s="18"/>
      <c r="P53" s="17">
        <v>7</v>
      </c>
      <c r="Q53" s="18" t="s">
        <v>31</v>
      </c>
      <c r="R53" s="19"/>
      <c r="S53" s="19"/>
      <c r="T53" s="19"/>
      <c r="U53" s="19"/>
      <c r="V53" s="18"/>
      <c r="W53" s="18"/>
      <c r="X53" s="18"/>
      <c r="Y53" s="18"/>
      <c r="Z53" s="18"/>
      <c r="AA53" s="18"/>
      <c r="AB53" s="18"/>
      <c r="AC53" s="18"/>
      <c r="AE53" s="17">
        <v>7</v>
      </c>
      <c r="AF53" s="18" t="s">
        <v>31</v>
      </c>
      <c r="AG53" s="19">
        <f t="shared" si="78"/>
        <v>0</v>
      </c>
      <c r="AH53" s="19" t="e">
        <f t="shared" si="79"/>
        <v>#DIV/0!</v>
      </c>
      <c r="AI53" s="19">
        <f t="shared" si="80"/>
        <v>0</v>
      </c>
      <c r="AJ53" s="19" t="e">
        <f t="shared" si="81"/>
        <v>#DIV/0!</v>
      </c>
      <c r="AK53" s="19">
        <f t="shared" si="82"/>
        <v>0</v>
      </c>
      <c r="AL53" s="19" t="e">
        <f t="shared" si="83"/>
        <v>#DIV/0!</v>
      </c>
      <c r="AM53" s="19">
        <f t="shared" si="84"/>
        <v>0</v>
      </c>
      <c r="AN53" s="19" t="e">
        <f t="shared" si="85"/>
        <v>#DIV/0!</v>
      </c>
      <c r="AO53" s="19">
        <f t="shared" si="86"/>
        <v>0</v>
      </c>
      <c r="AP53" s="19" t="e">
        <f t="shared" si="87"/>
        <v>#DIV/0!</v>
      </c>
      <c r="AQ53" s="19">
        <f t="shared" si="88"/>
        <v>0</v>
      </c>
      <c r="AR53" s="19" t="e">
        <f t="shared" si="89"/>
        <v>#DIV/0!</v>
      </c>
      <c r="AS53" s="19">
        <f t="shared" si="90"/>
        <v>0</v>
      </c>
      <c r="AT53" s="19" t="e">
        <f t="shared" si="91"/>
        <v>#DIV/0!</v>
      </c>
      <c r="AU53" s="19">
        <f t="shared" si="92"/>
        <v>0</v>
      </c>
      <c r="AV53" s="19" t="e">
        <f t="shared" si="93"/>
        <v>#DIV/0!</v>
      </c>
      <c r="AW53" s="19">
        <f t="shared" si="94"/>
        <v>0</v>
      </c>
      <c r="AX53" s="19" t="e">
        <f t="shared" si="95"/>
        <v>#DIV/0!</v>
      </c>
      <c r="AY53" s="19">
        <f t="shared" si="96"/>
        <v>0</v>
      </c>
      <c r="AZ53" s="19" t="e">
        <f t="shared" si="97"/>
        <v>#DIV/0!</v>
      </c>
      <c r="BA53" s="19">
        <f t="shared" si="98"/>
        <v>0</v>
      </c>
      <c r="BB53" s="19" t="e">
        <f t="shared" si="99"/>
        <v>#DIV/0!</v>
      </c>
      <c r="BC53" s="19">
        <f t="shared" si="100"/>
        <v>0</v>
      </c>
      <c r="BD53" s="19" t="e">
        <f t="shared" si="101"/>
        <v>#DIV/0!</v>
      </c>
    </row>
    <row r="54" spans="1:56">
      <c r="A54" s="17">
        <v>8</v>
      </c>
      <c r="B54" s="18" t="s">
        <v>33</v>
      </c>
      <c r="C54" s="19">
        <v>682499</v>
      </c>
      <c r="D54" s="19">
        <v>682499</v>
      </c>
      <c r="E54" s="19">
        <v>682499</v>
      </c>
      <c r="F54" s="19"/>
      <c r="G54" s="18"/>
      <c r="H54" s="18"/>
      <c r="I54" s="18"/>
      <c r="J54" s="18"/>
      <c r="K54" s="18"/>
      <c r="L54" s="18"/>
      <c r="M54" s="18"/>
      <c r="N54" s="18"/>
      <c r="P54" s="17">
        <v>8</v>
      </c>
      <c r="Q54" s="18" t="s">
        <v>33</v>
      </c>
      <c r="R54" s="19">
        <v>755927</v>
      </c>
      <c r="S54" s="19">
        <v>755927</v>
      </c>
      <c r="T54" s="19">
        <v>755927</v>
      </c>
      <c r="U54" s="19"/>
      <c r="V54" s="18"/>
      <c r="W54" s="18"/>
      <c r="X54" s="18"/>
      <c r="Y54" s="18"/>
      <c r="Z54" s="18"/>
      <c r="AA54" s="18"/>
      <c r="AB54" s="18"/>
      <c r="AC54" s="18"/>
      <c r="AE54" s="17">
        <v>8</v>
      </c>
      <c r="AF54" s="18" t="s">
        <v>33</v>
      </c>
      <c r="AG54" s="19">
        <f t="shared" si="78"/>
        <v>-73428</v>
      </c>
      <c r="AH54" s="19">
        <f t="shared" si="79"/>
        <v>-10.758697082340047</v>
      </c>
      <c r="AI54" s="19">
        <f t="shared" si="80"/>
        <v>-73428</v>
      </c>
      <c r="AJ54" s="19">
        <f t="shared" si="81"/>
        <v>-10.758697082340047</v>
      </c>
      <c r="AK54" s="19">
        <f t="shared" si="82"/>
        <v>-73428</v>
      </c>
      <c r="AL54" s="19">
        <f t="shared" si="83"/>
        <v>-10.758697082340047</v>
      </c>
      <c r="AM54" s="19">
        <f t="shared" si="84"/>
        <v>0</v>
      </c>
      <c r="AN54" s="19" t="e">
        <f t="shared" si="85"/>
        <v>#DIV/0!</v>
      </c>
      <c r="AO54" s="19">
        <f t="shared" si="86"/>
        <v>0</v>
      </c>
      <c r="AP54" s="19" t="e">
        <f t="shared" si="87"/>
        <v>#DIV/0!</v>
      </c>
      <c r="AQ54" s="19">
        <f t="shared" si="88"/>
        <v>0</v>
      </c>
      <c r="AR54" s="19" t="e">
        <f t="shared" si="89"/>
        <v>#DIV/0!</v>
      </c>
      <c r="AS54" s="19">
        <f t="shared" si="90"/>
        <v>0</v>
      </c>
      <c r="AT54" s="19" t="e">
        <f t="shared" si="91"/>
        <v>#DIV/0!</v>
      </c>
      <c r="AU54" s="19">
        <f t="shared" si="92"/>
        <v>0</v>
      </c>
      <c r="AV54" s="19" t="e">
        <f t="shared" si="93"/>
        <v>#DIV/0!</v>
      </c>
      <c r="AW54" s="19">
        <f t="shared" si="94"/>
        <v>0</v>
      </c>
      <c r="AX54" s="19" t="e">
        <f t="shared" si="95"/>
        <v>#DIV/0!</v>
      </c>
      <c r="AY54" s="19">
        <f t="shared" si="96"/>
        <v>0</v>
      </c>
      <c r="AZ54" s="19" t="e">
        <f t="shared" si="97"/>
        <v>#DIV/0!</v>
      </c>
      <c r="BA54" s="19">
        <f t="shared" si="98"/>
        <v>0</v>
      </c>
      <c r="BB54" s="19" t="e">
        <f t="shared" si="99"/>
        <v>#DIV/0!</v>
      </c>
      <c r="BC54" s="19">
        <f t="shared" si="100"/>
        <v>0</v>
      </c>
      <c r="BD54" s="19" t="e">
        <f t="shared" si="101"/>
        <v>#DIV/0!</v>
      </c>
    </row>
    <row r="55" spans="1:56">
      <c r="A55" s="17">
        <v>9</v>
      </c>
      <c r="B55" s="18" t="s">
        <v>35</v>
      </c>
      <c r="C55" s="19"/>
      <c r="D55" s="19"/>
      <c r="E55" s="19"/>
      <c r="F55" s="19"/>
      <c r="G55" s="18"/>
      <c r="H55" s="18"/>
      <c r="I55" s="18"/>
      <c r="J55" s="18"/>
      <c r="K55" s="18"/>
      <c r="L55" s="18"/>
      <c r="M55" s="18"/>
      <c r="N55" s="18"/>
      <c r="P55" s="17">
        <v>9</v>
      </c>
      <c r="Q55" s="18" t="s">
        <v>35</v>
      </c>
      <c r="R55" s="19"/>
      <c r="S55" s="19"/>
      <c r="T55" s="19"/>
      <c r="U55" s="19"/>
      <c r="V55" s="18"/>
      <c r="W55" s="18"/>
      <c r="X55" s="18"/>
      <c r="Y55" s="18"/>
      <c r="Z55" s="18"/>
      <c r="AA55" s="18"/>
      <c r="AB55" s="18"/>
      <c r="AC55" s="18"/>
      <c r="AE55" s="17">
        <v>9</v>
      </c>
      <c r="AF55" s="18" t="s">
        <v>35</v>
      </c>
      <c r="AG55" s="19">
        <f t="shared" si="78"/>
        <v>0</v>
      </c>
      <c r="AH55" s="19" t="e">
        <f t="shared" si="79"/>
        <v>#DIV/0!</v>
      </c>
      <c r="AI55" s="19">
        <f t="shared" si="80"/>
        <v>0</v>
      </c>
      <c r="AJ55" s="19" t="e">
        <f t="shared" si="81"/>
        <v>#DIV/0!</v>
      </c>
      <c r="AK55" s="19">
        <f t="shared" si="82"/>
        <v>0</v>
      </c>
      <c r="AL55" s="19" t="e">
        <f t="shared" si="83"/>
        <v>#DIV/0!</v>
      </c>
      <c r="AM55" s="19">
        <f t="shared" si="84"/>
        <v>0</v>
      </c>
      <c r="AN55" s="19" t="e">
        <f t="shared" si="85"/>
        <v>#DIV/0!</v>
      </c>
      <c r="AO55" s="19">
        <f t="shared" si="86"/>
        <v>0</v>
      </c>
      <c r="AP55" s="19" t="e">
        <f t="shared" si="87"/>
        <v>#DIV/0!</v>
      </c>
      <c r="AQ55" s="19">
        <f t="shared" si="88"/>
        <v>0</v>
      </c>
      <c r="AR55" s="19" t="e">
        <f t="shared" si="89"/>
        <v>#DIV/0!</v>
      </c>
      <c r="AS55" s="19">
        <f t="shared" si="90"/>
        <v>0</v>
      </c>
      <c r="AT55" s="19" t="e">
        <f t="shared" si="91"/>
        <v>#DIV/0!</v>
      </c>
      <c r="AU55" s="19">
        <f t="shared" si="92"/>
        <v>0</v>
      </c>
      <c r="AV55" s="19" t="e">
        <f t="shared" si="93"/>
        <v>#DIV/0!</v>
      </c>
      <c r="AW55" s="19">
        <f t="shared" si="94"/>
        <v>0</v>
      </c>
      <c r="AX55" s="19" t="e">
        <f t="shared" si="95"/>
        <v>#DIV/0!</v>
      </c>
      <c r="AY55" s="19">
        <f t="shared" si="96"/>
        <v>0</v>
      </c>
      <c r="AZ55" s="19" t="e">
        <f t="shared" si="97"/>
        <v>#DIV/0!</v>
      </c>
      <c r="BA55" s="19">
        <f t="shared" si="98"/>
        <v>0</v>
      </c>
      <c r="BB55" s="19" t="e">
        <f t="shared" si="99"/>
        <v>#DIV/0!</v>
      </c>
      <c r="BC55" s="19">
        <f t="shared" si="100"/>
        <v>0</v>
      </c>
      <c r="BD55" s="19" t="e">
        <f t="shared" si="101"/>
        <v>#DIV/0!</v>
      </c>
    </row>
    <row r="56" spans="1:56">
      <c r="A56" s="17">
        <v>10</v>
      </c>
      <c r="B56" s="18" t="s">
        <v>37</v>
      </c>
      <c r="C56" s="19"/>
      <c r="D56" s="19"/>
      <c r="E56" s="19"/>
      <c r="F56" s="19"/>
      <c r="G56" s="18"/>
      <c r="H56" s="18"/>
      <c r="I56" s="18"/>
      <c r="J56" s="18"/>
      <c r="K56" s="18"/>
      <c r="L56" s="18"/>
      <c r="M56" s="18"/>
      <c r="N56" s="18"/>
      <c r="P56" s="17">
        <v>10</v>
      </c>
      <c r="Q56" s="18" t="s">
        <v>37</v>
      </c>
      <c r="R56" s="19"/>
      <c r="S56" s="19"/>
      <c r="T56" s="19"/>
      <c r="U56" s="19"/>
      <c r="V56" s="18"/>
      <c r="W56" s="18"/>
      <c r="X56" s="18"/>
      <c r="Y56" s="18"/>
      <c r="Z56" s="18"/>
      <c r="AA56" s="18"/>
      <c r="AB56" s="18"/>
      <c r="AC56" s="18"/>
      <c r="AE56" s="17">
        <v>10</v>
      </c>
      <c r="AF56" s="18" t="s">
        <v>37</v>
      </c>
      <c r="AG56" s="19">
        <f t="shared" si="78"/>
        <v>0</v>
      </c>
      <c r="AH56" s="19" t="e">
        <f t="shared" si="79"/>
        <v>#DIV/0!</v>
      </c>
      <c r="AI56" s="19">
        <f t="shared" si="80"/>
        <v>0</v>
      </c>
      <c r="AJ56" s="19" t="e">
        <f t="shared" si="81"/>
        <v>#DIV/0!</v>
      </c>
      <c r="AK56" s="19">
        <f t="shared" si="82"/>
        <v>0</v>
      </c>
      <c r="AL56" s="19" t="e">
        <f t="shared" si="83"/>
        <v>#DIV/0!</v>
      </c>
      <c r="AM56" s="19">
        <f t="shared" si="84"/>
        <v>0</v>
      </c>
      <c r="AN56" s="19" t="e">
        <f t="shared" si="85"/>
        <v>#DIV/0!</v>
      </c>
      <c r="AO56" s="19">
        <f t="shared" si="86"/>
        <v>0</v>
      </c>
      <c r="AP56" s="19" t="e">
        <f t="shared" si="87"/>
        <v>#DIV/0!</v>
      </c>
      <c r="AQ56" s="19">
        <f t="shared" si="88"/>
        <v>0</v>
      </c>
      <c r="AR56" s="19" t="e">
        <f t="shared" si="89"/>
        <v>#DIV/0!</v>
      </c>
      <c r="AS56" s="19">
        <f t="shared" si="90"/>
        <v>0</v>
      </c>
      <c r="AT56" s="19" t="e">
        <f t="shared" si="91"/>
        <v>#DIV/0!</v>
      </c>
      <c r="AU56" s="19">
        <f t="shared" si="92"/>
        <v>0</v>
      </c>
      <c r="AV56" s="19" t="e">
        <f t="shared" si="93"/>
        <v>#DIV/0!</v>
      </c>
      <c r="AW56" s="19">
        <f t="shared" si="94"/>
        <v>0</v>
      </c>
      <c r="AX56" s="19" t="e">
        <f t="shared" si="95"/>
        <v>#DIV/0!</v>
      </c>
      <c r="AY56" s="19">
        <f t="shared" si="96"/>
        <v>0</v>
      </c>
      <c r="AZ56" s="19" t="e">
        <f t="shared" si="97"/>
        <v>#DIV/0!</v>
      </c>
      <c r="BA56" s="19">
        <f t="shared" si="98"/>
        <v>0</v>
      </c>
      <c r="BB56" s="19" t="e">
        <f t="shared" si="99"/>
        <v>#DIV/0!</v>
      </c>
      <c r="BC56" s="19">
        <f t="shared" si="100"/>
        <v>0</v>
      </c>
      <c r="BD56" s="19" t="e">
        <f t="shared" si="101"/>
        <v>#DIV/0!</v>
      </c>
    </row>
    <row r="57" spans="1:56">
      <c r="A57" s="17">
        <v>11</v>
      </c>
      <c r="B57" s="18" t="s">
        <v>39</v>
      </c>
      <c r="C57" s="19"/>
      <c r="D57" s="19"/>
      <c r="E57" s="19"/>
      <c r="F57" s="19"/>
      <c r="G57" s="18"/>
      <c r="H57" s="18"/>
      <c r="I57" s="18"/>
      <c r="J57" s="18"/>
      <c r="K57" s="18"/>
      <c r="L57" s="18"/>
      <c r="M57" s="18"/>
      <c r="N57" s="18"/>
      <c r="P57" s="17">
        <v>11</v>
      </c>
      <c r="Q57" s="18" t="s">
        <v>39</v>
      </c>
      <c r="R57" s="19"/>
      <c r="S57" s="19"/>
      <c r="T57" s="19"/>
      <c r="U57" s="19"/>
      <c r="V57" s="18"/>
      <c r="W57" s="18"/>
      <c r="X57" s="18"/>
      <c r="Y57" s="18"/>
      <c r="Z57" s="18"/>
      <c r="AA57" s="18"/>
      <c r="AB57" s="18"/>
      <c r="AC57" s="18"/>
      <c r="AE57" s="17">
        <v>11</v>
      </c>
      <c r="AF57" s="18" t="s">
        <v>39</v>
      </c>
      <c r="AG57" s="19">
        <f t="shared" si="78"/>
        <v>0</v>
      </c>
      <c r="AH57" s="19" t="e">
        <f t="shared" si="79"/>
        <v>#DIV/0!</v>
      </c>
      <c r="AI57" s="19">
        <f t="shared" si="80"/>
        <v>0</v>
      </c>
      <c r="AJ57" s="19" t="e">
        <f t="shared" si="81"/>
        <v>#DIV/0!</v>
      </c>
      <c r="AK57" s="19">
        <f t="shared" si="82"/>
        <v>0</v>
      </c>
      <c r="AL57" s="19" t="e">
        <f t="shared" si="83"/>
        <v>#DIV/0!</v>
      </c>
      <c r="AM57" s="19">
        <f t="shared" si="84"/>
        <v>0</v>
      </c>
      <c r="AN57" s="19" t="e">
        <f t="shared" si="85"/>
        <v>#DIV/0!</v>
      </c>
      <c r="AO57" s="19">
        <f t="shared" si="86"/>
        <v>0</v>
      </c>
      <c r="AP57" s="19" t="e">
        <f t="shared" si="87"/>
        <v>#DIV/0!</v>
      </c>
      <c r="AQ57" s="19">
        <f t="shared" si="88"/>
        <v>0</v>
      </c>
      <c r="AR57" s="19" t="e">
        <f t="shared" si="89"/>
        <v>#DIV/0!</v>
      </c>
      <c r="AS57" s="19">
        <f t="shared" si="90"/>
        <v>0</v>
      </c>
      <c r="AT57" s="19" t="e">
        <f t="shared" si="91"/>
        <v>#DIV/0!</v>
      </c>
      <c r="AU57" s="19">
        <f t="shared" si="92"/>
        <v>0</v>
      </c>
      <c r="AV57" s="19" t="e">
        <f t="shared" si="93"/>
        <v>#DIV/0!</v>
      </c>
      <c r="AW57" s="19">
        <f t="shared" si="94"/>
        <v>0</v>
      </c>
      <c r="AX57" s="19" t="e">
        <f t="shared" si="95"/>
        <v>#DIV/0!</v>
      </c>
      <c r="AY57" s="19">
        <f t="shared" si="96"/>
        <v>0</v>
      </c>
      <c r="AZ57" s="19" t="e">
        <f t="shared" si="97"/>
        <v>#DIV/0!</v>
      </c>
      <c r="BA57" s="19">
        <f t="shared" si="98"/>
        <v>0</v>
      </c>
      <c r="BB57" s="19" t="e">
        <f t="shared" si="99"/>
        <v>#DIV/0!</v>
      </c>
      <c r="BC57" s="19">
        <f t="shared" si="100"/>
        <v>0</v>
      </c>
      <c r="BD57" s="19" t="e">
        <f t="shared" si="101"/>
        <v>#DIV/0!</v>
      </c>
    </row>
    <row r="58" spans="1:56">
      <c r="A58" s="17">
        <v>12</v>
      </c>
      <c r="B58" s="18" t="s">
        <v>41</v>
      </c>
      <c r="C58" s="19"/>
      <c r="D58" s="19"/>
      <c r="E58" s="19"/>
      <c r="F58" s="19"/>
      <c r="G58" s="18"/>
      <c r="H58" s="18"/>
      <c r="I58" s="18"/>
      <c r="J58" s="18"/>
      <c r="K58" s="18"/>
      <c r="L58" s="18"/>
      <c r="M58" s="18"/>
      <c r="N58" s="18"/>
      <c r="P58" s="17">
        <v>12</v>
      </c>
      <c r="Q58" s="18" t="s">
        <v>41</v>
      </c>
      <c r="R58" s="19"/>
      <c r="S58" s="19"/>
      <c r="T58" s="19"/>
      <c r="U58" s="19"/>
      <c r="V58" s="18"/>
      <c r="W58" s="18"/>
      <c r="X58" s="18"/>
      <c r="Y58" s="18"/>
      <c r="Z58" s="18"/>
      <c r="AA58" s="18"/>
      <c r="AB58" s="18"/>
      <c r="AC58" s="18"/>
      <c r="AE58" s="17">
        <v>12</v>
      </c>
      <c r="AF58" s="18" t="s">
        <v>41</v>
      </c>
      <c r="AG58" s="19">
        <f t="shared" si="78"/>
        <v>0</v>
      </c>
      <c r="AH58" s="19" t="e">
        <f t="shared" si="79"/>
        <v>#DIV/0!</v>
      </c>
      <c r="AI58" s="19">
        <f t="shared" si="80"/>
        <v>0</v>
      </c>
      <c r="AJ58" s="19" t="e">
        <f t="shared" si="81"/>
        <v>#DIV/0!</v>
      </c>
      <c r="AK58" s="19">
        <f t="shared" si="82"/>
        <v>0</v>
      </c>
      <c r="AL58" s="19" t="e">
        <f t="shared" si="83"/>
        <v>#DIV/0!</v>
      </c>
      <c r="AM58" s="19">
        <f t="shared" si="84"/>
        <v>0</v>
      </c>
      <c r="AN58" s="19" t="e">
        <f t="shared" si="85"/>
        <v>#DIV/0!</v>
      </c>
      <c r="AO58" s="19">
        <f t="shared" si="86"/>
        <v>0</v>
      </c>
      <c r="AP58" s="19" t="e">
        <f t="shared" si="87"/>
        <v>#DIV/0!</v>
      </c>
      <c r="AQ58" s="19">
        <f t="shared" si="88"/>
        <v>0</v>
      </c>
      <c r="AR58" s="19" t="e">
        <f t="shared" si="89"/>
        <v>#DIV/0!</v>
      </c>
      <c r="AS58" s="19">
        <f t="shared" si="90"/>
        <v>0</v>
      </c>
      <c r="AT58" s="19" t="e">
        <f t="shared" si="91"/>
        <v>#DIV/0!</v>
      </c>
      <c r="AU58" s="19">
        <f t="shared" si="92"/>
        <v>0</v>
      </c>
      <c r="AV58" s="19" t="e">
        <f t="shared" si="93"/>
        <v>#DIV/0!</v>
      </c>
      <c r="AW58" s="19">
        <f t="shared" si="94"/>
        <v>0</v>
      </c>
      <c r="AX58" s="19" t="e">
        <f t="shared" si="95"/>
        <v>#DIV/0!</v>
      </c>
      <c r="AY58" s="19">
        <f t="shared" si="96"/>
        <v>0</v>
      </c>
      <c r="AZ58" s="19" t="e">
        <f t="shared" si="97"/>
        <v>#DIV/0!</v>
      </c>
      <c r="BA58" s="19">
        <f t="shared" si="98"/>
        <v>0</v>
      </c>
      <c r="BB58" s="19" t="e">
        <f t="shared" si="99"/>
        <v>#DIV/0!</v>
      </c>
      <c r="BC58" s="19">
        <f t="shared" si="100"/>
        <v>0</v>
      </c>
      <c r="BD58" s="19" t="e">
        <f t="shared" si="101"/>
        <v>#DIV/0!</v>
      </c>
    </row>
    <row r="59" spans="1:56">
      <c r="A59" s="17">
        <v>13</v>
      </c>
      <c r="B59" s="18" t="s">
        <v>43</v>
      </c>
      <c r="C59" s="19"/>
      <c r="D59" s="19"/>
      <c r="E59" s="19"/>
      <c r="F59" s="19"/>
      <c r="G59" s="18"/>
      <c r="H59" s="18"/>
      <c r="I59" s="18"/>
      <c r="J59" s="18"/>
      <c r="K59" s="18"/>
      <c r="L59" s="18"/>
      <c r="M59" s="18"/>
      <c r="N59" s="18"/>
      <c r="P59" s="17">
        <v>13</v>
      </c>
      <c r="Q59" s="18" t="s">
        <v>43</v>
      </c>
      <c r="R59" s="19"/>
      <c r="S59" s="19"/>
      <c r="T59" s="19"/>
      <c r="U59" s="19"/>
      <c r="V59" s="18"/>
      <c r="W59" s="18"/>
      <c r="X59" s="18"/>
      <c r="Y59" s="18"/>
      <c r="Z59" s="18"/>
      <c r="AA59" s="18"/>
      <c r="AB59" s="18"/>
      <c r="AC59" s="18"/>
      <c r="AE59" s="17">
        <v>13</v>
      </c>
      <c r="AF59" s="18" t="s">
        <v>43</v>
      </c>
      <c r="AG59" s="19">
        <f t="shared" si="78"/>
        <v>0</v>
      </c>
      <c r="AH59" s="19" t="e">
        <f t="shared" si="79"/>
        <v>#DIV/0!</v>
      </c>
      <c r="AI59" s="19">
        <f t="shared" si="80"/>
        <v>0</v>
      </c>
      <c r="AJ59" s="19" t="e">
        <f t="shared" si="81"/>
        <v>#DIV/0!</v>
      </c>
      <c r="AK59" s="19">
        <f t="shared" si="82"/>
        <v>0</v>
      </c>
      <c r="AL59" s="19" t="e">
        <f t="shared" si="83"/>
        <v>#DIV/0!</v>
      </c>
      <c r="AM59" s="19">
        <f t="shared" si="84"/>
        <v>0</v>
      </c>
      <c r="AN59" s="19" t="e">
        <f t="shared" si="85"/>
        <v>#DIV/0!</v>
      </c>
      <c r="AO59" s="19">
        <f t="shared" si="86"/>
        <v>0</v>
      </c>
      <c r="AP59" s="19" t="e">
        <f t="shared" si="87"/>
        <v>#DIV/0!</v>
      </c>
      <c r="AQ59" s="19">
        <f t="shared" si="88"/>
        <v>0</v>
      </c>
      <c r="AR59" s="19" t="e">
        <f t="shared" si="89"/>
        <v>#DIV/0!</v>
      </c>
      <c r="AS59" s="19">
        <f t="shared" si="90"/>
        <v>0</v>
      </c>
      <c r="AT59" s="19" t="e">
        <f t="shared" si="91"/>
        <v>#DIV/0!</v>
      </c>
      <c r="AU59" s="19">
        <f t="shared" si="92"/>
        <v>0</v>
      </c>
      <c r="AV59" s="19" t="e">
        <f t="shared" si="93"/>
        <v>#DIV/0!</v>
      </c>
      <c r="AW59" s="19">
        <f t="shared" si="94"/>
        <v>0</v>
      </c>
      <c r="AX59" s="19" t="e">
        <f t="shared" si="95"/>
        <v>#DIV/0!</v>
      </c>
      <c r="AY59" s="19">
        <f t="shared" si="96"/>
        <v>0</v>
      </c>
      <c r="AZ59" s="19" t="e">
        <f t="shared" si="97"/>
        <v>#DIV/0!</v>
      </c>
      <c r="BA59" s="19">
        <f t="shared" si="98"/>
        <v>0</v>
      </c>
      <c r="BB59" s="19" t="e">
        <f t="shared" si="99"/>
        <v>#DIV/0!</v>
      </c>
      <c r="BC59" s="19">
        <f t="shared" si="100"/>
        <v>0</v>
      </c>
      <c r="BD59" s="19" t="e">
        <f t="shared" si="101"/>
        <v>#DIV/0!</v>
      </c>
    </row>
    <row r="60" spans="1:56">
      <c r="A60" s="17">
        <v>14</v>
      </c>
      <c r="B60" s="18" t="s">
        <v>44</v>
      </c>
      <c r="C60" s="19"/>
      <c r="D60" s="19"/>
      <c r="E60" s="19"/>
      <c r="F60" s="19"/>
      <c r="G60" s="18"/>
      <c r="H60" s="18"/>
      <c r="I60" s="18"/>
      <c r="J60" s="18"/>
      <c r="K60" s="18"/>
      <c r="L60" s="18"/>
      <c r="M60" s="18"/>
      <c r="N60" s="18"/>
      <c r="P60" s="17">
        <v>14</v>
      </c>
      <c r="Q60" s="18" t="s">
        <v>44</v>
      </c>
      <c r="R60" s="19">
        <v>21399</v>
      </c>
      <c r="S60" s="19">
        <v>21399</v>
      </c>
      <c r="T60" s="19">
        <v>21399</v>
      </c>
      <c r="U60" s="19"/>
      <c r="V60" s="18"/>
      <c r="W60" s="18"/>
      <c r="X60" s="18"/>
      <c r="Y60" s="18"/>
      <c r="Z60" s="18"/>
      <c r="AA60" s="18"/>
      <c r="AB60" s="18"/>
      <c r="AC60" s="18"/>
      <c r="AE60" s="17">
        <v>14</v>
      </c>
      <c r="AF60" s="18" t="s">
        <v>44</v>
      </c>
      <c r="AG60" s="19">
        <f t="shared" si="78"/>
        <v>-21399</v>
      </c>
      <c r="AH60" s="19" t="e">
        <f t="shared" si="79"/>
        <v>#DIV/0!</v>
      </c>
      <c r="AI60" s="19">
        <f t="shared" si="80"/>
        <v>-21399</v>
      </c>
      <c r="AJ60" s="19" t="e">
        <f t="shared" si="81"/>
        <v>#DIV/0!</v>
      </c>
      <c r="AK60" s="19">
        <f t="shared" si="82"/>
        <v>-21399</v>
      </c>
      <c r="AL60" s="19" t="e">
        <f t="shared" si="83"/>
        <v>#DIV/0!</v>
      </c>
      <c r="AM60" s="19">
        <f t="shared" si="84"/>
        <v>0</v>
      </c>
      <c r="AN60" s="19" t="e">
        <f t="shared" si="85"/>
        <v>#DIV/0!</v>
      </c>
      <c r="AO60" s="19">
        <f t="shared" si="86"/>
        <v>0</v>
      </c>
      <c r="AP60" s="19" t="e">
        <f t="shared" si="87"/>
        <v>#DIV/0!</v>
      </c>
      <c r="AQ60" s="19">
        <f t="shared" si="88"/>
        <v>0</v>
      </c>
      <c r="AR60" s="19" t="e">
        <f t="shared" si="89"/>
        <v>#DIV/0!</v>
      </c>
      <c r="AS60" s="19">
        <f t="shared" si="90"/>
        <v>0</v>
      </c>
      <c r="AT60" s="19" t="e">
        <f t="shared" si="91"/>
        <v>#DIV/0!</v>
      </c>
      <c r="AU60" s="19">
        <f t="shared" si="92"/>
        <v>0</v>
      </c>
      <c r="AV60" s="19" t="e">
        <f t="shared" si="93"/>
        <v>#DIV/0!</v>
      </c>
      <c r="AW60" s="19">
        <f t="shared" si="94"/>
        <v>0</v>
      </c>
      <c r="AX60" s="19" t="e">
        <f t="shared" si="95"/>
        <v>#DIV/0!</v>
      </c>
      <c r="AY60" s="19">
        <f t="shared" si="96"/>
        <v>0</v>
      </c>
      <c r="AZ60" s="19" t="e">
        <f t="shared" si="97"/>
        <v>#DIV/0!</v>
      </c>
      <c r="BA60" s="19">
        <f t="shared" si="98"/>
        <v>0</v>
      </c>
      <c r="BB60" s="19" t="e">
        <f t="shared" si="99"/>
        <v>#DIV/0!</v>
      </c>
      <c r="BC60" s="19">
        <f t="shared" si="100"/>
        <v>0</v>
      </c>
      <c r="BD60" s="19" t="e">
        <f t="shared" si="101"/>
        <v>#DIV/0!</v>
      </c>
    </row>
    <row r="61" spans="1:56" ht="25.2" thickBot="1">
      <c r="A61" s="17"/>
      <c r="B61" s="20" t="s">
        <v>17</v>
      </c>
      <c r="C61" s="27">
        <f>SUM(C47:C60)</f>
        <v>9768140.8900000006</v>
      </c>
      <c r="D61" s="27">
        <f t="shared" ref="D61:N61" si="102">SUM(D47:D60)</f>
        <v>9954006.1699999999</v>
      </c>
      <c r="E61" s="27">
        <f t="shared" si="102"/>
        <v>10146066.98</v>
      </c>
      <c r="F61" s="27">
        <f t="shared" si="102"/>
        <v>0</v>
      </c>
      <c r="G61" s="27">
        <f t="shared" si="102"/>
        <v>0</v>
      </c>
      <c r="H61" s="27">
        <f t="shared" si="102"/>
        <v>0</v>
      </c>
      <c r="I61" s="27">
        <f t="shared" si="102"/>
        <v>0</v>
      </c>
      <c r="J61" s="27">
        <f t="shared" si="102"/>
        <v>0</v>
      </c>
      <c r="K61" s="27">
        <f t="shared" si="102"/>
        <v>0</v>
      </c>
      <c r="L61" s="27">
        <f t="shared" si="102"/>
        <v>0</v>
      </c>
      <c r="M61" s="27">
        <f t="shared" si="102"/>
        <v>0</v>
      </c>
      <c r="N61" s="27">
        <f t="shared" si="102"/>
        <v>0</v>
      </c>
      <c r="P61" s="17"/>
      <c r="Q61" s="20" t="s">
        <v>17</v>
      </c>
      <c r="R61" s="27">
        <f>SUM(R47:R60)</f>
        <v>22628148.670000002</v>
      </c>
      <c r="S61" s="27">
        <f t="shared" ref="S61:AC61" si="103">SUM(S47:S60)</f>
        <v>22858447.170000002</v>
      </c>
      <c r="T61" s="27">
        <f t="shared" si="103"/>
        <v>23088745.670000002</v>
      </c>
      <c r="U61" s="27">
        <f t="shared" si="103"/>
        <v>0</v>
      </c>
      <c r="V61" s="27">
        <f t="shared" si="103"/>
        <v>0</v>
      </c>
      <c r="W61" s="27">
        <f t="shared" si="103"/>
        <v>0</v>
      </c>
      <c r="X61" s="27">
        <f t="shared" si="103"/>
        <v>0</v>
      </c>
      <c r="Y61" s="27">
        <f t="shared" si="103"/>
        <v>0</v>
      </c>
      <c r="Z61" s="27">
        <f t="shared" si="103"/>
        <v>0</v>
      </c>
      <c r="AA61" s="27">
        <f t="shared" si="103"/>
        <v>0</v>
      </c>
      <c r="AB61" s="27">
        <f t="shared" si="103"/>
        <v>0</v>
      </c>
      <c r="AC61" s="27">
        <f t="shared" si="103"/>
        <v>0</v>
      </c>
      <c r="AE61" s="17"/>
      <c r="AF61" s="20" t="s">
        <v>17</v>
      </c>
      <c r="AG61" s="23">
        <f t="shared" si="78"/>
        <v>-12860007.780000001</v>
      </c>
      <c r="AH61" s="23">
        <f t="shared" si="79"/>
        <v>-131.65256239460322</v>
      </c>
      <c r="AI61" s="23">
        <f t="shared" si="80"/>
        <v>-12904441.000000002</v>
      </c>
      <c r="AJ61" s="23">
        <f t="shared" si="81"/>
        <v>-129.64067712648406</v>
      </c>
      <c r="AK61" s="23">
        <f t="shared" si="82"/>
        <v>-12942678.690000001</v>
      </c>
      <c r="AL61" s="23">
        <f t="shared" si="83"/>
        <v>-127.56350530222895</v>
      </c>
      <c r="AM61" s="23">
        <f t="shared" si="84"/>
        <v>0</v>
      </c>
      <c r="AN61" s="23" t="e">
        <f t="shared" si="85"/>
        <v>#DIV/0!</v>
      </c>
      <c r="AO61" s="23">
        <f t="shared" si="86"/>
        <v>0</v>
      </c>
      <c r="AP61" s="23" t="e">
        <f t="shared" si="87"/>
        <v>#DIV/0!</v>
      </c>
      <c r="AQ61" s="23">
        <f t="shared" si="88"/>
        <v>0</v>
      </c>
      <c r="AR61" s="23" t="e">
        <f t="shared" si="89"/>
        <v>#DIV/0!</v>
      </c>
      <c r="AS61" s="23">
        <f t="shared" si="90"/>
        <v>0</v>
      </c>
      <c r="AT61" s="23" t="e">
        <f t="shared" si="91"/>
        <v>#DIV/0!</v>
      </c>
      <c r="AU61" s="23">
        <f t="shared" si="92"/>
        <v>0</v>
      </c>
      <c r="AV61" s="23" t="e">
        <f t="shared" si="93"/>
        <v>#DIV/0!</v>
      </c>
      <c r="AW61" s="23">
        <f t="shared" si="94"/>
        <v>0</v>
      </c>
      <c r="AX61" s="23" t="e">
        <f t="shared" si="95"/>
        <v>#DIV/0!</v>
      </c>
      <c r="AY61" s="23">
        <f t="shared" si="96"/>
        <v>0</v>
      </c>
      <c r="AZ61" s="23" t="e">
        <f t="shared" si="97"/>
        <v>#DIV/0!</v>
      </c>
      <c r="BA61" s="23">
        <f t="shared" si="98"/>
        <v>0</v>
      </c>
      <c r="BB61" s="23" t="e">
        <f t="shared" si="99"/>
        <v>#DIV/0!</v>
      </c>
      <c r="BC61" s="23">
        <f t="shared" si="100"/>
        <v>0</v>
      </c>
      <c r="BD61" s="23" t="e">
        <f t="shared" si="101"/>
        <v>#DIV/0!</v>
      </c>
    </row>
    <row r="62" spans="1:56" ht="25.2" thickTop="1"/>
    <row r="63" spans="1:56">
      <c r="A63" s="32" t="s">
        <v>1942</v>
      </c>
      <c r="B63" s="32"/>
      <c r="C63" s="32"/>
      <c r="D63" s="32"/>
      <c r="E63" s="32"/>
      <c r="F63" s="32"/>
      <c r="G63" s="32"/>
      <c r="H63" s="32"/>
      <c r="I63" s="32"/>
    </row>
    <row r="64" spans="1:56" customFormat="1" ht="21">
      <c r="A64" s="28" t="s">
        <v>659</v>
      </c>
      <c r="B64" s="28" t="s">
        <v>660</v>
      </c>
      <c r="C64" s="28" t="s">
        <v>661</v>
      </c>
      <c r="D64" s="28" t="s">
        <v>662</v>
      </c>
      <c r="E64" s="28" t="s">
        <v>663</v>
      </c>
      <c r="F64" s="28" t="s">
        <v>664</v>
      </c>
      <c r="G64" s="28" t="s">
        <v>665</v>
      </c>
    </row>
    <row r="65" spans="1:9" customFormat="1" ht="21">
      <c r="A65" s="28" t="s">
        <v>220</v>
      </c>
      <c r="B65" s="28" t="s">
        <v>91</v>
      </c>
      <c r="C65" s="28" t="s">
        <v>92</v>
      </c>
      <c r="D65" s="28" t="s">
        <v>221</v>
      </c>
      <c r="E65" s="29">
        <v>446700</v>
      </c>
      <c r="F65" s="29">
        <v>-446699</v>
      </c>
      <c r="G65" s="29">
        <v>1</v>
      </c>
      <c r="H65" t="s">
        <v>1055</v>
      </c>
      <c r="I65" t="s">
        <v>11</v>
      </c>
    </row>
    <row r="66" spans="1:9" customFormat="1" ht="21">
      <c r="A66" s="28" t="s">
        <v>222</v>
      </c>
      <c r="B66" s="28" t="s">
        <v>91</v>
      </c>
      <c r="C66" s="28" t="s">
        <v>92</v>
      </c>
      <c r="D66" s="28" t="s">
        <v>223</v>
      </c>
      <c r="E66" s="29">
        <v>428000</v>
      </c>
      <c r="F66" s="29">
        <v>-427999</v>
      </c>
      <c r="G66" s="29">
        <v>1</v>
      </c>
      <c r="H66" t="s">
        <v>1055</v>
      </c>
      <c r="I66" t="s">
        <v>11</v>
      </c>
    </row>
    <row r="67" spans="1:9" customFormat="1" ht="21">
      <c r="A67" s="28" t="s">
        <v>224</v>
      </c>
      <c r="B67" s="28" t="s">
        <v>91</v>
      </c>
      <c r="C67" s="28" t="s">
        <v>92</v>
      </c>
      <c r="D67" s="28" t="s">
        <v>223</v>
      </c>
      <c r="E67" s="29">
        <v>335500</v>
      </c>
      <c r="F67" s="29">
        <v>-335499</v>
      </c>
      <c r="G67" s="29">
        <v>1</v>
      </c>
      <c r="H67" t="s">
        <v>1055</v>
      </c>
      <c r="I67" t="s">
        <v>11</v>
      </c>
    </row>
    <row r="68" spans="1:9" customFormat="1" ht="21">
      <c r="A68" s="28" t="s">
        <v>225</v>
      </c>
      <c r="B68" s="28" t="s">
        <v>91</v>
      </c>
      <c r="C68" s="28" t="s">
        <v>92</v>
      </c>
      <c r="D68" s="28" t="s">
        <v>226</v>
      </c>
      <c r="E68" s="29">
        <v>547400</v>
      </c>
      <c r="F68" s="29">
        <v>-547399</v>
      </c>
      <c r="G68" s="29">
        <v>1</v>
      </c>
      <c r="H68" t="s">
        <v>1055</v>
      </c>
      <c r="I68" t="s">
        <v>11</v>
      </c>
    </row>
    <row r="69" spans="1:9" customFormat="1" ht="21">
      <c r="A69" s="28" t="s">
        <v>227</v>
      </c>
      <c r="B69" s="28" t="s">
        <v>91</v>
      </c>
      <c r="C69" s="28" t="s">
        <v>92</v>
      </c>
      <c r="D69" s="28" t="s">
        <v>228</v>
      </c>
      <c r="E69" s="29">
        <v>700700</v>
      </c>
      <c r="F69" s="29">
        <v>-700699</v>
      </c>
      <c r="G69" s="29">
        <v>1</v>
      </c>
      <c r="H69" t="s">
        <v>1055</v>
      </c>
      <c r="I69" t="s">
        <v>11</v>
      </c>
    </row>
    <row r="70" spans="1:9" customFormat="1" ht="21">
      <c r="A70" s="28" t="s">
        <v>229</v>
      </c>
      <c r="B70" s="28" t="s">
        <v>91</v>
      </c>
      <c r="C70" s="28" t="s">
        <v>92</v>
      </c>
      <c r="D70" s="28" t="s">
        <v>221</v>
      </c>
      <c r="E70" s="29">
        <v>893400</v>
      </c>
      <c r="F70" s="29">
        <v>-893399</v>
      </c>
      <c r="G70" s="29">
        <v>1</v>
      </c>
      <c r="H70" t="s">
        <v>1055</v>
      </c>
      <c r="I70" t="s">
        <v>11</v>
      </c>
    </row>
    <row r="71" spans="1:9" customFormat="1" ht="21">
      <c r="A71" s="28" t="s">
        <v>230</v>
      </c>
      <c r="B71" s="28" t="s">
        <v>91</v>
      </c>
      <c r="C71" s="28" t="s">
        <v>92</v>
      </c>
      <c r="D71" s="28" t="s">
        <v>221</v>
      </c>
      <c r="E71" s="29">
        <v>428000</v>
      </c>
      <c r="F71" s="29">
        <v>-427999</v>
      </c>
      <c r="G71" s="29">
        <v>1</v>
      </c>
      <c r="H71" t="s">
        <v>1055</v>
      </c>
      <c r="I71" t="s">
        <v>11</v>
      </c>
    </row>
    <row r="72" spans="1:9" customFormat="1" ht="21">
      <c r="A72" s="28" t="s">
        <v>231</v>
      </c>
      <c r="B72" s="28" t="s">
        <v>91</v>
      </c>
      <c r="C72" s="28" t="s">
        <v>92</v>
      </c>
      <c r="D72" s="28" t="s">
        <v>232</v>
      </c>
      <c r="E72" s="29">
        <v>4090000</v>
      </c>
      <c r="F72" s="29">
        <v>-4089999</v>
      </c>
      <c r="G72" s="29">
        <v>1</v>
      </c>
      <c r="H72" t="s">
        <v>1055</v>
      </c>
      <c r="I72" t="s">
        <v>11</v>
      </c>
    </row>
    <row r="73" spans="1:9" customFormat="1" ht="21">
      <c r="A73" s="28" t="s">
        <v>233</v>
      </c>
      <c r="B73" s="28" t="s">
        <v>91</v>
      </c>
      <c r="C73" s="28" t="s">
        <v>92</v>
      </c>
      <c r="D73" s="28" t="s">
        <v>234</v>
      </c>
      <c r="E73" s="29">
        <v>300000</v>
      </c>
      <c r="F73" s="29">
        <v>-299999</v>
      </c>
      <c r="G73" s="29">
        <v>1</v>
      </c>
      <c r="H73" t="s">
        <v>1055</v>
      </c>
      <c r="I73" t="s">
        <v>11</v>
      </c>
    </row>
    <row r="74" spans="1:9" customFormat="1" ht="21">
      <c r="A74" s="28" t="s">
        <v>235</v>
      </c>
      <c r="B74" s="28" t="s">
        <v>91</v>
      </c>
      <c r="C74" s="28" t="s">
        <v>92</v>
      </c>
      <c r="D74" s="28" t="s">
        <v>226</v>
      </c>
      <c r="E74" s="29">
        <v>373000</v>
      </c>
      <c r="F74" s="29">
        <v>-372999</v>
      </c>
      <c r="G74" s="29">
        <v>1</v>
      </c>
      <c r="H74" t="s">
        <v>1055</v>
      </c>
      <c r="I74" t="s">
        <v>11</v>
      </c>
    </row>
    <row r="75" spans="1:9" customFormat="1" ht="21">
      <c r="A75" s="28" t="s">
        <v>236</v>
      </c>
      <c r="B75" s="28" t="s">
        <v>91</v>
      </c>
      <c r="C75" s="28" t="s">
        <v>92</v>
      </c>
      <c r="D75" s="28" t="s">
        <v>237</v>
      </c>
      <c r="E75" s="29">
        <v>485000</v>
      </c>
      <c r="F75" s="29">
        <v>-484999</v>
      </c>
      <c r="G75" s="29">
        <v>1</v>
      </c>
      <c r="H75" t="s">
        <v>1055</v>
      </c>
      <c r="I75" t="s">
        <v>11</v>
      </c>
    </row>
    <row r="76" spans="1:9" customFormat="1" ht="21">
      <c r="A76" s="28" t="s">
        <v>238</v>
      </c>
      <c r="B76" s="28" t="s">
        <v>91</v>
      </c>
      <c r="C76" s="28" t="s">
        <v>92</v>
      </c>
      <c r="D76" s="28" t="s">
        <v>239</v>
      </c>
      <c r="E76" s="29">
        <v>417000</v>
      </c>
      <c r="F76" s="29">
        <v>-416999</v>
      </c>
      <c r="G76" s="29">
        <v>1</v>
      </c>
      <c r="H76" t="s">
        <v>1055</v>
      </c>
      <c r="I76" t="s">
        <v>11</v>
      </c>
    </row>
    <row r="77" spans="1:9" customFormat="1" ht="21">
      <c r="A77" s="28" t="s">
        <v>504</v>
      </c>
      <c r="B77" s="28" t="s">
        <v>91</v>
      </c>
      <c r="C77" s="28" t="s">
        <v>92</v>
      </c>
      <c r="D77" s="28" t="s">
        <v>505</v>
      </c>
      <c r="E77" s="29">
        <v>5432557.1699999999</v>
      </c>
      <c r="F77" s="29">
        <v>-468812.42</v>
      </c>
      <c r="G77" s="29">
        <v>4963744.75</v>
      </c>
      <c r="H77" t="s">
        <v>1055</v>
      </c>
      <c r="I77" t="s">
        <v>9</v>
      </c>
    </row>
    <row r="78" spans="1:9" customFormat="1" ht="21">
      <c r="A78" s="28" t="s">
        <v>504</v>
      </c>
      <c r="B78" s="28" t="s">
        <v>108</v>
      </c>
      <c r="C78" s="28" t="s">
        <v>92</v>
      </c>
      <c r="D78" s="28" t="s">
        <v>505</v>
      </c>
      <c r="E78" s="29">
        <v>2402861.83</v>
      </c>
      <c r="F78" s="29">
        <v>-2402860.83</v>
      </c>
      <c r="G78" s="29">
        <v>1</v>
      </c>
      <c r="H78" t="s">
        <v>1055</v>
      </c>
      <c r="I78" t="s">
        <v>9</v>
      </c>
    </row>
    <row r="79" spans="1:9" customFormat="1" ht="21">
      <c r="A79" s="28" t="s">
        <v>506</v>
      </c>
      <c r="B79" s="28" t="s">
        <v>91</v>
      </c>
      <c r="C79" s="28" t="s">
        <v>92</v>
      </c>
      <c r="D79" s="28" t="s">
        <v>507</v>
      </c>
      <c r="E79" s="29">
        <v>3198400</v>
      </c>
      <c r="F79" s="29">
        <v>-3198399</v>
      </c>
      <c r="G79" s="29">
        <v>1</v>
      </c>
      <c r="H79" t="s">
        <v>1055</v>
      </c>
      <c r="I79" t="s">
        <v>9</v>
      </c>
    </row>
    <row r="80" spans="1:9" customFormat="1" ht="21">
      <c r="A80" s="28" t="s">
        <v>508</v>
      </c>
      <c r="B80" s="28" t="s">
        <v>91</v>
      </c>
      <c r="C80" s="28" t="s">
        <v>92</v>
      </c>
      <c r="D80" s="28" t="s">
        <v>509</v>
      </c>
      <c r="E80" s="29">
        <v>5495100</v>
      </c>
      <c r="F80" s="29">
        <v>-5495099</v>
      </c>
      <c r="G80" s="29">
        <v>1</v>
      </c>
      <c r="H80" t="s">
        <v>1055</v>
      </c>
      <c r="I80" t="s">
        <v>9</v>
      </c>
    </row>
    <row r="81" spans="1:9" customFormat="1" ht="21">
      <c r="A81" s="28" t="s">
        <v>510</v>
      </c>
      <c r="B81" s="28" t="s">
        <v>91</v>
      </c>
      <c r="C81" s="28" t="s">
        <v>92</v>
      </c>
      <c r="D81" s="28" t="s">
        <v>511</v>
      </c>
      <c r="E81" s="29">
        <v>4524000</v>
      </c>
      <c r="F81" s="29">
        <v>-4523999</v>
      </c>
      <c r="G81" s="29">
        <v>1</v>
      </c>
      <c r="H81" t="s">
        <v>1055</v>
      </c>
      <c r="I81" t="s">
        <v>9</v>
      </c>
    </row>
    <row r="82" spans="1:9" customFormat="1" ht="21">
      <c r="A82" s="28" t="s">
        <v>649</v>
      </c>
      <c r="B82" s="28" t="s">
        <v>91</v>
      </c>
      <c r="C82" s="28" t="s">
        <v>92</v>
      </c>
      <c r="D82" s="28" t="s">
        <v>650</v>
      </c>
      <c r="E82" s="29">
        <v>2609130</v>
      </c>
      <c r="F82" s="29">
        <v>-179441.36</v>
      </c>
      <c r="G82" s="29">
        <v>2429688.64</v>
      </c>
      <c r="H82" t="s">
        <v>1055</v>
      </c>
      <c r="I82" t="s">
        <v>13</v>
      </c>
    </row>
    <row r="83" spans="1:9" customFormat="1" ht="21">
      <c r="A83" s="28" t="s">
        <v>649</v>
      </c>
      <c r="B83" s="28" t="s">
        <v>108</v>
      </c>
      <c r="C83" s="28" t="s">
        <v>92</v>
      </c>
      <c r="D83" s="28" t="s">
        <v>650</v>
      </c>
      <c r="E83" s="29">
        <v>389870</v>
      </c>
      <c r="F83" s="29">
        <v>-389869</v>
      </c>
      <c r="G83" s="29">
        <v>1</v>
      </c>
      <c r="H83" t="s">
        <v>1055</v>
      </c>
      <c r="I83" t="s">
        <v>13</v>
      </c>
    </row>
    <row r="84" spans="1:9" customFormat="1" ht="21">
      <c r="A84" s="28" t="s">
        <v>651</v>
      </c>
      <c r="B84" s="28" t="s">
        <v>91</v>
      </c>
      <c r="C84" s="28" t="s">
        <v>92</v>
      </c>
      <c r="D84" s="28" t="s">
        <v>652</v>
      </c>
      <c r="E84" s="29">
        <v>10873260</v>
      </c>
      <c r="F84" s="29">
        <v>-747801.98</v>
      </c>
      <c r="G84" s="29">
        <v>10125458.02</v>
      </c>
      <c r="H84" t="s">
        <v>1055</v>
      </c>
      <c r="I84" t="s">
        <v>13</v>
      </c>
    </row>
    <row r="85" spans="1:9" customFormat="1" ht="21">
      <c r="A85" s="28" t="s">
        <v>651</v>
      </c>
      <c r="B85" s="28" t="s">
        <v>108</v>
      </c>
      <c r="C85" s="28" t="s">
        <v>92</v>
      </c>
      <c r="D85" s="28" t="s">
        <v>652</v>
      </c>
      <c r="E85" s="29">
        <v>1624740</v>
      </c>
      <c r="F85" s="29">
        <v>-1624739</v>
      </c>
      <c r="G85" s="29">
        <v>1</v>
      </c>
      <c r="H85" t="s">
        <v>1055</v>
      </c>
      <c r="I85" t="s">
        <v>13</v>
      </c>
    </row>
    <row r="86" spans="1:9" customFormat="1" ht="21">
      <c r="A86" s="28" t="s">
        <v>653</v>
      </c>
      <c r="B86" s="28" t="s">
        <v>91</v>
      </c>
      <c r="C86" s="28" t="s">
        <v>92</v>
      </c>
      <c r="D86" s="28" t="s">
        <v>654</v>
      </c>
      <c r="E86" s="29">
        <v>1183041.83</v>
      </c>
      <c r="F86" s="29">
        <v>-100645.2</v>
      </c>
      <c r="G86" s="29">
        <v>1082396.6299999999</v>
      </c>
      <c r="H86" t="s">
        <v>1055</v>
      </c>
      <c r="I86" t="s">
        <v>13</v>
      </c>
    </row>
    <row r="87" spans="1:9" customFormat="1" ht="21">
      <c r="A87" s="28" t="s">
        <v>653</v>
      </c>
      <c r="B87" s="28" t="s">
        <v>108</v>
      </c>
      <c r="C87" s="28" t="s">
        <v>92</v>
      </c>
      <c r="D87" s="28" t="s">
        <v>654</v>
      </c>
      <c r="E87" s="29">
        <v>499008.17</v>
      </c>
      <c r="F87" s="29">
        <v>-499007.17</v>
      </c>
      <c r="G87" s="29">
        <v>1</v>
      </c>
      <c r="H87" t="s">
        <v>1055</v>
      </c>
      <c r="I87" t="s">
        <v>13</v>
      </c>
    </row>
    <row r="88" spans="1:9" customFormat="1" ht="21">
      <c r="A88" s="28" t="s">
        <v>655</v>
      </c>
      <c r="B88" s="28" t="s">
        <v>91</v>
      </c>
      <c r="C88" s="28" t="s">
        <v>92</v>
      </c>
      <c r="D88" s="28" t="s">
        <v>656</v>
      </c>
      <c r="E88" s="29">
        <v>895529.55</v>
      </c>
      <c r="F88" s="29">
        <v>-76916.649999999994</v>
      </c>
      <c r="G88" s="29">
        <v>818612.9</v>
      </c>
      <c r="H88" t="s">
        <v>1055</v>
      </c>
      <c r="I88" t="s">
        <v>13</v>
      </c>
    </row>
    <row r="89" spans="1:9" customFormat="1" ht="21">
      <c r="A89" s="28" t="s">
        <v>655</v>
      </c>
      <c r="B89" s="28" t="s">
        <v>108</v>
      </c>
      <c r="C89" s="28" t="s">
        <v>92</v>
      </c>
      <c r="D89" s="28" t="s">
        <v>656</v>
      </c>
      <c r="E89" s="29">
        <v>389919.57</v>
      </c>
      <c r="F89" s="29">
        <v>-389918.57</v>
      </c>
      <c r="G89" s="29">
        <v>1</v>
      </c>
      <c r="H89" t="s">
        <v>1055</v>
      </c>
      <c r="I89" t="s">
        <v>13</v>
      </c>
    </row>
    <row r="90" spans="1:9" customFormat="1" ht="21">
      <c r="A90" s="28" t="s">
        <v>657</v>
      </c>
      <c r="B90" s="28" t="s">
        <v>91</v>
      </c>
      <c r="C90" s="28" t="s">
        <v>92</v>
      </c>
      <c r="D90" s="28" t="s">
        <v>658</v>
      </c>
      <c r="E90" s="29">
        <v>763500</v>
      </c>
      <c r="F90" s="29">
        <v>-763499</v>
      </c>
      <c r="G90" s="29">
        <v>1</v>
      </c>
      <c r="H90" t="s">
        <v>1055</v>
      </c>
      <c r="I90" t="s">
        <v>13</v>
      </c>
    </row>
    <row r="91" spans="1:9" customFormat="1" ht="21">
      <c r="A91" s="28" t="s">
        <v>1056</v>
      </c>
      <c r="B91" s="28" t="s">
        <v>91</v>
      </c>
      <c r="C91" s="28" t="s">
        <v>92</v>
      </c>
      <c r="D91" s="28" t="s">
        <v>1057</v>
      </c>
      <c r="E91" s="29">
        <v>1430000</v>
      </c>
      <c r="F91" s="29">
        <v>-1429999</v>
      </c>
      <c r="G91" s="29">
        <v>1</v>
      </c>
      <c r="H91" t="s">
        <v>1055</v>
      </c>
      <c r="I91" t="s">
        <v>15</v>
      </c>
    </row>
    <row r="92" spans="1:9" customFormat="1" ht="21">
      <c r="A92" s="28" t="s">
        <v>1058</v>
      </c>
      <c r="B92" s="28" t="s">
        <v>91</v>
      </c>
      <c r="C92" s="28" t="s">
        <v>1059</v>
      </c>
      <c r="D92" s="28" t="s">
        <v>1060</v>
      </c>
      <c r="E92" s="29">
        <v>28000</v>
      </c>
      <c r="F92" s="29">
        <v>-27999</v>
      </c>
      <c r="G92" s="29">
        <v>1</v>
      </c>
      <c r="H92" t="s">
        <v>1055</v>
      </c>
      <c r="I92" t="s">
        <v>18</v>
      </c>
    </row>
    <row r="93" spans="1:9" customFormat="1" ht="21">
      <c r="A93" s="28" t="s">
        <v>1061</v>
      </c>
      <c r="B93" s="28" t="s">
        <v>91</v>
      </c>
      <c r="C93" s="28" t="s">
        <v>1059</v>
      </c>
      <c r="D93" s="28" t="s">
        <v>1060</v>
      </c>
      <c r="E93" s="29">
        <v>28000</v>
      </c>
      <c r="F93" s="29">
        <v>-27999</v>
      </c>
      <c r="G93" s="29">
        <v>1</v>
      </c>
      <c r="H93" t="s">
        <v>1055</v>
      </c>
      <c r="I93" t="s">
        <v>18</v>
      </c>
    </row>
    <row r="94" spans="1:9" customFormat="1" ht="21">
      <c r="A94" s="28" t="s">
        <v>1062</v>
      </c>
      <c r="B94" s="28" t="s">
        <v>91</v>
      </c>
      <c r="C94" s="28" t="s">
        <v>1059</v>
      </c>
      <c r="D94" s="28" t="s">
        <v>1060</v>
      </c>
      <c r="E94" s="29">
        <v>28000</v>
      </c>
      <c r="F94" s="29">
        <v>-27999</v>
      </c>
      <c r="G94" s="29">
        <v>1</v>
      </c>
      <c r="H94" t="s">
        <v>1055</v>
      </c>
      <c r="I94" t="s">
        <v>18</v>
      </c>
    </row>
    <row r="95" spans="1:9" customFormat="1" ht="21">
      <c r="A95" s="28" t="s">
        <v>1063</v>
      </c>
      <c r="B95" s="28" t="s">
        <v>91</v>
      </c>
      <c r="C95" s="28" t="s">
        <v>1059</v>
      </c>
      <c r="D95" s="28" t="s">
        <v>1060</v>
      </c>
      <c r="E95" s="29">
        <v>28000</v>
      </c>
      <c r="F95" s="29">
        <v>-27999</v>
      </c>
      <c r="G95" s="29">
        <v>1</v>
      </c>
      <c r="H95" t="s">
        <v>1055</v>
      </c>
      <c r="I95" t="s">
        <v>18</v>
      </c>
    </row>
    <row r="96" spans="1:9" customFormat="1" ht="21">
      <c r="A96" s="28" t="s">
        <v>1064</v>
      </c>
      <c r="B96" s="28" t="s">
        <v>91</v>
      </c>
      <c r="C96" s="28" t="s">
        <v>1059</v>
      </c>
      <c r="D96" s="28" t="s">
        <v>1060</v>
      </c>
      <c r="E96" s="29">
        <v>28000</v>
      </c>
      <c r="F96" s="29">
        <v>-27999</v>
      </c>
      <c r="G96" s="29">
        <v>1</v>
      </c>
      <c r="H96" t="s">
        <v>1055</v>
      </c>
      <c r="I96" t="s">
        <v>18</v>
      </c>
    </row>
    <row r="97" spans="1:9" customFormat="1" ht="21">
      <c r="A97" s="28" t="s">
        <v>1065</v>
      </c>
      <c r="B97" s="28" t="s">
        <v>91</v>
      </c>
      <c r="C97" s="28" t="s">
        <v>1059</v>
      </c>
      <c r="D97" s="28" t="s">
        <v>1060</v>
      </c>
      <c r="E97" s="29">
        <v>28000</v>
      </c>
      <c r="F97" s="29">
        <v>-27999</v>
      </c>
      <c r="G97" s="29">
        <v>1</v>
      </c>
      <c r="H97" t="s">
        <v>1055</v>
      </c>
      <c r="I97" t="s">
        <v>18</v>
      </c>
    </row>
    <row r="98" spans="1:9" customFormat="1" ht="21">
      <c r="A98" s="28" t="s">
        <v>1066</v>
      </c>
      <c r="B98" s="28" t="s">
        <v>91</v>
      </c>
      <c r="C98" s="28" t="s">
        <v>1059</v>
      </c>
      <c r="D98" s="28" t="s">
        <v>1060</v>
      </c>
      <c r="E98" s="29">
        <v>28000</v>
      </c>
      <c r="F98" s="29">
        <v>-27999</v>
      </c>
      <c r="G98" s="29">
        <v>1</v>
      </c>
      <c r="H98" t="s">
        <v>1055</v>
      </c>
      <c r="I98" t="s">
        <v>18</v>
      </c>
    </row>
    <row r="99" spans="1:9" customFormat="1" ht="21">
      <c r="A99" s="28" t="s">
        <v>1067</v>
      </c>
      <c r="B99" s="28" t="s">
        <v>91</v>
      </c>
      <c r="C99" s="28" t="s">
        <v>1059</v>
      </c>
      <c r="D99" s="28" t="s">
        <v>1060</v>
      </c>
      <c r="E99" s="29">
        <v>28000</v>
      </c>
      <c r="F99" s="29">
        <v>-27999</v>
      </c>
      <c r="G99" s="29">
        <v>1</v>
      </c>
      <c r="H99" t="s">
        <v>1055</v>
      </c>
      <c r="I99" t="s">
        <v>18</v>
      </c>
    </row>
    <row r="100" spans="1:9" customFormat="1" ht="21">
      <c r="A100" s="28" t="s">
        <v>1068</v>
      </c>
      <c r="B100" s="28" t="s">
        <v>91</v>
      </c>
      <c r="C100" s="28" t="s">
        <v>1059</v>
      </c>
      <c r="D100" s="28" t="s">
        <v>1060</v>
      </c>
      <c r="E100" s="29">
        <v>28000</v>
      </c>
      <c r="F100" s="29">
        <v>-27999</v>
      </c>
      <c r="G100" s="29">
        <v>1</v>
      </c>
      <c r="H100" t="s">
        <v>1055</v>
      </c>
      <c r="I100" t="s">
        <v>18</v>
      </c>
    </row>
    <row r="101" spans="1:9" customFormat="1" ht="21">
      <c r="A101" s="28" t="s">
        <v>1069</v>
      </c>
      <c r="B101" s="28" t="s">
        <v>91</v>
      </c>
      <c r="C101" s="28" t="s">
        <v>1059</v>
      </c>
      <c r="D101" s="28" t="s">
        <v>1070</v>
      </c>
      <c r="E101" s="29">
        <v>13375</v>
      </c>
      <c r="F101" s="29">
        <v>-13374</v>
      </c>
      <c r="G101" s="29">
        <v>1</v>
      </c>
      <c r="H101" t="s">
        <v>1055</v>
      </c>
      <c r="I101" t="s">
        <v>18</v>
      </c>
    </row>
    <row r="102" spans="1:9" customFormat="1" ht="21">
      <c r="A102" s="28" t="s">
        <v>1071</v>
      </c>
      <c r="B102" s="28" t="s">
        <v>91</v>
      </c>
      <c r="C102" s="28" t="s">
        <v>1059</v>
      </c>
      <c r="D102" s="28" t="s">
        <v>1072</v>
      </c>
      <c r="E102" s="29">
        <v>13375</v>
      </c>
      <c r="F102" s="29">
        <v>-13374</v>
      </c>
      <c r="G102" s="29">
        <v>1</v>
      </c>
      <c r="H102" t="s">
        <v>1055</v>
      </c>
      <c r="I102" t="s">
        <v>18</v>
      </c>
    </row>
    <row r="103" spans="1:9" customFormat="1" ht="21">
      <c r="A103" s="28" t="s">
        <v>1073</v>
      </c>
      <c r="B103" s="28" t="s">
        <v>91</v>
      </c>
      <c r="C103" s="28" t="s">
        <v>1059</v>
      </c>
      <c r="D103" s="28" t="s">
        <v>1072</v>
      </c>
      <c r="E103" s="29">
        <v>11600</v>
      </c>
      <c r="F103" s="29">
        <v>-11599</v>
      </c>
      <c r="G103" s="29">
        <v>1</v>
      </c>
      <c r="H103" t="s">
        <v>1055</v>
      </c>
      <c r="I103" t="s">
        <v>18</v>
      </c>
    </row>
    <row r="104" spans="1:9" customFormat="1" ht="21">
      <c r="A104" s="28" t="s">
        <v>1074</v>
      </c>
      <c r="B104" s="28" t="s">
        <v>91</v>
      </c>
      <c r="C104" s="28" t="s">
        <v>1059</v>
      </c>
      <c r="D104" s="28" t="s">
        <v>1075</v>
      </c>
      <c r="E104" s="29">
        <v>11600</v>
      </c>
      <c r="F104" s="29">
        <v>-11599</v>
      </c>
      <c r="G104" s="29">
        <v>1</v>
      </c>
      <c r="H104" t="s">
        <v>1055</v>
      </c>
      <c r="I104" t="s">
        <v>18</v>
      </c>
    </row>
    <row r="105" spans="1:9" customFormat="1" ht="21">
      <c r="A105" s="28" t="s">
        <v>1076</v>
      </c>
      <c r="B105" s="28" t="s">
        <v>91</v>
      </c>
      <c r="C105" s="28" t="s">
        <v>1059</v>
      </c>
      <c r="D105" s="28" t="s">
        <v>1075</v>
      </c>
      <c r="E105" s="29">
        <v>11600</v>
      </c>
      <c r="F105" s="29">
        <v>-11599</v>
      </c>
      <c r="G105" s="29">
        <v>1</v>
      </c>
      <c r="H105" t="s">
        <v>1055</v>
      </c>
      <c r="I105" t="s">
        <v>18</v>
      </c>
    </row>
    <row r="106" spans="1:9" customFormat="1" ht="21">
      <c r="A106" s="28" t="s">
        <v>1077</v>
      </c>
      <c r="B106" s="28" t="s">
        <v>91</v>
      </c>
      <c r="C106" s="28" t="s">
        <v>1059</v>
      </c>
      <c r="D106" s="28" t="s">
        <v>1075</v>
      </c>
      <c r="E106" s="29">
        <v>11600</v>
      </c>
      <c r="F106" s="29">
        <v>-11599</v>
      </c>
      <c r="G106" s="29">
        <v>1</v>
      </c>
      <c r="H106" t="s">
        <v>1055</v>
      </c>
      <c r="I106" t="s">
        <v>18</v>
      </c>
    </row>
    <row r="107" spans="1:9" customFormat="1" ht="21">
      <c r="A107" s="28" t="s">
        <v>1078</v>
      </c>
      <c r="B107" s="28" t="s">
        <v>91</v>
      </c>
      <c r="C107" s="28" t="s">
        <v>1059</v>
      </c>
      <c r="D107" s="28" t="s">
        <v>1075</v>
      </c>
      <c r="E107" s="29">
        <v>11600</v>
      </c>
      <c r="F107" s="29">
        <v>-11599</v>
      </c>
      <c r="G107" s="29">
        <v>1</v>
      </c>
      <c r="H107" t="s">
        <v>1055</v>
      </c>
      <c r="I107" t="s">
        <v>18</v>
      </c>
    </row>
    <row r="108" spans="1:9" customFormat="1" ht="21">
      <c r="A108" s="28" t="s">
        <v>1079</v>
      </c>
      <c r="B108" s="28" t="s">
        <v>91</v>
      </c>
      <c r="C108" s="28" t="s">
        <v>927</v>
      </c>
      <c r="D108" s="28" t="s">
        <v>674</v>
      </c>
      <c r="E108" s="29">
        <v>2100000</v>
      </c>
      <c r="F108" s="29">
        <v>-2099999</v>
      </c>
      <c r="G108" s="29">
        <v>1</v>
      </c>
      <c r="H108" t="s">
        <v>1055</v>
      </c>
      <c r="I108" t="s">
        <v>675</v>
      </c>
    </row>
    <row r="109" spans="1:9" customFormat="1" ht="21">
      <c r="A109" s="28" t="s">
        <v>1080</v>
      </c>
      <c r="B109" s="28" t="s">
        <v>91</v>
      </c>
      <c r="C109" s="28" t="s">
        <v>1081</v>
      </c>
      <c r="D109" s="28" t="s">
        <v>1082</v>
      </c>
      <c r="E109" s="29">
        <v>449000</v>
      </c>
      <c r="F109" s="29">
        <v>-101855.34</v>
      </c>
      <c r="G109" s="29">
        <v>347144.66</v>
      </c>
      <c r="H109" t="s">
        <v>1055</v>
      </c>
      <c r="I109" t="s">
        <v>681</v>
      </c>
    </row>
    <row r="110" spans="1:9" customFormat="1" ht="21">
      <c r="A110" s="28" t="s">
        <v>1083</v>
      </c>
      <c r="B110" s="28" t="s">
        <v>91</v>
      </c>
      <c r="C110" s="28" t="s">
        <v>1081</v>
      </c>
      <c r="D110" s="28" t="s">
        <v>1082</v>
      </c>
      <c r="E110" s="29">
        <v>449000</v>
      </c>
      <c r="F110" s="29">
        <v>-101855.34</v>
      </c>
      <c r="G110" s="29">
        <v>347144.66</v>
      </c>
      <c r="H110" t="s">
        <v>1055</v>
      </c>
      <c r="I110" t="s">
        <v>681</v>
      </c>
    </row>
    <row r="111" spans="1:9" customFormat="1" ht="21">
      <c r="A111" s="28" t="s">
        <v>1084</v>
      </c>
      <c r="B111" s="28" t="s">
        <v>91</v>
      </c>
      <c r="C111" s="28" t="s">
        <v>679</v>
      </c>
      <c r="D111" s="28" t="s">
        <v>680</v>
      </c>
      <c r="E111" s="29">
        <v>449663</v>
      </c>
      <c r="F111" s="29">
        <v>-103237.7</v>
      </c>
      <c r="G111" s="29">
        <v>346425.3</v>
      </c>
      <c r="H111" t="s">
        <v>1055</v>
      </c>
      <c r="I111" t="s">
        <v>681</v>
      </c>
    </row>
    <row r="112" spans="1:9" customFormat="1" ht="21">
      <c r="A112" s="28" t="s">
        <v>1085</v>
      </c>
      <c r="B112" s="28" t="s">
        <v>91</v>
      </c>
      <c r="C112" s="28" t="s">
        <v>679</v>
      </c>
      <c r="D112" s="28" t="s">
        <v>683</v>
      </c>
      <c r="E112" s="29">
        <v>49870</v>
      </c>
      <c r="F112" s="29">
        <v>-11449.61</v>
      </c>
      <c r="G112" s="29">
        <v>38420.39</v>
      </c>
      <c r="H112" t="s">
        <v>1055</v>
      </c>
      <c r="I112" t="s">
        <v>681</v>
      </c>
    </row>
    <row r="113" spans="1:9" customFormat="1" ht="21">
      <c r="A113" s="28" t="s">
        <v>1086</v>
      </c>
      <c r="B113" s="28" t="s">
        <v>91</v>
      </c>
      <c r="C113" s="28" t="s">
        <v>679</v>
      </c>
      <c r="D113" s="28" t="s">
        <v>683</v>
      </c>
      <c r="E113" s="29">
        <v>49870</v>
      </c>
      <c r="F113" s="29">
        <v>-11449.61</v>
      </c>
      <c r="G113" s="29">
        <v>38420.39</v>
      </c>
      <c r="H113" t="s">
        <v>1055</v>
      </c>
      <c r="I113" t="s">
        <v>681</v>
      </c>
    </row>
    <row r="114" spans="1:9" customFormat="1" ht="21">
      <c r="A114" s="28" t="s">
        <v>1087</v>
      </c>
      <c r="B114" s="28" t="s">
        <v>91</v>
      </c>
      <c r="C114" s="28" t="s">
        <v>686</v>
      </c>
      <c r="D114" s="28" t="s">
        <v>687</v>
      </c>
      <c r="E114" s="29">
        <v>349650</v>
      </c>
      <c r="F114" s="29">
        <v>-91004.800000000003</v>
      </c>
      <c r="G114" s="29">
        <v>258645.2</v>
      </c>
      <c r="H114" t="s">
        <v>1055</v>
      </c>
      <c r="I114" t="s">
        <v>681</v>
      </c>
    </row>
    <row r="115" spans="1:9" customFormat="1" ht="21">
      <c r="A115" s="28" t="s">
        <v>1088</v>
      </c>
      <c r="B115" s="28" t="s">
        <v>91</v>
      </c>
      <c r="C115" s="28" t="s">
        <v>605</v>
      </c>
      <c r="D115" s="28" t="s">
        <v>1089</v>
      </c>
      <c r="E115" s="29">
        <v>250000</v>
      </c>
      <c r="F115" s="29">
        <v>-249999</v>
      </c>
      <c r="G115" s="29">
        <v>1</v>
      </c>
      <c r="H115" t="s">
        <v>1055</v>
      </c>
      <c r="I115" t="s">
        <v>681</v>
      </c>
    </row>
    <row r="116" spans="1:9" customFormat="1" ht="21">
      <c r="A116" s="28" t="s">
        <v>1090</v>
      </c>
      <c r="B116" s="28" t="s">
        <v>91</v>
      </c>
      <c r="C116" s="28" t="s">
        <v>605</v>
      </c>
      <c r="D116" s="28" t="s">
        <v>1091</v>
      </c>
      <c r="E116" s="29">
        <v>294000</v>
      </c>
      <c r="F116" s="29">
        <v>-293999</v>
      </c>
      <c r="G116" s="29">
        <v>1</v>
      </c>
      <c r="H116" t="s">
        <v>1055</v>
      </c>
      <c r="I116" t="s">
        <v>681</v>
      </c>
    </row>
    <row r="117" spans="1:9" customFormat="1" ht="21">
      <c r="A117" s="28" t="s">
        <v>1092</v>
      </c>
      <c r="B117" s="28" t="s">
        <v>91</v>
      </c>
      <c r="C117" s="28" t="s">
        <v>605</v>
      </c>
      <c r="D117" s="28" t="s">
        <v>1093</v>
      </c>
      <c r="E117" s="29">
        <v>449000</v>
      </c>
      <c r="F117" s="29">
        <v>-192063.16</v>
      </c>
      <c r="G117" s="29">
        <v>256936.84</v>
      </c>
      <c r="H117" t="s">
        <v>1055</v>
      </c>
      <c r="I117" t="s">
        <v>681</v>
      </c>
    </row>
    <row r="118" spans="1:9" customFormat="1" ht="21">
      <c r="A118" s="28" t="s">
        <v>1094</v>
      </c>
      <c r="B118" s="28" t="s">
        <v>91</v>
      </c>
      <c r="C118" s="28" t="s">
        <v>605</v>
      </c>
      <c r="D118" s="28" t="s">
        <v>1095</v>
      </c>
      <c r="E118" s="29">
        <v>639500</v>
      </c>
      <c r="F118" s="29">
        <v>-217666.81</v>
      </c>
      <c r="G118" s="29">
        <v>421833.19</v>
      </c>
      <c r="H118" t="s">
        <v>1055</v>
      </c>
      <c r="I118" t="s">
        <v>681</v>
      </c>
    </row>
    <row r="119" spans="1:9" customFormat="1" ht="21">
      <c r="A119" s="28" t="s">
        <v>1096</v>
      </c>
      <c r="B119" s="28" t="s">
        <v>91</v>
      </c>
      <c r="C119" s="28" t="s">
        <v>605</v>
      </c>
      <c r="D119" s="28" t="s">
        <v>1093</v>
      </c>
      <c r="E119" s="29">
        <v>470400</v>
      </c>
      <c r="F119" s="29">
        <v>-470399</v>
      </c>
      <c r="G119" s="29">
        <v>1</v>
      </c>
      <c r="H119" t="s">
        <v>1055</v>
      </c>
      <c r="I119" t="s">
        <v>681</v>
      </c>
    </row>
    <row r="120" spans="1:9" customFormat="1" ht="21">
      <c r="A120" s="28" t="s">
        <v>1097</v>
      </c>
      <c r="B120" s="28" t="s">
        <v>91</v>
      </c>
      <c r="C120" s="28" t="s">
        <v>605</v>
      </c>
      <c r="D120" s="28" t="s">
        <v>697</v>
      </c>
      <c r="E120" s="29">
        <v>82692</v>
      </c>
      <c r="F120" s="29">
        <v>-80402.97</v>
      </c>
      <c r="G120" s="29">
        <v>2289.0300000000002</v>
      </c>
      <c r="H120" t="s">
        <v>1055</v>
      </c>
      <c r="I120" t="s">
        <v>681</v>
      </c>
    </row>
    <row r="121" spans="1:9" customFormat="1" ht="21">
      <c r="A121" s="28" t="s">
        <v>1098</v>
      </c>
      <c r="B121" s="28" t="s">
        <v>91</v>
      </c>
      <c r="C121" s="28" t="s">
        <v>605</v>
      </c>
      <c r="D121" s="28" t="s">
        <v>1099</v>
      </c>
      <c r="E121" s="29">
        <v>1992310</v>
      </c>
      <c r="F121" s="29">
        <v>-1320116.29</v>
      </c>
      <c r="G121" s="29">
        <v>672193.71</v>
      </c>
      <c r="H121" t="s">
        <v>1055</v>
      </c>
      <c r="I121" t="s">
        <v>681</v>
      </c>
    </row>
    <row r="122" spans="1:9" customFormat="1" ht="21">
      <c r="A122" s="28" t="s">
        <v>1100</v>
      </c>
      <c r="B122" s="28" t="s">
        <v>91</v>
      </c>
      <c r="C122" s="28" t="s">
        <v>605</v>
      </c>
      <c r="D122" s="28" t="s">
        <v>1101</v>
      </c>
      <c r="E122" s="29">
        <v>448500</v>
      </c>
      <c r="F122" s="29">
        <v>-435944.11</v>
      </c>
      <c r="G122" s="29">
        <v>12555.89</v>
      </c>
      <c r="H122" t="s">
        <v>1055</v>
      </c>
      <c r="I122" t="s">
        <v>681</v>
      </c>
    </row>
    <row r="123" spans="1:9" customFormat="1" ht="21">
      <c r="A123" s="28" t="s">
        <v>1102</v>
      </c>
      <c r="B123" s="28" t="s">
        <v>91</v>
      </c>
      <c r="C123" s="28" t="s">
        <v>605</v>
      </c>
      <c r="D123" s="28" t="s">
        <v>1101</v>
      </c>
      <c r="E123" s="29">
        <v>449000</v>
      </c>
      <c r="F123" s="29">
        <v>-353430.18</v>
      </c>
      <c r="G123" s="29">
        <v>95569.82</v>
      </c>
      <c r="H123" t="s">
        <v>1055</v>
      </c>
      <c r="I123" t="s">
        <v>681</v>
      </c>
    </row>
    <row r="124" spans="1:9" customFormat="1" ht="21">
      <c r="A124" s="28" t="s">
        <v>1103</v>
      </c>
      <c r="B124" s="28" t="s">
        <v>91</v>
      </c>
      <c r="C124" s="28" t="s">
        <v>605</v>
      </c>
      <c r="D124" s="28" t="s">
        <v>1101</v>
      </c>
      <c r="E124" s="29">
        <v>449000</v>
      </c>
      <c r="F124" s="29">
        <v>-353430.18</v>
      </c>
      <c r="G124" s="29">
        <v>95569.82</v>
      </c>
      <c r="H124" t="s">
        <v>1055</v>
      </c>
      <c r="I124" t="s">
        <v>681</v>
      </c>
    </row>
    <row r="125" spans="1:9" customFormat="1" ht="21">
      <c r="A125" s="28" t="s">
        <v>1104</v>
      </c>
      <c r="B125" s="28" t="s">
        <v>91</v>
      </c>
      <c r="C125" s="28" t="s">
        <v>605</v>
      </c>
      <c r="D125" s="28" t="s">
        <v>1105</v>
      </c>
      <c r="E125" s="29">
        <v>927500</v>
      </c>
      <c r="F125" s="29">
        <v>-367174.34</v>
      </c>
      <c r="G125" s="29">
        <v>560325.66</v>
      </c>
      <c r="H125" t="s">
        <v>1055</v>
      </c>
      <c r="I125" t="s">
        <v>681</v>
      </c>
    </row>
    <row r="126" spans="1:9" customFormat="1" ht="21">
      <c r="A126" s="28" t="s">
        <v>1106</v>
      </c>
      <c r="B126" s="28" t="s">
        <v>91</v>
      </c>
      <c r="C126" s="28" t="s">
        <v>605</v>
      </c>
      <c r="D126" s="28" t="s">
        <v>1107</v>
      </c>
      <c r="E126" s="29">
        <v>199740</v>
      </c>
      <c r="F126" s="29">
        <v>-164558.18</v>
      </c>
      <c r="G126" s="29">
        <v>35181.82</v>
      </c>
      <c r="H126" t="s">
        <v>1055</v>
      </c>
      <c r="I126" t="s">
        <v>681</v>
      </c>
    </row>
    <row r="127" spans="1:9" customFormat="1" ht="21">
      <c r="A127" s="28" t="s">
        <v>1108</v>
      </c>
      <c r="B127" s="28" t="s">
        <v>91</v>
      </c>
      <c r="C127" s="28" t="s">
        <v>605</v>
      </c>
      <c r="D127" s="28" t="s">
        <v>1107</v>
      </c>
      <c r="E127" s="29">
        <v>199740</v>
      </c>
      <c r="F127" s="29">
        <v>-164558.18</v>
      </c>
      <c r="G127" s="29">
        <v>35181.82</v>
      </c>
      <c r="H127" t="s">
        <v>1055</v>
      </c>
      <c r="I127" t="s">
        <v>681</v>
      </c>
    </row>
    <row r="128" spans="1:9" customFormat="1" ht="21">
      <c r="A128" s="28" t="s">
        <v>1109</v>
      </c>
      <c r="B128" s="28" t="s">
        <v>91</v>
      </c>
      <c r="C128" s="28" t="s">
        <v>605</v>
      </c>
      <c r="D128" s="28" t="s">
        <v>1107</v>
      </c>
      <c r="E128" s="29">
        <v>199740</v>
      </c>
      <c r="F128" s="29">
        <v>-164558.18</v>
      </c>
      <c r="G128" s="29">
        <v>35181.82</v>
      </c>
      <c r="H128" t="s">
        <v>1055</v>
      </c>
      <c r="I128" t="s">
        <v>681</v>
      </c>
    </row>
    <row r="129" spans="1:9" customFormat="1" ht="21">
      <c r="A129" s="28" t="s">
        <v>1110</v>
      </c>
      <c r="B129" s="28" t="s">
        <v>91</v>
      </c>
      <c r="C129" s="28" t="s">
        <v>605</v>
      </c>
      <c r="D129" s="28" t="s">
        <v>1107</v>
      </c>
      <c r="E129" s="29">
        <v>199740</v>
      </c>
      <c r="F129" s="29">
        <v>-164558.18</v>
      </c>
      <c r="G129" s="29">
        <v>35181.82</v>
      </c>
      <c r="H129" t="s">
        <v>1055</v>
      </c>
      <c r="I129" t="s">
        <v>681</v>
      </c>
    </row>
    <row r="130" spans="1:9" customFormat="1" ht="21">
      <c r="A130" s="28" t="s">
        <v>1111</v>
      </c>
      <c r="B130" s="28" t="s">
        <v>91</v>
      </c>
      <c r="C130" s="28" t="s">
        <v>605</v>
      </c>
      <c r="D130" s="28" t="s">
        <v>1107</v>
      </c>
      <c r="E130" s="29">
        <v>199740</v>
      </c>
      <c r="F130" s="29">
        <v>-164558.18</v>
      </c>
      <c r="G130" s="29">
        <v>35181.82</v>
      </c>
      <c r="H130" t="s">
        <v>1055</v>
      </c>
      <c r="I130" t="s">
        <v>681</v>
      </c>
    </row>
    <row r="131" spans="1:9" customFormat="1" ht="21">
      <c r="A131" s="28" t="s">
        <v>1112</v>
      </c>
      <c r="B131" s="28" t="s">
        <v>91</v>
      </c>
      <c r="C131" s="28" t="s">
        <v>927</v>
      </c>
      <c r="D131" s="28" t="s">
        <v>987</v>
      </c>
      <c r="E131" s="29">
        <v>450000</v>
      </c>
      <c r="F131" s="29">
        <v>-435717.55</v>
      </c>
      <c r="G131" s="29">
        <v>14282.45</v>
      </c>
      <c r="H131" t="s">
        <v>1055</v>
      </c>
      <c r="I131" t="s">
        <v>681</v>
      </c>
    </row>
    <row r="132" spans="1:9" customFormat="1" ht="21">
      <c r="A132" s="28" t="s">
        <v>1113</v>
      </c>
      <c r="B132" s="28" t="s">
        <v>91</v>
      </c>
      <c r="C132" s="28" t="s">
        <v>927</v>
      </c>
      <c r="D132" s="28" t="s">
        <v>1114</v>
      </c>
      <c r="E132" s="29">
        <v>45475</v>
      </c>
      <c r="F132" s="29">
        <v>-41918.339999999997</v>
      </c>
      <c r="G132" s="29">
        <v>3556.66</v>
      </c>
      <c r="H132" t="s">
        <v>1055</v>
      </c>
      <c r="I132" t="s">
        <v>681</v>
      </c>
    </row>
    <row r="133" spans="1:9" customFormat="1" ht="21">
      <c r="A133" s="28" t="s">
        <v>1115</v>
      </c>
      <c r="B133" s="28" t="s">
        <v>91</v>
      </c>
      <c r="C133" s="28" t="s">
        <v>927</v>
      </c>
      <c r="D133" s="28" t="s">
        <v>982</v>
      </c>
      <c r="E133" s="29">
        <v>31500</v>
      </c>
      <c r="F133" s="29">
        <v>-30087.07</v>
      </c>
      <c r="G133" s="29">
        <v>1412.93</v>
      </c>
      <c r="H133" t="s">
        <v>1055</v>
      </c>
      <c r="I133" t="s">
        <v>681</v>
      </c>
    </row>
    <row r="134" spans="1:9" customFormat="1" ht="21">
      <c r="A134" s="28" t="s">
        <v>1116</v>
      </c>
      <c r="B134" s="28" t="s">
        <v>91</v>
      </c>
      <c r="C134" s="28" t="s">
        <v>927</v>
      </c>
      <c r="D134" s="28" t="s">
        <v>1117</v>
      </c>
      <c r="E134" s="29">
        <v>81180</v>
      </c>
      <c r="F134" s="29">
        <v>-75931.89</v>
      </c>
      <c r="G134" s="29">
        <v>5248.11</v>
      </c>
      <c r="H134" t="s">
        <v>1055</v>
      </c>
      <c r="I134" t="s">
        <v>681</v>
      </c>
    </row>
    <row r="135" spans="1:9" customFormat="1" ht="21">
      <c r="A135" s="28" t="s">
        <v>1118</v>
      </c>
      <c r="B135" s="28" t="s">
        <v>91</v>
      </c>
      <c r="C135" s="28" t="s">
        <v>927</v>
      </c>
      <c r="D135" s="28" t="s">
        <v>1119</v>
      </c>
      <c r="E135" s="29">
        <v>69900</v>
      </c>
      <c r="F135" s="29">
        <v>-60985.38</v>
      </c>
      <c r="G135" s="29">
        <v>8914.6200000000008</v>
      </c>
      <c r="H135" t="s">
        <v>1055</v>
      </c>
      <c r="I135" t="s">
        <v>681</v>
      </c>
    </row>
    <row r="136" spans="1:9" customFormat="1" ht="21">
      <c r="A136" s="28" t="s">
        <v>1120</v>
      </c>
      <c r="B136" s="28" t="s">
        <v>91</v>
      </c>
      <c r="C136" s="28" t="s">
        <v>927</v>
      </c>
      <c r="D136" s="28" t="s">
        <v>855</v>
      </c>
      <c r="E136" s="29">
        <v>989700</v>
      </c>
      <c r="F136" s="29">
        <v>-776866.85</v>
      </c>
      <c r="G136" s="29">
        <v>212833.15</v>
      </c>
      <c r="H136" t="s">
        <v>1055</v>
      </c>
      <c r="I136" t="s">
        <v>681</v>
      </c>
    </row>
    <row r="137" spans="1:9" customFormat="1" ht="21">
      <c r="A137" s="28" t="s">
        <v>1121</v>
      </c>
      <c r="B137" s="28" t="s">
        <v>91</v>
      </c>
      <c r="C137" s="28" t="s">
        <v>927</v>
      </c>
      <c r="D137" s="28" t="s">
        <v>1122</v>
      </c>
      <c r="E137" s="29">
        <v>620000</v>
      </c>
      <c r="F137" s="29">
        <v>-619999</v>
      </c>
      <c r="G137" s="29">
        <v>1</v>
      </c>
      <c r="H137" t="s">
        <v>1055</v>
      </c>
      <c r="I137" t="s">
        <v>681</v>
      </c>
    </row>
    <row r="138" spans="1:9" customFormat="1" ht="21">
      <c r="A138" s="28" t="s">
        <v>1123</v>
      </c>
      <c r="B138" s="28" t="s">
        <v>91</v>
      </c>
      <c r="C138" s="28" t="s">
        <v>927</v>
      </c>
      <c r="D138" s="28" t="s">
        <v>1124</v>
      </c>
      <c r="E138" s="29">
        <v>819000</v>
      </c>
      <c r="F138" s="29">
        <v>-818999</v>
      </c>
      <c r="G138" s="29">
        <v>1</v>
      </c>
      <c r="H138" t="s">
        <v>1055</v>
      </c>
      <c r="I138" t="s">
        <v>681</v>
      </c>
    </row>
    <row r="139" spans="1:9" customFormat="1" ht="21">
      <c r="A139" s="28" t="s">
        <v>1125</v>
      </c>
      <c r="B139" s="28" t="s">
        <v>91</v>
      </c>
      <c r="C139" s="28" t="s">
        <v>1059</v>
      </c>
      <c r="D139" s="28" t="s">
        <v>1126</v>
      </c>
      <c r="E139" s="29">
        <v>22500</v>
      </c>
      <c r="F139" s="29">
        <v>-22499</v>
      </c>
      <c r="G139" s="29">
        <v>1</v>
      </c>
      <c r="H139" t="s">
        <v>1055</v>
      </c>
      <c r="I139" t="s">
        <v>681</v>
      </c>
    </row>
    <row r="140" spans="1:9" customFormat="1" ht="21">
      <c r="A140" s="28" t="s">
        <v>1127</v>
      </c>
      <c r="B140" s="28" t="s">
        <v>91</v>
      </c>
      <c r="C140" s="28" t="s">
        <v>1059</v>
      </c>
      <c r="D140" s="28" t="s">
        <v>1126</v>
      </c>
      <c r="E140" s="29">
        <v>22500</v>
      </c>
      <c r="F140" s="29">
        <v>-22499</v>
      </c>
      <c r="G140" s="29">
        <v>1</v>
      </c>
      <c r="H140" t="s">
        <v>1055</v>
      </c>
      <c r="I140" t="s">
        <v>681</v>
      </c>
    </row>
    <row r="141" spans="1:9" customFormat="1" ht="21">
      <c r="A141" s="28" t="s">
        <v>1128</v>
      </c>
      <c r="B141" s="28" t="s">
        <v>91</v>
      </c>
      <c r="C141" s="28" t="s">
        <v>1059</v>
      </c>
      <c r="D141" s="28" t="s">
        <v>1129</v>
      </c>
      <c r="E141" s="29">
        <v>238984.5</v>
      </c>
      <c r="F141" s="29">
        <v>-238983.5</v>
      </c>
      <c r="G141" s="29">
        <v>1</v>
      </c>
      <c r="H141" t="s">
        <v>1055</v>
      </c>
      <c r="I141" t="s">
        <v>681</v>
      </c>
    </row>
    <row r="142" spans="1:9" customFormat="1" ht="21">
      <c r="A142" s="28" t="s">
        <v>1130</v>
      </c>
      <c r="B142" s="28" t="s">
        <v>91</v>
      </c>
      <c r="C142" s="28" t="s">
        <v>1059</v>
      </c>
      <c r="D142" s="28" t="s">
        <v>1131</v>
      </c>
      <c r="E142" s="29">
        <v>238984.5</v>
      </c>
      <c r="F142" s="29">
        <v>-238983.5</v>
      </c>
      <c r="G142" s="29">
        <v>1</v>
      </c>
      <c r="H142" t="s">
        <v>1055</v>
      </c>
      <c r="I142" t="s">
        <v>681</v>
      </c>
    </row>
    <row r="143" spans="1:9" customFormat="1" ht="21">
      <c r="A143" s="28" t="s">
        <v>1132</v>
      </c>
      <c r="B143" s="28" t="s">
        <v>91</v>
      </c>
      <c r="C143" s="28" t="s">
        <v>1059</v>
      </c>
      <c r="D143" s="28" t="s">
        <v>1133</v>
      </c>
      <c r="E143" s="29">
        <v>96300</v>
      </c>
      <c r="F143" s="29">
        <v>-96299</v>
      </c>
      <c r="G143" s="29">
        <v>1</v>
      </c>
      <c r="H143" t="s">
        <v>1055</v>
      </c>
      <c r="I143" t="s">
        <v>681</v>
      </c>
    </row>
    <row r="144" spans="1:9" customFormat="1" ht="21">
      <c r="A144" s="28" t="s">
        <v>1134</v>
      </c>
      <c r="B144" s="28" t="s">
        <v>91</v>
      </c>
      <c r="C144" s="28" t="s">
        <v>1059</v>
      </c>
      <c r="D144" s="28" t="s">
        <v>1135</v>
      </c>
      <c r="E144" s="29">
        <v>90900</v>
      </c>
      <c r="F144" s="29">
        <v>-90899</v>
      </c>
      <c r="G144" s="29">
        <v>1</v>
      </c>
      <c r="H144" t="s">
        <v>1055</v>
      </c>
      <c r="I144" t="s">
        <v>681</v>
      </c>
    </row>
    <row r="145" spans="1:9" customFormat="1" ht="21">
      <c r="A145" s="28" t="s">
        <v>1136</v>
      </c>
      <c r="B145" s="28" t="s">
        <v>91</v>
      </c>
      <c r="C145" s="28" t="s">
        <v>927</v>
      </c>
      <c r="D145" s="28" t="s">
        <v>1137</v>
      </c>
      <c r="E145" s="29">
        <v>682500</v>
      </c>
      <c r="F145" s="29">
        <v>-682499</v>
      </c>
      <c r="G145" s="29">
        <v>1</v>
      </c>
      <c r="H145" t="s">
        <v>1055</v>
      </c>
      <c r="I145" t="s">
        <v>32</v>
      </c>
    </row>
    <row r="146" spans="1:9" customFormat="1" ht="21">
      <c r="A146" s="28" t="s">
        <v>1138</v>
      </c>
      <c r="B146" s="28" t="s">
        <v>91</v>
      </c>
      <c r="C146" s="28" t="s">
        <v>1059</v>
      </c>
      <c r="D146" s="28" t="s">
        <v>1139</v>
      </c>
      <c r="E146" s="29">
        <v>182970</v>
      </c>
      <c r="F146" s="29">
        <v>-182969</v>
      </c>
      <c r="G146" s="29">
        <v>1</v>
      </c>
      <c r="H146" t="s">
        <v>1055</v>
      </c>
      <c r="I146" t="s">
        <v>32</v>
      </c>
    </row>
    <row r="147" spans="1:9" customFormat="1" ht="21">
      <c r="A147" s="28" t="s">
        <v>1140</v>
      </c>
      <c r="B147" s="28" t="s">
        <v>91</v>
      </c>
      <c r="C147" s="28" t="s">
        <v>1059</v>
      </c>
      <c r="D147" s="28" t="s">
        <v>1139</v>
      </c>
      <c r="E147" s="29">
        <v>182970</v>
      </c>
      <c r="F147" s="29">
        <v>-182969</v>
      </c>
      <c r="G147" s="29">
        <v>1</v>
      </c>
      <c r="H147" t="s">
        <v>1055</v>
      </c>
      <c r="I147" t="s">
        <v>32</v>
      </c>
    </row>
  </sheetData>
  <mergeCells count="105">
    <mergeCell ref="A3:A4"/>
    <mergeCell ref="B3:B4"/>
    <mergeCell ref="C3:N3"/>
    <mergeCell ref="P3:P4"/>
    <mergeCell ref="Q3:Q4"/>
    <mergeCell ref="R3:AC3"/>
    <mergeCell ref="A1:N1"/>
    <mergeCell ref="P1:AC1"/>
    <mergeCell ref="AE1:BD1"/>
    <mergeCell ref="A2:N2"/>
    <mergeCell ref="P2:AC2"/>
    <mergeCell ref="AE2:BD2"/>
    <mergeCell ref="C14:N14"/>
    <mergeCell ref="P14:P15"/>
    <mergeCell ref="Q14:Q15"/>
    <mergeCell ref="R14:AC14"/>
    <mergeCell ref="BA3:BB3"/>
    <mergeCell ref="BC3:BD3"/>
    <mergeCell ref="A12:N12"/>
    <mergeCell ref="P12:AC12"/>
    <mergeCell ref="AE12:BD12"/>
    <mergeCell ref="A13:N13"/>
    <mergeCell ref="P13:AC13"/>
    <mergeCell ref="AE13:BD13"/>
    <mergeCell ref="AO3:AP3"/>
    <mergeCell ref="AQ3:AR3"/>
    <mergeCell ref="AS3:AT3"/>
    <mergeCell ref="AU3:AV3"/>
    <mergeCell ref="AW3:AX3"/>
    <mergeCell ref="AY3:AZ3"/>
    <mergeCell ref="AE3:AE4"/>
    <mergeCell ref="AF3:AF4"/>
    <mergeCell ref="AG3:AH3"/>
    <mergeCell ref="AI3:AJ3"/>
    <mergeCell ref="AK3:AL3"/>
    <mergeCell ref="AM3:AN3"/>
    <mergeCell ref="Q25:Q26"/>
    <mergeCell ref="R25:AC25"/>
    <mergeCell ref="BA14:BB14"/>
    <mergeCell ref="BC14:BD14"/>
    <mergeCell ref="A23:N23"/>
    <mergeCell ref="P23:AC23"/>
    <mergeCell ref="AE23:BD23"/>
    <mergeCell ref="A24:N24"/>
    <mergeCell ref="P24:AC24"/>
    <mergeCell ref="AE24:BD24"/>
    <mergeCell ref="AO14:AP14"/>
    <mergeCell ref="AQ14:AR14"/>
    <mergeCell ref="AS14:AT14"/>
    <mergeCell ref="AU14:AV14"/>
    <mergeCell ref="AW14:AX14"/>
    <mergeCell ref="AY14:AZ14"/>
    <mergeCell ref="AE14:AE15"/>
    <mergeCell ref="AF14:AF15"/>
    <mergeCell ref="AG14:AH14"/>
    <mergeCell ref="AI14:AJ14"/>
    <mergeCell ref="AK14:AL14"/>
    <mergeCell ref="AM14:AN14"/>
    <mergeCell ref="A14:A15"/>
    <mergeCell ref="B14:B15"/>
    <mergeCell ref="BA25:BB25"/>
    <mergeCell ref="BC25:BD25"/>
    <mergeCell ref="A43:N43"/>
    <mergeCell ref="P43:AC43"/>
    <mergeCell ref="AE43:BD43"/>
    <mergeCell ref="A44:N44"/>
    <mergeCell ref="P44:AC44"/>
    <mergeCell ref="AE44:BD44"/>
    <mergeCell ref="AO25:AP25"/>
    <mergeCell ref="AQ25:AR25"/>
    <mergeCell ref="AS25:AT25"/>
    <mergeCell ref="AU25:AV25"/>
    <mergeCell ref="AW25:AX25"/>
    <mergeCell ref="AY25:AZ25"/>
    <mergeCell ref="AE25:AE26"/>
    <mergeCell ref="AF25:AF26"/>
    <mergeCell ref="AG25:AH25"/>
    <mergeCell ref="AI25:AJ25"/>
    <mergeCell ref="AK25:AL25"/>
    <mergeCell ref="AM25:AN25"/>
    <mergeCell ref="A25:A26"/>
    <mergeCell ref="B25:B26"/>
    <mergeCell ref="C25:N25"/>
    <mergeCell ref="P25:P26"/>
    <mergeCell ref="BA45:BB45"/>
    <mergeCell ref="BC45:BD45"/>
    <mergeCell ref="A63:I63"/>
    <mergeCell ref="AO45:AP45"/>
    <mergeCell ref="AQ45:AR45"/>
    <mergeCell ref="AS45:AT45"/>
    <mergeCell ref="AU45:AV45"/>
    <mergeCell ref="AW45:AX45"/>
    <mergeCell ref="AY45:AZ45"/>
    <mergeCell ref="AE45:AE46"/>
    <mergeCell ref="AF45:AF46"/>
    <mergeCell ref="AG45:AH45"/>
    <mergeCell ref="AI45:AJ45"/>
    <mergeCell ref="AK45:AL45"/>
    <mergeCell ref="AM45:AN45"/>
    <mergeCell ref="A45:A46"/>
    <mergeCell ref="B45:B46"/>
    <mergeCell ref="C45:N45"/>
    <mergeCell ref="P45:P46"/>
    <mergeCell ref="Q45:Q46"/>
    <mergeCell ref="R45:AC4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F343-0624-4F06-8B95-7F1DC343A89C}">
  <dimension ref="A1:BD157"/>
  <sheetViews>
    <sheetView topLeftCell="A40" workbookViewId="0">
      <selection activeCell="E53" sqref="E53"/>
    </sheetView>
  </sheetViews>
  <sheetFormatPr defaultColWidth="18.75" defaultRowHeight="24.6"/>
  <cols>
    <col min="1" max="1" width="6.75" style="24" bestFit="1" customWidth="1"/>
    <col min="2" max="2" width="53" style="13" bestFit="1" customWidth="1"/>
    <col min="3" max="15" width="18.75" style="13"/>
    <col min="16" max="16" width="6.75" style="24" bestFit="1" customWidth="1"/>
    <col min="17" max="17" width="53" style="13" bestFit="1" customWidth="1"/>
    <col min="18" max="30" width="18.75" style="13"/>
    <col min="31" max="31" width="6.75" style="24" bestFit="1" customWidth="1"/>
    <col min="32" max="32" width="53" style="13" bestFit="1" customWidth="1"/>
    <col min="33" max="16384" width="18.75" style="13"/>
  </cols>
  <sheetData>
    <row r="1" spans="1:56">
      <c r="A1" s="37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2"/>
      <c r="P1" s="37" t="s">
        <v>49</v>
      </c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E1" s="37" t="s">
        <v>0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</row>
    <row r="2" spans="1:56">
      <c r="A2" s="37" t="s">
        <v>1952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2"/>
      <c r="P2" s="37" t="s">
        <v>1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E2" s="37" t="s">
        <v>1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</row>
    <row r="3" spans="1:56" s="15" customFormat="1">
      <c r="A3" s="35" t="s">
        <v>2</v>
      </c>
      <c r="B3" s="35" t="s">
        <v>3</v>
      </c>
      <c r="C3" s="38" t="s">
        <v>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  <c r="O3" s="14"/>
      <c r="P3" s="35" t="s">
        <v>2</v>
      </c>
      <c r="Q3" s="35" t="s">
        <v>3</v>
      </c>
      <c r="R3" s="38" t="s">
        <v>5</v>
      </c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E3" s="35" t="s">
        <v>2</v>
      </c>
      <c r="AF3" s="35" t="s">
        <v>3</v>
      </c>
      <c r="AG3" s="33">
        <v>25112</v>
      </c>
      <c r="AH3" s="34"/>
      <c r="AI3" s="33">
        <v>25143</v>
      </c>
      <c r="AJ3" s="34"/>
      <c r="AK3" s="33">
        <v>25173</v>
      </c>
      <c r="AL3" s="34"/>
      <c r="AM3" s="33">
        <v>25204</v>
      </c>
      <c r="AN3" s="34"/>
      <c r="AO3" s="33">
        <v>25235</v>
      </c>
      <c r="AP3" s="34"/>
      <c r="AQ3" s="33">
        <v>25263</v>
      </c>
      <c r="AR3" s="34"/>
      <c r="AS3" s="33">
        <v>25294</v>
      </c>
      <c r="AT3" s="34"/>
      <c r="AU3" s="33">
        <v>25324</v>
      </c>
      <c r="AV3" s="34"/>
      <c r="AW3" s="33">
        <v>25355</v>
      </c>
      <c r="AX3" s="34"/>
      <c r="AY3" s="33">
        <v>25385</v>
      </c>
      <c r="AZ3" s="34"/>
      <c r="BA3" s="33">
        <v>25416</v>
      </c>
      <c r="BB3" s="34"/>
      <c r="BC3" s="33">
        <v>25447</v>
      </c>
      <c r="BD3" s="34"/>
    </row>
    <row r="4" spans="1:56" s="15" customFormat="1">
      <c r="A4" s="36"/>
      <c r="B4" s="36"/>
      <c r="C4" s="16">
        <v>25112</v>
      </c>
      <c r="D4" s="16">
        <v>25143</v>
      </c>
      <c r="E4" s="16">
        <v>25173</v>
      </c>
      <c r="F4" s="16">
        <v>25204</v>
      </c>
      <c r="G4" s="16">
        <v>25235</v>
      </c>
      <c r="H4" s="16">
        <v>25263</v>
      </c>
      <c r="I4" s="16">
        <v>25294</v>
      </c>
      <c r="J4" s="16">
        <v>25324</v>
      </c>
      <c r="K4" s="16">
        <v>25355</v>
      </c>
      <c r="L4" s="16">
        <v>25385</v>
      </c>
      <c r="M4" s="16">
        <v>25416</v>
      </c>
      <c r="N4" s="16">
        <v>25447</v>
      </c>
      <c r="P4" s="36"/>
      <c r="Q4" s="36"/>
      <c r="R4" s="16">
        <v>25112</v>
      </c>
      <c r="S4" s="16">
        <v>25143</v>
      </c>
      <c r="T4" s="16">
        <v>25173</v>
      </c>
      <c r="U4" s="16">
        <v>25204</v>
      </c>
      <c r="V4" s="16">
        <v>25235</v>
      </c>
      <c r="W4" s="16">
        <v>25263</v>
      </c>
      <c r="X4" s="16">
        <v>25294</v>
      </c>
      <c r="Y4" s="16">
        <v>25324</v>
      </c>
      <c r="Z4" s="16">
        <v>25355</v>
      </c>
      <c r="AA4" s="16">
        <v>25385</v>
      </c>
      <c r="AB4" s="16">
        <v>25416</v>
      </c>
      <c r="AC4" s="16">
        <v>25447</v>
      </c>
      <c r="AE4" s="36"/>
      <c r="AF4" s="36"/>
      <c r="AG4" s="16" t="s">
        <v>85</v>
      </c>
      <c r="AH4" s="16" t="s">
        <v>86</v>
      </c>
      <c r="AI4" s="16" t="s">
        <v>85</v>
      </c>
      <c r="AJ4" s="16" t="s">
        <v>86</v>
      </c>
      <c r="AK4" s="16" t="s">
        <v>85</v>
      </c>
      <c r="AL4" s="16" t="s">
        <v>86</v>
      </c>
      <c r="AM4" s="16" t="s">
        <v>85</v>
      </c>
      <c r="AN4" s="16" t="s">
        <v>86</v>
      </c>
      <c r="AO4" s="16" t="s">
        <v>85</v>
      </c>
      <c r="AP4" s="16" t="s">
        <v>86</v>
      </c>
      <c r="AQ4" s="16" t="s">
        <v>85</v>
      </c>
      <c r="AR4" s="16" t="s">
        <v>86</v>
      </c>
      <c r="AS4" s="16" t="s">
        <v>85</v>
      </c>
      <c r="AT4" s="16" t="s">
        <v>86</v>
      </c>
      <c r="AU4" s="16" t="s">
        <v>85</v>
      </c>
      <c r="AV4" s="16" t="s">
        <v>86</v>
      </c>
      <c r="AW4" s="16" t="s">
        <v>85</v>
      </c>
      <c r="AX4" s="16" t="s">
        <v>86</v>
      </c>
      <c r="AY4" s="16" t="s">
        <v>85</v>
      </c>
      <c r="AZ4" s="16" t="s">
        <v>86</v>
      </c>
      <c r="BA4" s="16" t="s">
        <v>85</v>
      </c>
      <c r="BB4" s="16" t="s">
        <v>86</v>
      </c>
      <c r="BC4" s="16" t="s">
        <v>85</v>
      </c>
      <c r="BD4" s="16" t="s">
        <v>86</v>
      </c>
    </row>
    <row r="5" spans="1:56">
      <c r="A5" s="17">
        <v>1</v>
      </c>
      <c r="B5" s="18" t="s">
        <v>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P5" s="17">
        <v>1</v>
      </c>
      <c r="Q5" s="18" t="s">
        <v>8</v>
      </c>
      <c r="R5" s="19">
        <v>4758911.7</v>
      </c>
      <c r="S5" s="19">
        <v>4758911.7</v>
      </c>
      <c r="T5" s="19">
        <v>9879911.6999999993</v>
      </c>
      <c r="U5" s="19"/>
      <c r="V5" s="19"/>
      <c r="W5" s="19"/>
      <c r="X5" s="19"/>
      <c r="Y5" s="19"/>
      <c r="Z5" s="19"/>
      <c r="AA5" s="19"/>
      <c r="AB5" s="19"/>
      <c r="AC5" s="19"/>
      <c r="AE5" s="17">
        <v>1</v>
      </c>
      <c r="AF5" s="18" t="s">
        <v>8</v>
      </c>
      <c r="AG5" s="19">
        <f>+C5-R5</f>
        <v>-4758911.7</v>
      </c>
      <c r="AH5" s="19" t="e">
        <f>+AG5/C5*100</f>
        <v>#DIV/0!</v>
      </c>
      <c r="AI5" s="19">
        <f>+D5-S5</f>
        <v>-4758911.7</v>
      </c>
      <c r="AJ5" s="19" t="e">
        <f>+AI5/D5*100</f>
        <v>#DIV/0!</v>
      </c>
      <c r="AK5" s="19">
        <f>+E5-T5</f>
        <v>-9879911.6999999993</v>
      </c>
      <c r="AL5" s="19" t="e">
        <f>+AK5/E5*100</f>
        <v>#DIV/0!</v>
      </c>
      <c r="AM5" s="19">
        <f>+F5-U5</f>
        <v>0</v>
      </c>
      <c r="AN5" s="19" t="e">
        <f>+AM5/F5*100</f>
        <v>#DIV/0!</v>
      </c>
      <c r="AO5" s="19">
        <f>+G5-V5</f>
        <v>0</v>
      </c>
      <c r="AP5" s="19" t="e">
        <f>+AO5/G5*100</f>
        <v>#DIV/0!</v>
      </c>
      <c r="AQ5" s="19">
        <f>+H5-W5</f>
        <v>0</v>
      </c>
      <c r="AR5" s="19" t="e">
        <f>+AQ5/H5*100</f>
        <v>#DIV/0!</v>
      </c>
      <c r="AS5" s="19">
        <f>+I5-X5</f>
        <v>0</v>
      </c>
      <c r="AT5" s="19" t="e">
        <f>+AS5/I5*100</f>
        <v>#DIV/0!</v>
      </c>
      <c r="AU5" s="19">
        <f>+J5-Y5</f>
        <v>0</v>
      </c>
      <c r="AV5" s="19" t="e">
        <f>+AU5/J5*100</f>
        <v>#DIV/0!</v>
      </c>
      <c r="AW5" s="19">
        <f>+K5-Z5</f>
        <v>0</v>
      </c>
      <c r="AX5" s="19" t="e">
        <f>+AW5/K5*100</f>
        <v>#DIV/0!</v>
      </c>
      <c r="AY5" s="19">
        <f>+L5-AA5</f>
        <v>0</v>
      </c>
      <c r="AZ5" s="19" t="e">
        <f>+AY5/L5*100</f>
        <v>#DIV/0!</v>
      </c>
      <c r="BA5" s="19">
        <f>+M5-AB5</f>
        <v>0</v>
      </c>
      <c r="BB5" s="19" t="e">
        <f>+BA5/M5*100</f>
        <v>#DIV/0!</v>
      </c>
      <c r="BC5" s="19">
        <f>+N5-AC5</f>
        <v>0</v>
      </c>
      <c r="BD5" s="19" t="e">
        <f>+BC5/N5*100</f>
        <v>#DIV/0!</v>
      </c>
    </row>
    <row r="6" spans="1:56">
      <c r="A6" s="17">
        <v>2</v>
      </c>
      <c r="B6" s="18" t="s">
        <v>9</v>
      </c>
      <c r="C6" s="19">
        <v>17884491</v>
      </c>
      <c r="D6" s="19">
        <v>17884491</v>
      </c>
      <c r="E6" s="19">
        <v>17884491</v>
      </c>
      <c r="F6" s="19"/>
      <c r="G6" s="19"/>
      <c r="H6" s="19"/>
      <c r="I6" s="19"/>
      <c r="J6" s="19"/>
      <c r="K6" s="19"/>
      <c r="L6" s="19"/>
      <c r="M6" s="19"/>
      <c r="N6" s="19"/>
      <c r="P6" s="17">
        <v>2</v>
      </c>
      <c r="Q6" s="18" t="s">
        <v>9</v>
      </c>
      <c r="R6" s="19">
        <v>18677639</v>
      </c>
      <c r="S6" s="19">
        <v>18677639</v>
      </c>
      <c r="T6" s="19">
        <v>18677639</v>
      </c>
      <c r="U6" s="19"/>
      <c r="V6" s="19"/>
      <c r="W6" s="19"/>
      <c r="X6" s="19"/>
      <c r="Y6" s="19"/>
      <c r="Z6" s="19"/>
      <c r="AA6" s="19"/>
      <c r="AB6" s="19"/>
      <c r="AC6" s="19"/>
      <c r="AE6" s="17">
        <v>2</v>
      </c>
      <c r="AF6" s="18" t="s">
        <v>9</v>
      </c>
      <c r="AG6" s="19">
        <f t="shared" ref="AG6:AG10" si="0">+C6-R6</f>
        <v>-793148</v>
      </c>
      <c r="AH6" s="19">
        <f t="shared" ref="AH6:AH10" si="1">+AG6/C6*100</f>
        <v>-4.4348368650804773</v>
      </c>
      <c r="AI6" s="19">
        <f t="shared" ref="AI6:AI10" si="2">+D6-S6</f>
        <v>-793148</v>
      </c>
      <c r="AJ6" s="19">
        <f t="shared" ref="AJ6:AJ10" si="3">+AI6/D6*100</f>
        <v>-4.4348368650804773</v>
      </c>
      <c r="AK6" s="19">
        <f t="shared" ref="AK6:AK10" si="4">+E6-T6</f>
        <v>-793148</v>
      </c>
      <c r="AL6" s="19">
        <f t="shared" ref="AL6:AL10" si="5">+AK6/E6*100</f>
        <v>-4.4348368650804773</v>
      </c>
      <c r="AM6" s="19">
        <f t="shared" ref="AM6:AM10" si="6">+F6-U6</f>
        <v>0</v>
      </c>
      <c r="AN6" s="19" t="e">
        <f t="shared" ref="AN6:AN10" si="7">+AM6/F6*100</f>
        <v>#DIV/0!</v>
      </c>
      <c r="AO6" s="19">
        <f t="shared" ref="AO6:AO10" si="8">+G6-V6</f>
        <v>0</v>
      </c>
      <c r="AP6" s="19" t="e">
        <f t="shared" ref="AP6:AP10" si="9">+AO6/G6*100</f>
        <v>#DIV/0!</v>
      </c>
      <c r="AQ6" s="19">
        <f t="shared" ref="AQ6:AQ10" si="10">+H6-W6</f>
        <v>0</v>
      </c>
      <c r="AR6" s="19" t="e">
        <f t="shared" ref="AR6:AR10" si="11">+AQ6/H6*100</f>
        <v>#DIV/0!</v>
      </c>
      <c r="AS6" s="19">
        <f t="shared" ref="AS6:AS10" si="12">+I6-X6</f>
        <v>0</v>
      </c>
      <c r="AT6" s="19" t="e">
        <f t="shared" ref="AT6:AT10" si="13">+AS6/I6*100</f>
        <v>#DIV/0!</v>
      </c>
      <c r="AU6" s="19">
        <f t="shared" ref="AU6:AU10" si="14">+J6-Y6</f>
        <v>0</v>
      </c>
      <c r="AV6" s="19" t="e">
        <f t="shared" ref="AV6:AV10" si="15">+AU6/J6*100</f>
        <v>#DIV/0!</v>
      </c>
      <c r="AW6" s="19">
        <f t="shared" ref="AW6:AW10" si="16">+K6-Z6</f>
        <v>0</v>
      </c>
      <c r="AX6" s="19" t="e">
        <f t="shared" ref="AX6:AX10" si="17">+AW6/K6*100</f>
        <v>#DIV/0!</v>
      </c>
      <c r="AY6" s="19">
        <f t="shared" ref="AY6:AY10" si="18">+L6-AA6</f>
        <v>0</v>
      </c>
      <c r="AZ6" s="19" t="e">
        <f t="shared" ref="AZ6:AZ10" si="19">+AY6/L6*100</f>
        <v>#DIV/0!</v>
      </c>
      <c r="BA6" s="19">
        <f t="shared" ref="BA6:BA10" si="20">+M6-AB6</f>
        <v>0</v>
      </c>
      <c r="BB6" s="19" t="e">
        <f t="shared" ref="BB6:BB10" si="21">+BA6/M6*100</f>
        <v>#DIV/0!</v>
      </c>
      <c r="BC6" s="19">
        <f t="shared" ref="BC6:BC10" si="22">+N6-AC6</f>
        <v>0</v>
      </c>
      <c r="BD6" s="19" t="e">
        <f t="shared" ref="BD6:BD10" si="23">+BC6/N6*100</f>
        <v>#DIV/0!</v>
      </c>
    </row>
    <row r="7" spans="1:56">
      <c r="A7" s="17">
        <v>3</v>
      </c>
      <c r="B7" s="18" t="s">
        <v>11</v>
      </c>
      <c r="C7" s="19">
        <v>21826143.640000001</v>
      </c>
      <c r="D7" s="19">
        <v>21826143.640000001</v>
      </c>
      <c r="E7" s="19">
        <v>21826143.640000001</v>
      </c>
      <c r="F7" s="19"/>
      <c r="G7" s="19"/>
      <c r="H7" s="19"/>
      <c r="I7" s="19"/>
      <c r="J7" s="19"/>
      <c r="K7" s="19"/>
      <c r="L7" s="19"/>
      <c r="M7" s="19"/>
      <c r="N7" s="19"/>
      <c r="P7" s="17">
        <v>3</v>
      </c>
      <c r="Q7" s="18" t="s">
        <v>11</v>
      </c>
      <c r="R7" s="19">
        <v>3157850</v>
      </c>
      <c r="S7" s="19">
        <v>3157850</v>
      </c>
      <c r="T7" s="19">
        <v>3157850</v>
      </c>
      <c r="U7" s="19"/>
      <c r="V7" s="19"/>
      <c r="W7" s="19"/>
      <c r="X7" s="19"/>
      <c r="Y7" s="19"/>
      <c r="Z7" s="19"/>
      <c r="AA7" s="19"/>
      <c r="AB7" s="19"/>
      <c r="AC7" s="19"/>
      <c r="AE7" s="17">
        <v>3</v>
      </c>
      <c r="AF7" s="18" t="s">
        <v>11</v>
      </c>
      <c r="AG7" s="19">
        <f t="shared" si="0"/>
        <v>18668293.640000001</v>
      </c>
      <c r="AH7" s="19">
        <f t="shared" si="1"/>
        <v>85.531800522870554</v>
      </c>
      <c r="AI7" s="19">
        <f t="shared" si="2"/>
        <v>18668293.640000001</v>
      </c>
      <c r="AJ7" s="19">
        <f t="shared" si="3"/>
        <v>85.531800522870554</v>
      </c>
      <c r="AK7" s="19">
        <f t="shared" si="4"/>
        <v>18668293.640000001</v>
      </c>
      <c r="AL7" s="19">
        <f t="shared" si="5"/>
        <v>85.531800522870554</v>
      </c>
      <c r="AM7" s="19">
        <f t="shared" si="6"/>
        <v>0</v>
      </c>
      <c r="AN7" s="19" t="e">
        <f t="shared" si="7"/>
        <v>#DIV/0!</v>
      </c>
      <c r="AO7" s="19">
        <f t="shared" si="8"/>
        <v>0</v>
      </c>
      <c r="AP7" s="19" t="e">
        <f t="shared" si="9"/>
        <v>#DIV/0!</v>
      </c>
      <c r="AQ7" s="19">
        <f t="shared" si="10"/>
        <v>0</v>
      </c>
      <c r="AR7" s="19" t="e">
        <f t="shared" si="11"/>
        <v>#DIV/0!</v>
      </c>
      <c r="AS7" s="19">
        <f t="shared" si="12"/>
        <v>0</v>
      </c>
      <c r="AT7" s="19" t="e">
        <f t="shared" si="13"/>
        <v>#DIV/0!</v>
      </c>
      <c r="AU7" s="19">
        <f t="shared" si="14"/>
        <v>0</v>
      </c>
      <c r="AV7" s="19" t="e">
        <f t="shared" si="15"/>
        <v>#DIV/0!</v>
      </c>
      <c r="AW7" s="19">
        <f t="shared" si="16"/>
        <v>0</v>
      </c>
      <c r="AX7" s="19" t="e">
        <f t="shared" si="17"/>
        <v>#DIV/0!</v>
      </c>
      <c r="AY7" s="19">
        <f t="shared" si="18"/>
        <v>0</v>
      </c>
      <c r="AZ7" s="19" t="e">
        <f t="shared" si="19"/>
        <v>#DIV/0!</v>
      </c>
      <c r="BA7" s="19">
        <f t="shared" si="20"/>
        <v>0</v>
      </c>
      <c r="BB7" s="19" t="e">
        <f t="shared" si="21"/>
        <v>#DIV/0!</v>
      </c>
      <c r="BC7" s="19">
        <f t="shared" si="22"/>
        <v>0</v>
      </c>
      <c r="BD7" s="19" t="e">
        <f t="shared" si="23"/>
        <v>#DIV/0!</v>
      </c>
    </row>
    <row r="8" spans="1:56">
      <c r="A8" s="17">
        <v>4</v>
      </c>
      <c r="B8" s="18" t="s">
        <v>13</v>
      </c>
      <c r="C8" s="19">
        <v>3843349</v>
      </c>
      <c r="D8" s="19">
        <v>3843349</v>
      </c>
      <c r="E8" s="19">
        <v>3843349</v>
      </c>
      <c r="F8" s="19"/>
      <c r="G8" s="19"/>
      <c r="H8" s="19"/>
      <c r="I8" s="19"/>
      <c r="J8" s="19"/>
      <c r="K8" s="19"/>
      <c r="L8" s="19"/>
      <c r="M8" s="19"/>
      <c r="N8" s="19"/>
      <c r="P8" s="17">
        <v>4</v>
      </c>
      <c r="Q8" s="18" t="s">
        <v>13</v>
      </c>
      <c r="R8" s="19">
        <v>1499408</v>
      </c>
      <c r="S8" s="19">
        <v>1499408</v>
      </c>
      <c r="T8" s="19">
        <v>1499408</v>
      </c>
      <c r="U8" s="19"/>
      <c r="V8" s="19"/>
      <c r="W8" s="19"/>
      <c r="X8" s="19"/>
      <c r="Y8" s="19"/>
      <c r="Z8" s="19"/>
      <c r="AA8" s="19"/>
      <c r="AB8" s="19"/>
      <c r="AC8" s="19"/>
      <c r="AE8" s="17">
        <v>4</v>
      </c>
      <c r="AF8" s="18" t="s">
        <v>13</v>
      </c>
      <c r="AG8" s="19">
        <f t="shared" si="0"/>
        <v>2343941</v>
      </c>
      <c r="AH8" s="19">
        <f t="shared" si="1"/>
        <v>60.986941336839308</v>
      </c>
      <c r="AI8" s="19">
        <f t="shared" si="2"/>
        <v>2343941</v>
      </c>
      <c r="AJ8" s="19">
        <f t="shared" si="3"/>
        <v>60.986941336839308</v>
      </c>
      <c r="AK8" s="19">
        <f t="shared" si="4"/>
        <v>2343941</v>
      </c>
      <c r="AL8" s="19">
        <f t="shared" si="5"/>
        <v>60.986941336839308</v>
      </c>
      <c r="AM8" s="19">
        <f t="shared" si="6"/>
        <v>0</v>
      </c>
      <c r="AN8" s="19" t="e">
        <f t="shared" si="7"/>
        <v>#DIV/0!</v>
      </c>
      <c r="AO8" s="19">
        <f t="shared" si="8"/>
        <v>0</v>
      </c>
      <c r="AP8" s="19" t="e">
        <f t="shared" si="9"/>
        <v>#DIV/0!</v>
      </c>
      <c r="AQ8" s="19">
        <f t="shared" si="10"/>
        <v>0</v>
      </c>
      <c r="AR8" s="19" t="e">
        <f t="shared" si="11"/>
        <v>#DIV/0!</v>
      </c>
      <c r="AS8" s="19">
        <f t="shared" si="12"/>
        <v>0</v>
      </c>
      <c r="AT8" s="19" t="e">
        <f t="shared" si="13"/>
        <v>#DIV/0!</v>
      </c>
      <c r="AU8" s="19">
        <f t="shared" si="14"/>
        <v>0</v>
      </c>
      <c r="AV8" s="19" t="e">
        <f t="shared" si="15"/>
        <v>#DIV/0!</v>
      </c>
      <c r="AW8" s="19">
        <f t="shared" si="16"/>
        <v>0</v>
      </c>
      <c r="AX8" s="19" t="e">
        <f t="shared" si="17"/>
        <v>#DIV/0!</v>
      </c>
      <c r="AY8" s="19">
        <f t="shared" si="18"/>
        <v>0</v>
      </c>
      <c r="AZ8" s="19" t="e">
        <f t="shared" si="19"/>
        <v>#DIV/0!</v>
      </c>
      <c r="BA8" s="19">
        <f t="shared" si="20"/>
        <v>0</v>
      </c>
      <c r="BB8" s="19" t="e">
        <f t="shared" si="21"/>
        <v>#DIV/0!</v>
      </c>
      <c r="BC8" s="19">
        <f t="shared" si="22"/>
        <v>0</v>
      </c>
      <c r="BD8" s="19" t="e">
        <f t="shared" si="23"/>
        <v>#DIV/0!</v>
      </c>
    </row>
    <row r="9" spans="1:56">
      <c r="A9" s="17">
        <v>5</v>
      </c>
      <c r="B9" s="18" t="s">
        <v>15</v>
      </c>
      <c r="C9" s="19">
        <v>2154231</v>
      </c>
      <c r="D9" s="19">
        <v>2154231</v>
      </c>
      <c r="E9" s="19">
        <v>2154231</v>
      </c>
      <c r="F9" s="19"/>
      <c r="G9" s="19"/>
      <c r="H9" s="19"/>
      <c r="I9" s="19"/>
      <c r="J9" s="19"/>
      <c r="K9" s="19"/>
      <c r="L9" s="19"/>
      <c r="M9" s="19"/>
      <c r="N9" s="19"/>
      <c r="P9" s="17">
        <v>5</v>
      </c>
      <c r="Q9" s="18" t="s">
        <v>15</v>
      </c>
      <c r="R9" s="19">
        <v>2705003</v>
      </c>
      <c r="S9" s="19">
        <v>2705003</v>
      </c>
      <c r="T9" s="19">
        <v>2705003</v>
      </c>
      <c r="U9" s="19"/>
      <c r="V9" s="19"/>
      <c r="W9" s="19"/>
      <c r="X9" s="19"/>
      <c r="Y9" s="19"/>
      <c r="Z9" s="19"/>
      <c r="AA9" s="19"/>
      <c r="AB9" s="19"/>
      <c r="AC9" s="19"/>
      <c r="AE9" s="17">
        <v>5</v>
      </c>
      <c r="AF9" s="18" t="s">
        <v>15</v>
      </c>
      <c r="AG9" s="19">
        <f t="shared" si="0"/>
        <v>-550772</v>
      </c>
      <c r="AH9" s="19">
        <f t="shared" si="1"/>
        <v>-25.566988869810153</v>
      </c>
      <c r="AI9" s="19">
        <f t="shared" si="2"/>
        <v>-550772</v>
      </c>
      <c r="AJ9" s="19">
        <f t="shared" si="3"/>
        <v>-25.566988869810153</v>
      </c>
      <c r="AK9" s="19">
        <f t="shared" si="4"/>
        <v>-550772</v>
      </c>
      <c r="AL9" s="19">
        <f t="shared" si="5"/>
        <v>-25.566988869810153</v>
      </c>
      <c r="AM9" s="19">
        <f t="shared" si="6"/>
        <v>0</v>
      </c>
      <c r="AN9" s="19" t="e">
        <f t="shared" si="7"/>
        <v>#DIV/0!</v>
      </c>
      <c r="AO9" s="19">
        <f t="shared" si="8"/>
        <v>0</v>
      </c>
      <c r="AP9" s="19" t="e">
        <f t="shared" si="9"/>
        <v>#DIV/0!</v>
      </c>
      <c r="AQ9" s="19">
        <f t="shared" si="10"/>
        <v>0</v>
      </c>
      <c r="AR9" s="19" t="e">
        <f t="shared" si="11"/>
        <v>#DIV/0!</v>
      </c>
      <c r="AS9" s="19">
        <f t="shared" si="12"/>
        <v>0</v>
      </c>
      <c r="AT9" s="19" t="e">
        <f t="shared" si="13"/>
        <v>#DIV/0!</v>
      </c>
      <c r="AU9" s="19">
        <f t="shared" si="14"/>
        <v>0</v>
      </c>
      <c r="AV9" s="19" t="e">
        <f t="shared" si="15"/>
        <v>#DIV/0!</v>
      </c>
      <c r="AW9" s="19">
        <f t="shared" si="16"/>
        <v>0</v>
      </c>
      <c r="AX9" s="19" t="e">
        <f t="shared" si="17"/>
        <v>#DIV/0!</v>
      </c>
      <c r="AY9" s="19">
        <f t="shared" si="18"/>
        <v>0</v>
      </c>
      <c r="AZ9" s="19" t="e">
        <f t="shared" si="19"/>
        <v>#DIV/0!</v>
      </c>
      <c r="BA9" s="19">
        <f t="shared" si="20"/>
        <v>0</v>
      </c>
      <c r="BB9" s="19" t="e">
        <f t="shared" si="21"/>
        <v>#DIV/0!</v>
      </c>
      <c r="BC9" s="19">
        <f t="shared" si="22"/>
        <v>0</v>
      </c>
      <c r="BD9" s="19" t="e">
        <f t="shared" si="23"/>
        <v>#DIV/0!</v>
      </c>
    </row>
    <row r="10" spans="1:56" s="22" customFormat="1" ht="25.2" thickBot="1">
      <c r="A10" s="20"/>
      <c r="B10" s="20" t="s">
        <v>17</v>
      </c>
      <c r="C10" s="21">
        <f>SUM(C5:C9)</f>
        <v>45708214.640000001</v>
      </c>
      <c r="D10" s="21">
        <f t="shared" ref="D10:N10" si="24">SUM(D5:D9)</f>
        <v>45708214.640000001</v>
      </c>
      <c r="E10" s="21">
        <f t="shared" si="24"/>
        <v>45708214.640000001</v>
      </c>
      <c r="F10" s="21">
        <f t="shared" si="24"/>
        <v>0</v>
      </c>
      <c r="G10" s="21">
        <f t="shared" si="24"/>
        <v>0</v>
      </c>
      <c r="H10" s="21">
        <f t="shared" si="24"/>
        <v>0</v>
      </c>
      <c r="I10" s="21">
        <f t="shared" si="24"/>
        <v>0</v>
      </c>
      <c r="J10" s="21">
        <f t="shared" si="24"/>
        <v>0</v>
      </c>
      <c r="K10" s="21">
        <f t="shared" si="24"/>
        <v>0</v>
      </c>
      <c r="L10" s="21">
        <f t="shared" si="24"/>
        <v>0</v>
      </c>
      <c r="M10" s="21">
        <f t="shared" si="24"/>
        <v>0</v>
      </c>
      <c r="N10" s="21">
        <f t="shared" si="24"/>
        <v>0</v>
      </c>
      <c r="P10" s="20"/>
      <c r="Q10" s="20" t="s">
        <v>17</v>
      </c>
      <c r="R10" s="21">
        <f>SUM(R5:R9)</f>
        <v>30798811.699999999</v>
      </c>
      <c r="S10" s="21">
        <f t="shared" ref="S10:AC10" si="25">SUM(S5:S9)</f>
        <v>30798811.699999999</v>
      </c>
      <c r="T10" s="21">
        <f t="shared" si="25"/>
        <v>35919811.700000003</v>
      </c>
      <c r="U10" s="21">
        <f t="shared" si="25"/>
        <v>0</v>
      </c>
      <c r="V10" s="21">
        <f t="shared" si="25"/>
        <v>0</v>
      </c>
      <c r="W10" s="21">
        <f t="shared" si="25"/>
        <v>0</v>
      </c>
      <c r="X10" s="21">
        <f t="shared" si="25"/>
        <v>0</v>
      </c>
      <c r="Y10" s="21">
        <f t="shared" si="25"/>
        <v>0</v>
      </c>
      <c r="Z10" s="21">
        <f t="shared" si="25"/>
        <v>0</v>
      </c>
      <c r="AA10" s="21">
        <f t="shared" si="25"/>
        <v>0</v>
      </c>
      <c r="AB10" s="21">
        <f t="shared" si="25"/>
        <v>0</v>
      </c>
      <c r="AC10" s="21">
        <f t="shared" si="25"/>
        <v>0</v>
      </c>
      <c r="AE10" s="20"/>
      <c r="AF10" s="20" t="s">
        <v>17</v>
      </c>
      <c r="AG10" s="23">
        <f t="shared" si="0"/>
        <v>14909402.940000001</v>
      </c>
      <c r="AH10" s="23">
        <f t="shared" si="1"/>
        <v>32.618650843020546</v>
      </c>
      <c r="AI10" s="23">
        <f t="shared" si="2"/>
        <v>14909402.940000001</v>
      </c>
      <c r="AJ10" s="23">
        <f t="shared" si="3"/>
        <v>32.618650843020546</v>
      </c>
      <c r="AK10" s="23">
        <f t="shared" si="4"/>
        <v>9788402.9399999976</v>
      </c>
      <c r="AL10" s="23">
        <f t="shared" si="5"/>
        <v>21.414975441709789</v>
      </c>
      <c r="AM10" s="23">
        <f t="shared" si="6"/>
        <v>0</v>
      </c>
      <c r="AN10" s="23" t="e">
        <f t="shared" si="7"/>
        <v>#DIV/0!</v>
      </c>
      <c r="AO10" s="23">
        <f t="shared" si="8"/>
        <v>0</v>
      </c>
      <c r="AP10" s="23" t="e">
        <f t="shared" si="9"/>
        <v>#DIV/0!</v>
      </c>
      <c r="AQ10" s="23">
        <f t="shared" si="10"/>
        <v>0</v>
      </c>
      <c r="AR10" s="23" t="e">
        <f t="shared" si="11"/>
        <v>#DIV/0!</v>
      </c>
      <c r="AS10" s="23">
        <f t="shared" si="12"/>
        <v>0</v>
      </c>
      <c r="AT10" s="23" t="e">
        <f t="shared" si="13"/>
        <v>#DIV/0!</v>
      </c>
      <c r="AU10" s="23">
        <f t="shared" si="14"/>
        <v>0</v>
      </c>
      <c r="AV10" s="23" t="e">
        <f t="shared" si="15"/>
        <v>#DIV/0!</v>
      </c>
      <c r="AW10" s="23">
        <f t="shared" si="16"/>
        <v>0</v>
      </c>
      <c r="AX10" s="23" t="e">
        <f t="shared" si="17"/>
        <v>#DIV/0!</v>
      </c>
      <c r="AY10" s="23">
        <f t="shared" si="18"/>
        <v>0</v>
      </c>
      <c r="AZ10" s="23" t="e">
        <f t="shared" si="19"/>
        <v>#DIV/0!</v>
      </c>
      <c r="BA10" s="23">
        <f t="shared" si="20"/>
        <v>0</v>
      </c>
      <c r="BB10" s="23" t="e">
        <f t="shared" si="21"/>
        <v>#DIV/0!</v>
      </c>
      <c r="BC10" s="23">
        <f t="shared" si="22"/>
        <v>0</v>
      </c>
      <c r="BD10" s="23" t="e">
        <f t="shared" si="23"/>
        <v>#DIV/0!</v>
      </c>
    </row>
    <row r="11" spans="1:56" ht="25.2" thickTop="1"/>
    <row r="12" spans="1:56">
      <c r="A12" s="37" t="s">
        <v>46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P12" s="37" t="s">
        <v>50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E12" s="37" t="s">
        <v>87</v>
      </c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</row>
    <row r="13" spans="1:56">
      <c r="A13" s="37" t="s">
        <v>1952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P13" s="37" t="s">
        <v>1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E13" s="37" t="s">
        <v>1</v>
      </c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</row>
    <row r="14" spans="1:56" s="15" customFormat="1">
      <c r="A14" s="35" t="s">
        <v>2</v>
      </c>
      <c r="B14" s="35" t="s">
        <v>3</v>
      </c>
      <c r="C14" s="38" t="s">
        <v>4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0"/>
      <c r="P14" s="35" t="s">
        <v>2</v>
      </c>
      <c r="Q14" s="35" t="s">
        <v>3</v>
      </c>
      <c r="R14" s="38" t="s">
        <v>5</v>
      </c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40"/>
      <c r="AE14" s="35" t="s">
        <v>2</v>
      </c>
      <c r="AF14" s="35" t="s">
        <v>3</v>
      </c>
      <c r="AG14" s="33">
        <v>25112</v>
      </c>
      <c r="AH14" s="34"/>
      <c r="AI14" s="33">
        <v>25143</v>
      </c>
      <c r="AJ14" s="34"/>
      <c r="AK14" s="33">
        <v>25173</v>
      </c>
      <c r="AL14" s="34"/>
      <c r="AM14" s="33">
        <v>25204</v>
      </c>
      <c r="AN14" s="34"/>
      <c r="AO14" s="33">
        <v>25235</v>
      </c>
      <c r="AP14" s="34"/>
      <c r="AQ14" s="33">
        <v>25263</v>
      </c>
      <c r="AR14" s="34"/>
      <c r="AS14" s="33">
        <v>25294</v>
      </c>
      <c r="AT14" s="34"/>
      <c r="AU14" s="33">
        <v>25324</v>
      </c>
      <c r="AV14" s="34"/>
      <c r="AW14" s="33">
        <v>25355</v>
      </c>
      <c r="AX14" s="34"/>
      <c r="AY14" s="33">
        <v>25385</v>
      </c>
      <c r="AZ14" s="34"/>
      <c r="BA14" s="33">
        <v>25416</v>
      </c>
      <c r="BB14" s="34"/>
      <c r="BC14" s="33">
        <v>25447</v>
      </c>
      <c r="BD14" s="34"/>
    </row>
    <row r="15" spans="1:56" s="15" customFormat="1">
      <c r="A15" s="36"/>
      <c r="B15" s="36"/>
      <c r="C15" s="16">
        <v>25112</v>
      </c>
      <c r="D15" s="16">
        <v>25143</v>
      </c>
      <c r="E15" s="16">
        <v>25173</v>
      </c>
      <c r="F15" s="16">
        <v>25204</v>
      </c>
      <c r="G15" s="16">
        <v>25235</v>
      </c>
      <c r="H15" s="16">
        <v>25263</v>
      </c>
      <c r="I15" s="16">
        <v>25294</v>
      </c>
      <c r="J15" s="16">
        <v>25324</v>
      </c>
      <c r="K15" s="16">
        <v>25355</v>
      </c>
      <c r="L15" s="16">
        <v>25385</v>
      </c>
      <c r="M15" s="16">
        <v>25416</v>
      </c>
      <c r="N15" s="16">
        <v>25447</v>
      </c>
      <c r="P15" s="36"/>
      <c r="Q15" s="36"/>
      <c r="R15" s="16">
        <v>25112</v>
      </c>
      <c r="S15" s="16">
        <v>25143</v>
      </c>
      <c r="T15" s="16">
        <v>25173</v>
      </c>
      <c r="U15" s="16">
        <v>25204</v>
      </c>
      <c r="V15" s="16">
        <v>25235</v>
      </c>
      <c r="W15" s="16">
        <v>25263</v>
      </c>
      <c r="X15" s="16">
        <v>25294</v>
      </c>
      <c r="Y15" s="16">
        <v>25324</v>
      </c>
      <c r="Z15" s="16">
        <v>25355</v>
      </c>
      <c r="AA15" s="16">
        <v>25385</v>
      </c>
      <c r="AB15" s="16">
        <v>25416</v>
      </c>
      <c r="AC15" s="16">
        <v>25447</v>
      </c>
      <c r="AE15" s="36"/>
      <c r="AF15" s="36"/>
      <c r="AG15" s="16" t="s">
        <v>85</v>
      </c>
      <c r="AH15" s="16" t="s">
        <v>86</v>
      </c>
      <c r="AI15" s="16" t="s">
        <v>85</v>
      </c>
      <c r="AJ15" s="16" t="s">
        <v>86</v>
      </c>
      <c r="AK15" s="16" t="s">
        <v>85</v>
      </c>
      <c r="AL15" s="16" t="s">
        <v>86</v>
      </c>
      <c r="AM15" s="16" t="s">
        <v>85</v>
      </c>
      <c r="AN15" s="16" t="s">
        <v>86</v>
      </c>
      <c r="AO15" s="16" t="s">
        <v>85</v>
      </c>
      <c r="AP15" s="16" t="s">
        <v>86</v>
      </c>
      <c r="AQ15" s="16" t="s">
        <v>85</v>
      </c>
      <c r="AR15" s="16" t="s">
        <v>86</v>
      </c>
      <c r="AS15" s="16" t="s">
        <v>85</v>
      </c>
      <c r="AT15" s="16" t="s">
        <v>86</v>
      </c>
      <c r="AU15" s="16" t="s">
        <v>85</v>
      </c>
      <c r="AV15" s="16" t="s">
        <v>86</v>
      </c>
      <c r="AW15" s="16" t="s">
        <v>85</v>
      </c>
      <c r="AX15" s="16" t="s">
        <v>86</v>
      </c>
      <c r="AY15" s="16" t="s">
        <v>85</v>
      </c>
      <c r="AZ15" s="16" t="s">
        <v>86</v>
      </c>
      <c r="BA15" s="16" t="s">
        <v>85</v>
      </c>
      <c r="BB15" s="16" t="s">
        <v>86</v>
      </c>
      <c r="BC15" s="16" t="s">
        <v>85</v>
      </c>
      <c r="BD15" s="16" t="s">
        <v>86</v>
      </c>
    </row>
    <row r="16" spans="1:56">
      <c r="A16" s="17"/>
      <c r="B16" s="18"/>
      <c r="C16" s="19"/>
      <c r="D16" s="19"/>
      <c r="E16" s="19"/>
      <c r="F16" s="19"/>
      <c r="G16" s="18"/>
      <c r="H16" s="18"/>
      <c r="I16" s="18"/>
      <c r="J16" s="18"/>
      <c r="K16" s="18"/>
      <c r="L16" s="18"/>
      <c r="M16" s="18"/>
      <c r="N16" s="18"/>
      <c r="P16" s="17"/>
      <c r="Q16" s="18"/>
      <c r="R16" s="19"/>
      <c r="S16" s="19"/>
      <c r="T16" s="19"/>
      <c r="U16" s="19"/>
      <c r="V16" s="18"/>
      <c r="W16" s="18"/>
      <c r="X16" s="18"/>
      <c r="Y16" s="18"/>
      <c r="Z16" s="18"/>
      <c r="AA16" s="18"/>
      <c r="AB16" s="18"/>
      <c r="AC16" s="18"/>
      <c r="AE16" s="17"/>
      <c r="AF16" s="18"/>
      <c r="AG16" s="19"/>
      <c r="AH16" s="19"/>
      <c r="AI16" s="19"/>
      <c r="AJ16" s="19"/>
      <c r="AK16" s="19"/>
      <c r="AL16" s="19"/>
      <c r="AM16" s="19"/>
      <c r="AN16" s="19"/>
      <c r="AO16" s="18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</row>
    <row r="17" spans="1:56">
      <c r="A17" s="17">
        <v>1</v>
      </c>
      <c r="B17" s="18" t="s">
        <v>10</v>
      </c>
      <c r="C17" s="19">
        <v>17884488</v>
      </c>
      <c r="D17" s="19">
        <v>17884488</v>
      </c>
      <c r="E17" s="19">
        <v>17884488</v>
      </c>
      <c r="F17" s="19"/>
      <c r="G17" s="18"/>
      <c r="H17" s="18"/>
      <c r="I17" s="18"/>
      <c r="J17" s="18"/>
      <c r="K17" s="18"/>
      <c r="L17" s="18"/>
      <c r="M17" s="18"/>
      <c r="N17" s="18"/>
      <c r="P17" s="17">
        <v>1</v>
      </c>
      <c r="Q17" s="18" t="s">
        <v>10</v>
      </c>
      <c r="R17" s="19">
        <v>18564690.859999999</v>
      </c>
      <c r="S17" s="19">
        <v>18567334.690000001</v>
      </c>
      <c r="T17" s="19">
        <v>18569978.52</v>
      </c>
      <c r="U17" s="19"/>
      <c r="V17" s="18"/>
      <c r="W17" s="18"/>
      <c r="X17" s="18"/>
      <c r="Y17" s="18"/>
      <c r="Z17" s="18"/>
      <c r="AA17" s="18"/>
      <c r="AB17" s="18"/>
      <c r="AC17" s="18"/>
      <c r="AE17" s="17">
        <v>1</v>
      </c>
      <c r="AF17" s="18" t="s">
        <v>10</v>
      </c>
      <c r="AG17" s="19">
        <f t="shared" ref="AG17:AG21" si="26">+C17-R17</f>
        <v>-680202.8599999994</v>
      </c>
      <c r="AH17" s="19">
        <f t="shared" ref="AH17:AH21" si="27">+AG17/C17*100</f>
        <v>-3.8033118979978595</v>
      </c>
      <c r="AI17" s="19">
        <f t="shared" ref="AI17:AI21" si="28">+D17-S17</f>
        <v>-682846.69000000134</v>
      </c>
      <c r="AJ17" s="19">
        <f t="shared" ref="AJ17:AJ21" si="29">+AI17/D17*100</f>
        <v>-3.8180947086659756</v>
      </c>
      <c r="AK17" s="19">
        <f t="shared" ref="AK17:AK21" si="30">+E17-T17</f>
        <v>-685490.51999999955</v>
      </c>
      <c r="AL17" s="19">
        <f t="shared" ref="AL17:AL21" si="31">+AK17/E17*100</f>
        <v>-3.8328775193340707</v>
      </c>
      <c r="AM17" s="19">
        <f t="shared" ref="AM17:AM21" si="32">+F17-U17</f>
        <v>0</v>
      </c>
      <c r="AN17" s="19" t="e">
        <f t="shared" ref="AN17:AN21" si="33">+AM17/F17*100</f>
        <v>#DIV/0!</v>
      </c>
      <c r="AO17" s="19">
        <f t="shared" ref="AO17:AO21" si="34">+G17-V17</f>
        <v>0</v>
      </c>
      <c r="AP17" s="19" t="e">
        <f t="shared" ref="AP17:AP21" si="35">+AO17/G17*100</f>
        <v>#DIV/0!</v>
      </c>
      <c r="AQ17" s="19">
        <f t="shared" ref="AQ17:AQ21" si="36">+H17-W17</f>
        <v>0</v>
      </c>
      <c r="AR17" s="19" t="e">
        <f t="shared" ref="AR17:AR21" si="37">+AQ17/H17*100</f>
        <v>#DIV/0!</v>
      </c>
      <c r="AS17" s="19">
        <f t="shared" ref="AS17:AS21" si="38">+I17-X17</f>
        <v>0</v>
      </c>
      <c r="AT17" s="19" t="e">
        <f t="shared" ref="AT17:AT21" si="39">+AS17/I17*100</f>
        <v>#DIV/0!</v>
      </c>
      <c r="AU17" s="19">
        <f t="shared" ref="AU17:AU21" si="40">+J17-Y17</f>
        <v>0</v>
      </c>
      <c r="AV17" s="19" t="e">
        <f t="shared" ref="AV17:AV21" si="41">+AU17/J17*100</f>
        <v>#DIV/0!</v>
      </c>
      <c r="AW17" s="19">
        <f t="shared" ref="AW17:AW21" si="42">+K17-Z17</f>
        <v>0</v>
      </c>
      <c r="AX17" s="19" t="e">
        <f t="shared" ref="AX17:AX21" si="43">+AW17/K17*100</f>
        <v>#DIV/0!</v>
      </c>
      <c r="AY17" s="19">
        <f t="shared" ref="AY17:AY21" si="44">+L17-AA17</f>
        <v>0</v>
      </c>
      <c r="AZ17" s="19" t="e">
        <f t="shared" ref="AZ17:AZ21" si="45">+AY17/L17*100</f>
        <v>#DIV/0!</v>
      </c>
      <c r="BA17" s="19">
        <f t="shared" ref="BA17:BA21" si="46">+M17-AB17</f>
        <v>0</v>
      </c>
      <c r="BB17" s="19" t="e">
        <f t="shared" ref="BB17:BB21" si="47">+BA17/M17*100</f>
        <v>#DIV/0!</v>
      </c>
      <c r="BC17" s="19">
        <f t="shared" ref="BC17:BC21" si="48">+N17-AC17</f>
        <v>0</v>
      </c>
      <c r="BD17" s="19" t="e">
        <f t="shared" ref="BD17:BD21" si="49">+BC17/N17*100</f>
        <v>#DIV/0!</v>
      </c>
    </row>
    <row r="18" spans="1:56">
      <c r="A18" s="17">
        <v>2</v>
      </c>
      <c r="B18" s="18" t="s">
        <v>12</v>
      </c>
      <c r="C18" s="19">
        <v>17281176.239999998</v>
      </c>
      <c r="D18" s="19">
        <v>17309979.260000002</v>
      </c>
      <c r="E18" s="19">
        <v>17339742.379999999</v>
      </c>
      <c r="F18" s="19"/>
      <c r="G18" s="18"/>
      <c r="H18" s="18"/>
      <c r="I18" s="18"/>
      <c r="J18" s="18"/>
      <c r="K18" s="18"/>
      <c r="L18" s="18"/>
      <c r="M18" s="18"/>
      <c r="N18" s="18"/>
      <c r="P18" s="17">
        <v>2</v>
      </c>
      <c r="Q18" s="18" t="s">
        <v>12</v>
      </c>
      <c r="R18" s="19">
        <v>2996077.01</v>
      </c>
      <c r="S18" s="19">
        <v>2999117.18</v>
      </c>
      <c r="T18" s="19">
        <v>3002157.35</v>
      </c>
      <c r="U18" s="19"/>
      <c r="V18" s="18"/>
      <c r="W18" s="18"/>
      <c r="X18" s="18"/>
      <c r="Y18" s="18"/>
      <c r="Z18" s="18"/>
      <c r="AA18" s="18"/>
      <c r="AB18" s="18"/>
      <c r="AC18" s="18"/>
      <c r="AE18" s="17">
        <v>2</v>
      </c>
      <c r="AF18" s="18" t="s">
        <v>12</v>
      </c>
      <c r="AG18" s="19">
        <f t="shared" si="26"/>
        <v>14285099.229999999</v>
      </c>
      <c r="AH18" s="19">
        <f t="shared" si="27"/>
        <v>82.66277151282614</v>
      </c>
      <c r="AI18" s="19">
        <f t="shared" si="28"/>
        <v>14310862.080000002</v>
      </c>
      <c r="AJ18" s="19">
        <f t="shared" si="29"/>
        <v>82.674056768338389</v>
      </c>
      <c r="AK18" s="19">
        <f t="shared" si="30"/>
        <v>14337585.029999999</v>
      </c>
      <c r="AL18" s="19">
        <f t="shared" si="31"/>
        <v>82.686263243087467</v>
      </c>
      <c r="AM18" s="19">
        <f t="shared" si="32"/>
        <v>0</v>
      </c>
      <c r="AN18" s="19" t="e">
        <f t="shared" si="33"/>
        <v>#DIV/0!</v>
      </c>
      <c r="AO18" s="19">
        <f t="shared" si="34"/>
        <v>0</v>
      </c>
      <c r="AP18" s="19" t="e">
        <f t="shared" si="35"/>
        <v>#DIV/0!</v>
      </c>
      <c r="AQ18" s="19">
        <f t="shared" si="36"/>
        <v>0</v>
      </c>
      <c r="AR18" s="19" t="e">
        <f t="shared" si="37"/>
        <v>#DIV/0!</v>
      </c>
      <c r="AS18" s="19">
        <f t="shared" si="38"/>
        <v>0</v>
      </c>
      <c r="AT18" s="19" t="e">
        <f t="shared" si="39"/>
        <v>#DIV/0!</v>
      </c>
      <c r="AU18" s="19">
        <f t="shared" si="40"/>
        <v>0</v>
      </c>
      <c r="AV18" s="19" t="e">
        <f t="shared" si="41"/>
        <v>#DIV/0!</v>
      </c>
      <c r="AW18" s="19">
        <f t="shared" si="42"/>
        <v>0</v>
      </c>
      <c r="AX18" s="19" t="e">
        <f t="shared" si="43"/>
        <v>#DIV/0!</v>
      </c>
      <c r="AY18" s="19">
        <f t="shared" si="44"/>
        <v>0</v>
      </c>
      <c r="AZ18" s="19" t="e">
        <f t="shared" si="45"/>
        <v>#DIV/0!</v>
      </c>
      <c r="BA18" s="19">
        <f t="shared" si="46"/>
        <v>0</v>
      </c>
      <c r="BB18" s="19" t="e">
        <f t="shared" si="47"/>
        <v>#DIV/0!</v>
      </c>
      <c r="BC18" s="19">
        <f t="shared" si="48"/>
        <v>0</v>
      </c>
      <c r="BD18" s="19" t="e">
        <f t="shared" si="49"/>
        <v>#DIV/0!</v>
      </c>
    </row>
    <row r="19" spans="1:56">
      <c r="A19" s="17">
        <v>3</v>
      </c>
      <c r="B19" s="18" t="s">
        <v>14</v>
      </c>
      <c r="C19" s="19">
        <v>3710133.8</v>
      </c>
      <c r="D19" s="19">
        <v>3713590.79</v>
      </c>
      <c r="E19" s="19">
        <v>3717163</v>
      </c>
      <c r="F19" s="19"/>
      <c r="G19" s="18"/>
      <c r="H19" s="18"/>
      <c r="I19" s="18"/>
      <c r="J19" s="18"/>
      <c r="K19" s="18"/>
      <c r="L19" s="18"/>
      <c r="M19" s="18"/>
      <c r="N19" s="18"/>
      <c r="P19" s="17">
        <v>3</v>
      </c>
      <c r="Q19" s="18" t="s">
        <v>14</v>
      </c>
      <c r="R19" s="19">
        <v>1178651.98</v>
      </c>
      <c r="S19" s="19">
        <v>1183650.01</v>
      </c>
      <c r="T19" s="19">
        <v>1188648.04</v>
      </c>
      <c r="U19" s="19"/>
      <c r="V19" s="18"/>
      <c r="W19" s="18"/>
      <c r="X19" s="18"/>
      <c r="Y19" s="18"/>
      <c r="Z19" s="18"/>
      <c r="AA19" s="18"/>
      <c r="AB19" s="18"/>
      <c r="AC19" s="18"/>
      <c r="AE19" s="17">
        <v>3</v>
      </c>
      <c r="AF19" s="18" t="s">
        <v>14</v>
      </c>
      <c r="AG19" s="19">
        <f t="shared" si="26"/>
        <v>2531481.8199999998</v>
      </c>
      <c r="AH19" s="19">
        <f t="shared" si="27"/>
        <v>68.231550571033324</v>
      </c>
      <c r="AI19" s="19">
        <f t="shared" si="28"/>
        <v>2529940.7800000003</v>
      </c>
      <c r="AJ19" s="19">
        <f t="shared" si="29"/>
        <v>68.126536365090459</v>
      </c>
      <c r="AK19" s="19">
        <f t="shared" si="30"/>
        <v>2528514.96</v>
      </c>
      <c r="AL19" s="19">
        <f t="shared" si="31"/>
        <v>68.022708716297885</v>
      </c>
      <c r="AM19" s="19">
        <f t="shared" si="32"/>
        <v>0</v>
      </c>
      <c r="AN19" s="19" t="e">
        <f t="shared" si="33"/>
        <v>#DIV/0!</v>
      </c>
      <c r="AO19" s="19">
        <f t="shared" si="34"/>
        <v>0</v>
      </c>
      <c r="AP19" s="19" t="e">
        <f t="shared" si="35"/>
        <v>#DIV/0!</v>
      </c>
      <c r="AQ19" s="19">
        <f t="shared" si="36"/>
        <v>0</v>
      </c>
      <c r="AR19" s="19" t="e">
        <f t="shared" si="37"/>
        <v>#DIV/0!</v>
      </c>
      <c r="AS19" s="19">
        <f t="shared" si="38"/>
        <v>0</v>
      </c>
      <c r="AT19" s="19" t="e">
        <f t="shared" si="39"/>
        <v>#DIV/0!</v>
      </c>
      <c r="AU19" s="19">
        <f t="shared" si="40"/>
        <v>0</v>
      </c>
      <c r="AV19" s="19" t="e">
        <f t="shared" si="41"/>
        <v>#DIV/0!</v>
      </c>
      <c r="AW19" s="19">
        <f t="shared" si="42"/>
        <v>0</v>
      </c>
      <c r="AX19" s="19" t="e">
        <f t="shared" si="43"/>
        <v>#DIV/0!</v>
      </c>
      <c r="AY19" s="19">
        <f t="shared" si="44"/>
        <v>0</v>
      </c>
      <c r="AZ19" s="19" t="e">
        <f t="shared" si="45"/>
        <v>#DIV/0!</v>
      </c>
      <c r="BA19" s="19">
        <f t="shared" si="46"/>
        <v>0</v>
      </c>
      <c r="BB19" s="19" t="e">
        <f t="shared" si="47"/>
        <v>#DIV/0!</v>
      </c>
      <c r="BC19" s="19">
        <f t="shared" si="48"/>
        <v>0</v>
      </c>
      <c r="BD19" s="19" t="e">
        <f t="shared" si="49"/>
        <v>#DIV/0!</v>
      </c>
    </row>
    <row r="20" spans="1:56">
      <c r="A20" s="17">
        <v>4</v>
      </c>
      <c r="B20" s="18" t="s">
        <v>16</v>
      </c>
      <c r="C20" s="19">
        <v>2154229</v>
      </c>
      <c r="D20" s="19">
        <v>2154229</v>
      </c>
      <c r="E20" s="19">
        <v>2154229</v>
      </c>
      <c r="F20" s="19"/>
      <c r="G20" s="18"/>
      <c r="H20" s="18"/>
      <c r="I20" s="18"/>
      <c r="J20" s="18"/>
      <c r="K20" s="18"/>
      <c r="L20" s="18"/>
      <c r="M20" s="18"/>
      <c r="N20" s="18"/>
      <c r="P20" s="17">
        <v>4</v>
      </c>
      <c r="Q20" s="18" t="s">
        <v>16</v>
      </c>
      <c r="R20" s="19">
        <v>2704987</v>
      </c>
      <c r="S20" s="19">
        <v>2704987</v>
      </c>
      <c r="T20" s="19">
        <v>2704987</v>
      </c>
      <c r="U20" s="19"/>
      <c r="V20" s="18"/>
      <c r="W20" s="18"/>
      <c r="X20" s="18"/>
      <c r="Y20" s="18"/>
      <c r="Z20" s="18"/>
      <c r="AA20" s="18"/>
      <c r="AB20" s="18"/>
      <c r="AC20" s="18"/>
      <c r="AE20" s="17">
        <v>4</v>
      </c>
      <c r="AF20" s="18" t="s">
        <v>16</v>
      </c>
      <c r="AG20" s="19">
        <f t="shared" si="26"/>
        <v>-550758</v>
      </c>
      <c r="AH20" s="19">
        <f t="shared" si="27"/>
        <v>-25.56636272188333</v>
      </c>
      <c r="AI20" s="19">
        <f t="shared" si="28"/>
        <v>-550758</v>
      </c>
      <c r="AJ20" s="19">
        <f t="shared" si="29"/>
        <v>-25.56636272188333</v>
      </c>
      <c r="AK20" s="19">
        <f t="shared" si="30"/>
        <v>-550758</v>
      </c>
      <c r="AL20" s="19">
        <f t="shared" si="31"/>
        <v>-25.56636272188333</v>
      </c>
      <c r="AM20" s="19">
        <f t="shared" si="32"/>
        <v>0</v>
      </c>
      <c r="AN20" s="19" t="e">
        <f t="shared" si="33"/>
        <v>#DIV/0!</v>
      </c>
      <c r="AO20" s="19">
        <f t="shared" si="34"/>
        <v>0</v>
      </c>
      <c r="AP20" s="19" t="e">
        <f t="shared" si="35"/>
        <v>#DIV/0!</v>
      </c>
      <c r="AQ20" s="19">
        <f t="shared" si="36"/>
        <v>0</v>
      </c>
      <c r="AR20" s="19" t="e">
        <f t="shared" si="37"/>
        <v>#DIV/0!</v>
      </c>
      <c r="AS20" s="19">
        <f t="shared" si="38"/>
        <v>0</v>
      </c>
      <c r="AT20" s="19" t="e">
        <f t="shared" si="39"/>
        <v>#DIV/0!</v>
      </c>
      <c r="AU20" s="19">
        <f t="shared" si="40"/>
        <v>0</v>
      </c>
      <c r="AV20" s="19" t="e">
        <f t="shared" si="41"/>
        <v>#DIV/0!</v>
      </c>
      <c r="AW20" s="19">
        <f t="shared" si="42"/>
        <v>0</v>
      </c>
      <c r="AX20" s="19" t="e">
        <f t="shared" si="43"/>
        <v>#DIV/0!</v>
      </c>
      <c r="AY20" s="19">
        <f t="shared" si="44"/>
        <v>0</v>
      </c>
      <c r="AZ20" s="19" t="e">
        <f t="shared" si="45"/>
        <v>#DIV/0!</v>
      </c>
      <c r="BA20" s="19">
        <f t="shared" si="46"/>
        <v>0</v>
      </c>
      <c r="BB20" s="19" t="e">
        <f t="shared" si="47"/>
        <v>#DIV/0!</v>
      </c>
      <c r="BC20" s="19">
        <f t="shared" si="48"/>
        <v>0</v>
      </c>
      <c r="BD20" s="19" t="e">
        <f t="shared" si="49"/>
        <v>#DIV/0!</v>
      </c>
    </row>
    <row r="21" spans="1:56" ht="25.2" thickBot="1">
      <c r="A21" s="20"/>
      <c r="B21" s="20" t="s">
        <v>17</v>
      </c>
      <c r="C21" s="21">
        <f>SUM(C16:C20)</f>
        <v>41030027.039999992</v>
      </c>
      <c r="D21" s="21">
        <f t="shared" ref="D21:N21" si="50">SUM(D16:D20)</f>
        <v>41062287.050000004</v>
      </c>
      <c r="E21" s="21">
        <f t="shared" si="50"/>
        <v>41095622.379999995</v>
      </c>
      <c r="F21" s="21">
        <f t="shared" si="50"/>
        <v>0</v>
      </c>
      <c r="G21" s="21">
        <f t="shared" si="50"/>
        <v>0</v>
      </c>
      <c r="H21" s="21">
        <f t="shared" si="50"/>
        <v>0</v>
      </c>
      <c r="I21" s="21">
        <f t="shared" si="50"/>
        <v>0</v>
      </c>
      <c r="J21" s="21">
        <f t="shared" si="50"/>
        <v>0</v>
      </c>
      <c r="K21" s="21">
        <f t="shared" si="50"/>
        <v>0</v>
      </c>
      <c r="L21" s="21">
        <f t="shared" si="50"/>
        <v>0</v>
      </c>
      <c r="M21" s="21">
        <f t="shared" si="50"/>
        <v>0</v>
      </c>
      <c r="N21" s="21">
        <f t="shared" si="50"/>
        <v>0</v>
      </c>
      <c r="P21" s="20"/>
      <c r="Q21" s="20" t="s">
        <v>17</v>
      </c>
      <c r="R21" s="21">
        <f>SUM(R16:R20)</f>
        <v>25444406.849999998</v>
      </c>
      <c r="S21" s="21">
        <f t="shared" ref="S21:AC21" si="51">SUM(S16:S20)</f>
        <v>25455088.880000003</v>
      </c>
      <c r="T21" s="21">
        <f t="shared" si="51"/>
        <v>25465770.91</v>
      </c>
      <c r="U21" s="21">
        <f t="shared" si="51"/>
        <v>0</v>
      </c>
      <c r="V21" s="21">
        <f t="shared" si="51"/>
        <v>0</v>
      </c>
      <c r="W21" s="21">
        <f t="shared" si="51"/>
        <v>0</v>
      </c>
      <c r="X21" s="21">
        <f t="shared" si="51"/>
        <v>0</v>
      </c>
      <c r="Y21" s="21">
        <f t="shared" si="51"/>
        <v>0</v>
      </c>
      <c r="Z21" s="21">
        <f t="shared" si="51"/>
        <v>0</v>
      </c>
      <c r="AA21" s="21">
        <f t="shared" si="51"/>
        <v>0</v>
      </c>
      <c r="AB21" s="21">
        <f t="shared" si="51"/>
        <v>0</v>
      </c>
      <c r="AC21" s="21">
        <f t="shared" si="51"/>
        <v>0</v>
      </c>
      <c r="AE21" s="20"/>
      <c r="AF21" s="20" t="s">
        <v>17</v>
      </c>
      <c r="AG21" s="23">
        <f t="shared" si="26"/>
        <v>15585620.189999994</v>
      </c>
      <c r="AH21" s="23">
        <f t="shared" si="27"/>
        <v>37.985888176007393</v>
      </c>
      <c r="AI21" s="23">
        <f t="shared" si="28"/>
        <v>15607198.170000002</v>
      </c>
      <c r="AJ21" s="23">
        <f t="shared" si="29"/>
        <v>38.008594482318294</v>
      </c>
      <c r="AK21" s="23">
        <f t="shared" si="30"/>
        <v>15629851.469999995</v>
      </c>
      <c r="AL21" s="23">
        <f t="shared" si="31"/>
        <v>38.032886630782784</v>
      </c>
      <c r="AM21" s="23">
        <f t="shared" si="32"/>
        <v>0</v>
      </c>
      <c r="AN21" s="23" t="e">
        <f t="shared" si="33"/>
        <v>#DIV/0!</v>
      </c>
      <c r="AO21" s="23">
        <f t="shared" si="34"/>
        <v>0</v>
      </c>
      <c r="AP21" s="23" t="e">
        <f t="shared" si="35"/>
        <v>#DIV/0!</v>
      </c>
      <c r="AQ21" s="23">
        <f t="shared" si="36"/>
        <v>0</v>
      </c>
      <c r="AR21" s="23" t="e">
        <f t="shared" si="37"/>
        <v>#DIV/0!</v>
      </c>
      <c r="AS21" s="23">
        <f t="shared" si="38"/>
        <v>0</v>
      </c>
      <c r="AT21" s="23" t="e">
        <f t="shared" si="39"/>
        <v>#DIV/0!</v>
      </c>
      <c r="AU21" s="23">
        <f t="shared" si="40"/>
        <v>0</v>
      </c>
      <c r="AV21" s="23" t="e">
        <f t="shared" si="41"/>
        <v>#DIV/0!</v>
      </c>
      <c r="AW21" s="23">
        <f t="shared" si="42"/>
        <v>0</v>
      </c>
      <c r="AX21" s="23" t="e">
        <f t="shared" si="43"/>
        <v>#DIV/0!</v>
      </c>
      <c r="AY21" s="23">
        <f t="shared" si="44"/>
        <v>0</v>
      </c>
      <c r="AZ21" s="23" t="e">
        <f t="shared" si="45"/>
        <v>#DIV/0!</v>
      </c>
      <c r="BA21" s="23">
        <f t="shared" si="46"/>
        <v>0</v>
      </c>
      <c r="BB21" s="23" t="e">
        <f t="shared" si="47"/>
        <v>#DIV/0!</v>
      </c>
      <c r="BC21" s="23">
        <f t="shared" si="48"/>
        <v>0</v>
      </c>
      <c r="BD21" s="23" t="e">
        <f t="shared" si="49"/>
        <v>#DIV/0!</v>
      </c>
    </row>
    <row r="22" spans="1:56" ht="25.2" thickTop="1"/>
    <row r="23" spans="1:56">
      <c r="A23" s="37" t="s">
        <v>47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P23" s="37" t="s">
        <v>51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E23" s="37" t="s">
        <v>88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</row>
    <row r="24" spans="1:56">
      <c r="A24" s="37" t="s">
        <v>1952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P24" s="37" t="s">
        <v>1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E24" s="37" t="s">
        <v>1</v>
      </c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</row>
    <row r="25" spans="1:56" s="25" customFormat="1">
      <c r="A25" s="35" t="s">
        <v>2</v>
      </c>
      <c r="B25" s="35" t="s">
        <v>3</v>
      </c>
      <c r="C25" s="38" t="s">
        <v>4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P25" s="35" t="s">
        <v>2</v>
      </c>
      <c r="Q25" s="35" t="s">
        <v>3</v>
      </c>
      <c r="R25" s="38" t="s">
        <v>5</v>
      </c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/>
      <c r="AE25" s="35" t="s">
        <v>2</v>
      </c>
      <c r="AF25" s="35" t="s">
        <v>3</v>
      </c>
      <c r="AG25" s="33">
        <v>25112</v>
      </c>
      <c r="AH25" s="34"/>
      <c r="AI25" s="33">
        <v>25143</v>
      </c>
      <c r="AJ25" s="34"/>
      <c r="AK25" s="33">
        <v>25173</v>
      </c>
      <c r="AL25" s="34"/>
      <c r="AM25" s="33">
        <v>25204</v>
      </c>
      <c r="AN25" s="34"/>
      <c r="AO25" s="33">
        <v>25235</v>
      </c>
      <c r="AP25" s="34"/>
      <c r="AQ25" s="33">
        <v>25263</v>
      </c>
      <c r="AR25" s="34"/>
      <c r="AS25" s="33">
        <v>25294</v>
      </c>
      <c r="AT25" s="34"/>
      <c r="AU25" s="33">
        <v>25324</v>
      </c>
      <c r="AV25" s="34"/>
      <c r="AW25" s="33">
        <v>25355</v>
      </c>
      <c r="AX25" s="34"/>
      <c r="AY25" s="33">
        <v>25385</v>
      </c>
      <c r="AZ25" s="34"/>
      <c r="BA25" s="33">
        <v>25416</v>
      </c>
      <c r="BB25" s="34"/>
      <c r="BC25" s="33">
        <v>25447</v>
      </c>
      <c r="BD25" s="34"/>
    </row>
    <row r="26" spans="1:56" s="25" customFormat="1">
      <c r="A26" s="36"/>
      <c r="B26" s="36"/>
      <c r="C26" s="16">
        <v>25112</v>
      </c>
      <c r="D26" s="16">
        <v>25143</v>
      </c>
      <c r="E26" s="16">
        <v>25173</v>
      </c>
      <c r="F26" s="16">
        <v>25204</v>
      </c>
      <c r="G26" s="16">
        <v>25235</v>
      </c>
      <c r="H26" s="16">
        <v>25263</v>
      </c>
      <c r="I26" s="16">
        <v>25294</v>
      </c>
      <c r="J26" s="16">
        <v>25324</v>
      </c>
      <c r="K26" s="16">
        <v>25355</v>
      </c>
      <c r="L26" s="16">
        <v>25385</v>
      </c>
      <c r="M26" s="16">
        <v>25416</v>
      </c>
      <c r="N26" s="16">
        <v>25447</v>
      </c>
      <c r="P26" s="36"/>
      <c r="Q26" s="36"/>
      <c r="R26" s="16">
        <v>25112</v>
      </c>
      <c r="S26" s="16">
        <v>25143</v>
      </c>
      <c r="T26" s="16">
        <v>25173</v>
      </c>
      <c r="U26" s="16">
        <v>25204</v>
      </c>
      <c r="V26" s="16">
        <v>25235</v>
      </c>
      <c r="W26" s="16">
        <v>25263</v>
      </c>
      <c r="X26" s="16">
        <v>25294</v>
      </c>
      <c r="Y26" s="16">
        <v>25324</v>
      </c>
      <c r="Z26" s="16">
        <v>25355</v>
      </c>
      <c r="AA26" s="16">
        <v>25385</v>
      </c>
      <c r="AB26" s="16">
        <v>25416</v>
      </c>
      <c r="AC26" s="16">
        <v>25447</v>
      </c>
      <c r="AE26" s="36"/>
      <c r="AF26" s="36"/>
      <c r="AG26" s="16" t="s">
        <v>85</v>
      </c>
      <c r="AH26" s="16" t="s">
        <v>86</v>
      </c>
      <c r="AI26" s="16" t="s">
        <v>85</v>
      </c>
      <c r="AJ26" s="16" t="s">
        <v>86</v>
      </c>
      <c r="AK26" s="16" t="s">
        <v>85</v>
      </c>
      <c r="AL26" s="16" t="s">
        <v>86</v>
      </c>
      <c r="AM26" s="16" t="s">
        <v>85</v>
      </c>
      <c r="AN26" s="16" t="s">
        <v>86</v>
      </c>
      <c r="AO26" s="16" t="s">
        <v>85</v>
      </c>
      <c r="AP26" s="16" t="s">
        <v>86</v>
      </c>
      <c r="AQ26" s="16" t="s">
        <v>85</v>
      </c>
      <c r="AR26" s="16" t="s">
        <v>86</v>
      </c>
      <c r="AS26" s="16" t="s">
        <v>85</v>
      </c>
      <c r="AT26" s="16" t="s">
        <v>86</v>
      </c>
      <c r="AU26" s="16" t="s">
        <v>85</v>
      </c>
      <c r="AV26" s="16" t="s">
        <v>86</v>
      </c>
      <c r="AW26" s="16" t="s">
        <v>85</v>
      </c>
      <c r="AX26" s="16" t="s">
        <v>86</v>
      </c>
      <c r="AY26" s="16" t="s">
        <v>85</v>
      </c>
      <c r="AZ26" s="16" t="s">
        <v>86</v>
      </c>
      <c r="BA26" s="16" t="s">
        <v>85</v>
      </c>
      <c r="BB26" s="16" t="s">
        <v>86</v>
      </c>
      <c r="BC26" s="16" t="s">
        <v>85</v>
      </c>
      <c r="BD26" s="16" t="s">
        <v>86</v>
      </c>
    </row>
    <row r="27" spans="1:56">
      <c r="A27" s="17">
        <v>1</v>
      </c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6"/>
      <c r="P27" s="17">
        <v>1</v>
      </c>
      <c r="Q27" s="18" t="s">
        <v>18</v>
      </c>
      <c r="R27" s="19">
        <v>1759166</v>
      </c>
      <c r="S27" s="19">
        <v>1759166</v>
      </c>
      <c r="T27" s="19">
        <v>1759166</v>
      </c>
      <c r="U27" s="19"/>
      <c r="V27" s="19"/>
      <c r="W27" s="19"/>
      <c r="X27" s="19"/>
      <c r="Y27" s="19"/>
      <c r="Z27" s="19"/>
      <c r="AA27" s="19"/>
      <c r="AB27" s="19"/>
      <c r="AC27" s="19"/>
      <c r="AE27" s="17">
        <v>1</v>
      </c>
      <c r="AF27" s="18" t="s">
        <v>18</v>
      </c>
      <c r="AG27" s="19">
        <f t="shared" ref="AG27:AG41" si="52">+C27-R27</f>
        <v>-1759166</v>
      </c>
      <c r="AH27" s="19" t="e">
        <f t="shared" ref="AH27:AH41" si="53">+AG27/C27*100</f>
        <v>#DIV/0!</v>
      </c>
      <c r="AI27" s="19">
        <f t="shared" ref="AI27:AI41" si="54">+D27-S27</f>
        <v>-1759166</v>
      </c>
      <c r="AJ27" s="19" t="e">
        <f t="shared" ref="AJ27:AJ41" si="55">+AI27/D27*100</f>
        <v>#DIV/0!</v>
      </c>
      <c r="AK27" s="19">
        <f t="shared" ref="AK27:AK41" si="56">+E27-T27</f>
        <v>-1759166</v>
      </c>
      <c r="AL27" s="19" t="e">
        <f t="shared" ref="AL27:AL41" si="57">+AK27/E27*100</f>
        <v>#DIV/0!</v>
      </c>
      <c r="AM27" s="19">
        <f t="shared" ref="AM27:AM41" si="58">+F27-U27</f>
        <v>0</v>
      </c>
      <c r="AN27" s="19" t="e">
        <f t="shared" ref="AN27:AN41" si="59">+AM27/F27*100</f>
        <v>#DIV/0!</v>
      </c>
      <c r="AO27" s="19">
        <f t="shared" ref="AO27:AO41" si="60">+G27-V27</f>
        <v>0</v>
      </c>
      <c r="AP27" s="19" t="e">
        <f t="shared" ref="AP27:AP41" si="61">+AO27/G27*100</f>
        <v>#DIV/0!</v>
      </c>
      <c r="AQ27" s="19">
        <f t="shared" ref="AQ27:AQ41" si="62">+H27-W27</f>
        <v>0</v>
      </c>
      <c r="AR27" s="19" t="e">
        <f t="shared" ref="AR27:AR41" si="63">+AQ27/H27*100</f>
        <v>#DIV/0!</v>
      </c>
      <c r="AS27" s="19">
        <f t="shared" ref="AS27:AS41" si="64">+I27-X27</f>
        <v>0</v>
      </c>
      <c r="AT27" s="19" t="e">
        <f t="shared" ref="AT27:AT41" si="65">+AS27/I27*100</f>
        <v>#DIV/0!</v>
      </c>
      <c r="AU27" s="19">
        <f t="shared" ref="AU27:AU41" si="66">+J27-Y27</f>
        <v>0</v>
      </c>
      <c r="AV27" s="19" t="e">
        <f t="shared" ref="AV27:AV41" si="67">+AU27/J27*100</f>
        <v>#DIV/0!</v>
      </c>
      <c r="AW27" s="19">
        <f t="shared" ref="AW27:AW41" si="68">+K27-Z27</f>
        <v>0</v>
      </c>
      <c r="AX27" s="19" t="e">
        <f t="shared" ref="AX27:AX41" si="69">+AW27/K27*100</f>
        <v>#DIV/0!</v>
      </c>
      <c r="AY27" s="19">
        <f t="shared" ref="AY27:AY41" si="70">+L27-AA27</f>
        <v>0</v>
      </c>
      <c r="AZ27" s="19" t="e">
        <f t="shared" ref="AZ27:AZ41" si="71">+AY27/L27*100</f>
        <v>#DIV/0!</v>
      </c>
      <c r="BA27" s="19">
        <f t="shared" ref="BA27:BA41" si="72">+M27-AB27</f>
        <v>0</v>
      </c>
      <c r="BB27" s="19" t="e">
        <f t="shared" ref="BB27:BB41" si="73">+BA27/M27*100</f>
        <v>#DIV/0!</v>
      </c>
      <c r="BC27" s="19">
        <f t="shared" ref="BC27:BC41" si="74">+N27-AC27</f>
        <v>0</v>
      </c>
      <c r="BD27" s="19" t="e">
        <f t="shared" ref="BD27:BD41" si="75">+BC27/N27*100</f>
        <v>#DIV/0!</v>
      </c>
    </row>
    <row r="28" spans="1:56">
      <c r="A28" s="17">
        <v>2</v>
      </c>
      <c r="B28" s="18" t="s">
        <v>20</v>
      </c>
      <c r="C28" s="19">
        <v>3099915</v>
      </c>
      <c r="D28" s="19">
        <v>3099915</v>
      </c>
      <c r="E28" s="19">
        <v>3099915</v>
      </c>
      <c r="F28" s="19"/>
      <c r="G28" s="19"/>
      <c r="H28" s="19"/>
      <c r="I28" s="19"/>
      <c r="J28" s="19"/>
      <c r="K28" s="19"/>
      <c r="L28" s="19"/>
      <c r="M28" s="19"/>
      <c r="N28" s="19"/>
      <c r="O28" s="26"/>
      <c r="P28" s="17">
        <v>2</v>
      </c>
      <c r="Q28" s="18" t="s">
        <v>20</v>
      </c>
      <c r="R28" s="19">
        <v>5250215</v>
      </c>
      <c r="S28" s="19">
        <v>5250215</v>
      </c>
      <c r="T28" s="19">
        <v>5250215</v>
      </c>
      <c r="U28" s="19"/>
      <c r="V28" s="19"/>
      <c r="W28" s="19"/>
      <c r="X28" s="19"/>
      <c r="Y28" s="19"/>
      <c r="Z28" s="19"/>
      <c r="AA28" s="19"/>
      <c r="AB28" s="19"/>
      <c r="AC28" s="19"/>
      <c r="AE28" s="17">
        <v>2</v>
      </c>
      <c r="AF28" s="18" t="s">
        <v>20</v>
      </c>
      <c r="AG28" s="19">
        <f t="shared" si="52"/>
        <v>-2150300</v>
      </c>
      <c r="AH28" s="19">
        <f t="shared" si="53"/>
        <v>-69.366418111464341</v>
      </c>
      <c r="AI28" s="19">
        <f t="shared" si="54"/>
        <v>-2150300</v>
      </c>
      <c r="AJ28" s="19">
        <f t="shared" si="55"/>
        <v>-69.366418111464341</v>
      </c>
      <c r="AK28" s="19">
        <f t="shared" si="56"/>
        <v>-2150300</v>
      </c>
      <c r="AL28" s="19">
        <f t="shared" si="57"/>
        <v>-69.366418111464341</v>
      </c>
      <c r="AM28" s="19">
        <f t="shared" si="58"/>
        <v>0</v>
      </c>
      <c r="AN28" s="19" t="e">
        <f t="shared" si="59"/>
        <v>#DIV/0!</v>
      </c>
      <c r="AO28" s="19">
        <f t="shared" si="60"/>
        <v>0</v>
      </c>
      <c r="AP28" s="19" t="e">
        <f t="shared" si="61"/>
        <v>#DIV/0!</v>
      </c>
      <c r="AQ28" s="19">
        <f t="shared" si="62"/>
        <v>0</v>
      </c>
      <c r="AR28" s="19" t="e">
        <f t="shared" si="63"/>
        <v>#DIV/0!</v>
      </c>
      <c r="AS28" s="19">
        <f t="shared" si="64"/>
        <v>0</v>
      </c>
      <c r="AT28" s="19" t="e">
        <f t="shared" si="65"/>
        <v>#DIV/0!</v>
      </c>
      <c r="AU28" s="19">
        <f t="shared" si="66"/>
        <v>0</v>
      </c>
      <c r="AV28" s="19" t="e">
        <f t="shared" si="67"/>
        <v>#DIV/0!</v>
      </c>
      <c r="AW28" s="19">
        <f t="shared" si="68"/>
        <v>0</v>
      </c>
      <c r="AX28" s="19" t="e">
        <f t="shared" si="69"/>
        <v>#DIV/0!</v>
      </c>
      <c r="AY28" s="19">
        <f t="shared" si="70"/>
        <v>0</v>
      </c>
      <c r="AZ28" s="19" t="e">
        <f t="shared" si="71"/>
        <v>#DIV/0!</v>
      </c>
      <c r="BA28" s="19">
        <f t="shared" si="72"/>
        <v>0</v>
      </c>
      <c r="BB28" s="19" t="e">
        <f t="shared" si="73"/>
        <v>#DIV/0!</v>
      </c>
      <c r="BC28" s="19">
        <f t="shared" si="74"/>
        <v>0</v>
      </c>
      <c r="BD28" s="19" t="e">
        <f t="shared" si="75"/>
        <v>#DIV/0!</v>
      </c>
    </row>
    <row r="29" spans="1:56">
      <c r="A29" s="17">
        <v>3</v>
      </c>
      <c r="B29" s="18" t="s">
        <v>22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26"/>
      <c r="P29" s="17">
        <v>3</v>
      </c>
      <c r="Q29" s="18" t="s">
        <v>22</v>
      </c>
      <c r="R29" s="19">
        <v>892284.5</v>
      </c>
      <c r="S29" s="19">
        <v>892284.5</v>
      </c>
      <c r="T29" s="19">
        <v>892284.5</v>
      </c>
      <c r="U29" s="19"/>
      <c r="V29" s="19"/>
      <c r="W29" s="19"/>
      <c r="X29" s="19"/>
      <c r="Y29" s="19"/>
      <c r="Z29" s="19"/>
      <c r="AA29" s="19"/>
      <c r="AB29" s="19"/>
      <c r="AC29" s="19"/>
      <c r="AE29" s="17">
        <v>3</v>
      </c>
      <c r="AF29" s="18" t="s">
        <v>22</v>
      </c>
      <c r="AG29" s="19">
        <f t="shared" si="52"/>
        <v>-892284.5</v>
      </c>
      <c r="AH29" s="19" t="e">
        <f t="shared" si="53"/>
        <v>#DIV/0!</v>
      </c>
      <c r="AI29" s="19">
        <f t="shared" si="54"/>
        <v>-892284.5</v>
      </c>
      <c r="AJ29" s="19" t="e">
        <f t="shared" si="55"/>
        <v>#DIV/0!</v>
      </c>
      <c r="AK29" s="19">
        <f t="shared" si="56"/>
        <v>-892284.5</v>
      </c>
      <c r="AL29" s="19" t="e">
        <f t="shared" si="57"/>
        <v>#DIV/0!</v>
      </c>
      <c r="AM29" s="19">
        <f t="shared" si="58"/>
        <v>0</v>
      </c>
      <c r="AN29" s="19" t="e">
        <f t="shared" si="59"/>
        <v>#DIV/0!</v>
      </c>
      <c r="AO29" s="19">
        <f t="shared" si="60"/>
        <v>0</v>
      </c>
      <c r="AP29" s="19" t="e">
        <f t="shared" si="61"/>
        <v>#DIV/0!</v>
      </c>
      <c r="AQ29" s="19">
        <f t="shared" si="62"/>
        <v>0</v>
      </c>
      <c r="AR29" s="19" t="e">
        <f t="shared" si="63"/>
        <v>#DIV/0!</v>
      </c>
      <c r="AS29" s="19">
        <f t="shared" si="64"/>
        <v>0</v>
      </c>
      <c r="AT29" s="19" t="e">
        <f t="shared" si="65"/>
        <v>#DIV/0!</v>
      </c>
      <c r="AU29" s="19">
        <f t="shared" si="66"/>
        <v>0</v>
      </c>
      <c r="AV29" s="19" t="e">
        <f t="shared" si="67"/>
        <v>#DIV/0!</v>
      </c>
      <c r="AW29" s="19">
        <f t="shared" si="68"/>
        <v>0</v>
      </c>
      <c r="AX29" s="19" t="e">
        <f t="shared" si="69"/>
        <v>#DIV/0!</v>
      </c>
      <c r="AY29" s="19">
        <f t="shared" si="70"/>
        <v>0</v>
      </c>
      <c r="AZ29" s="19" t="e">
        <f t="shared" si="71"/>
        <v>#DIV/0!</v>
      </c>
      <c r="BA29" s="19">
        <f t="shared" si="72"/>
        <v>0</v>
      </c>
      <c r="BB29" s="19" t="e">
        <f t="shared" si="73"/>
        <v>#DIV/0!</v>
      </c>
      <c r="BC29" s="19">
        <f t="shared" si="74"/>
        <v>0</v>
      </c>
      <c r="BD29" s="19" t="e">
        <f t="shared" si="75"/>
        <v>#DIV/0!</v>
      </c>
    </row>
    <row r="30" spans="1:56">
      <c r="A30" s="17">
        <v>4</v>
      </c>
      <c r="B30" s="18" t="s">
        <v>24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6"/>
      <c r="P30" s="17">
        <v>4</v>
      </c>
      <c r="Q30" s="18" t="s">
        <v>24</v>
      </c>
      <c r="R30" s="19">
        <v>117540</v>
      </c>
      <c r="S30" s="19">
        <v>117540</v>
      </c>
      <c r="T30" s="19">
        <v>117540</v>
      </c>
      <c r="U30" s="19"/>
      <c r="V30" s="19"/>
      <c r="W30" s="19"/>
      <c r="X30" s="19"/>
      <c r="Y30" s="19"/>
      <c r="Z30" s="19"/>
      <c r="AA30" s="19"/>
      <c r="AB30" s="19"/>
      <c r="AC30" s="19"/>
      <c r="AE30" s="17">
        <v>4</v>
      </c>
      <c r="AF30" s="18" t="s">
        <v>24</v>
      </c>
      <c r="AG30" s="19">
        <f t="shared" si="52"/>
        <v>-117540</v>
      </c>
      <c r="AH30" s="19" t="e">
        <f t="shared" si="53"/>
        <v>#DIV/0!</v>
      </c>
      <c r="AI30" s="19">
        <f t="shared" si="54"/>
        <v>-117540</v>
      </c>
      <c r="AJ30" s="19" t="e">
        <f t="shared" si="55"/>
        <v>#DIV/0!</v>
      </c>
      <c r="AK30" s="19">
        <f t="shared" si="56"/>
        <v>-117540</v>
      </c>
      <c r="AL30" s="19" t="e">
        <f t="shared" si="57"/>
        <v>#DIV/0!</v>
      </c>
      <c r="AM30" s="19">
        <f t="shared" si="58"/>
        <v>0</v>
      </c>
      <c r="AN30" s="19" t="e">
        <f t="shared" si="59"/>
        <v>#DIV/0!</v>
      </c>
      <c r="AO30" s="19">
        <f t="shared" si="60"/>
        <v>0</v>
      </c>
      <c r="AP30" s="19" t="e">
        <f t="shared" si="61"/>
        <v>#DIV/0!</v>
      </c>
      <c r="AQ30" s="19">
        <f t="shared" si="62"/>
        <v>0</v>
      </c>
      <c r="AR30" s="19" t="e">
        <f t="shared" si="63"/>
        <v>#DIV/0!</v>
      </c>
      <c r="AS30" s="19">
        <f t="shared" si="64"/>
        <v>0</v>
      </c>
      <c r="AT30" s="19" t="e">
        <f t="shared" si="65"/>
        <v>#DIV/0!</v>
      </c>
      <c r="AU30" s="19">
        <f t="shared" si="66"/>
        <v>0</v>
      </c>
      <c r="AV30" s="19" t="e">
        <f t="shared" si="67"/>
        <v>#DIV/0!</v>
      </c>
      <c r="AW30" s="19">
        <f t="shared" si="68"/>
        <v>0</v>
      </c>
      <c r="AX30" s="19" t="e">
        <f t="shared" si="69"/>
        <v>#DIV/0!</v>
      </c>
      <c r="AY30" s="19">
        <f t="shared" si="70"/>
        <v>0</v>
      </c>
      <c r="AZ30" s="19" t="e">
        <f t="shared" si="71"/>
        <v>#DIV/0!</v>
      </c>
      <c r="BA30" s="19">
        <f t="shared" si="72"/>
        <v>0</v>
      </c>
      <c r="BB30" s="19" t="e">
        <f t="shared" si="73"/>
        <v>#DIV/0!</v>
      </c>
      <c r="BC30" s="19">
        <f t="shared" si="74"/>
        <v>0</v>
      </c>
      <c r="BD30" s="19" t="e">
        <f t="shared" si="75"/>
        <v>#DIV/0!</v>
      </c>
    </row>
    <row r="31" spans="1:56">
      <c r="A31" s="17">
        <v>5</v>
      </c>
      <c r="B31" s="18" t="s">
        <v>26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6"/>
      <c r="P31" s="17">
        <v>5</v>
      </c>
      <c r="Q31" s="18" t="s">
        <v>26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E31" s="17">
        <v>5</v>
      </c>
      <c r="AF31" s="18" t="s">
        <v>26</v>
      </c>
      <c r="AG31" s="19">
        <f t="shared" si="52"/>
        <v>0</v>
      </c>
      <c r="AH31" s="19" t="e">
        <f t="shared" si="53"/>
        <v>#DIV/0!</v>
      </c>
      <c r="AI31" s="19">
        <f t="shared" si="54"/>
        <v>0</v>
      </c>
      <c r="AJ31" s="19" t="e">
        <f t="shared" si="55"/>
        <v>#DIV/0!</v>
      </c>
      <c r="AK31" s="19">
        <f t="shared" si="56"/>
        <v>0</v>
      </c>
      <c r="AL31" s="19" t="e">
        <f t="shared" si="57"/>
        <v>#DIV/0!</v>
      </c>
      <c r="AM31" s="19">
        <f t="shared" si="58"/>
        <v>0</v>
      </c>
      <c r="AN31" s="19" t="e">
        <f t="shared" si="59"/>
        <v>#DIV/0!</v>
      </c>
      <c r="AO31" s="19">
        <f t="shared" si="60"/>
        <v>0</v>
      </c>
      <c r="AP31" s="19" t="e">
        <f t="shared" si="61"/>
        <v>#DIV/0!</v>
      </c>
      <c r="AQ31" s="19">
        <f t="shared" si="62"/>
        <v>0</v>
      </c>
      <c r="AR31" s="19" t="e">
        <f t="shared" si="63"/>
        <v>#DIV/0!</v>
      </c>
      <c r="AS31" s="19">
        <f t="shared" si="64"/>
        <v>0</v>
      </c>
      <c r="AT31" s="19" t="e">
        <f t="shared" si="65"/>
        <v>#DIV/0!</v>
      </c>
      <c r="AU31" s="19">
        <f t="shared" si="66"/>
        <v>0</v>
      </c>
      <c r="AV31" s="19" t="e">
        <f t="shared" si="67"/>
        <v>#DIV/0!</v>
      </c>
      <c r="AW31" s="19">
        <f t="shared" si="68"/>
        <v>0</v>
      </c>
      <c r="AX31" s="19" t="e">
        <f t="shared" si="69"/>
        <v>#DIV/0!</v>
      </c>
      <c r="AY31" s="19">
        <f t="shared" si="70"/>
        <v>0</v>
      </c>
      <c r="AZ31" s="19" t="e">
        <f t="shared" si="71"/>
        <v>#DIV/0!</v>
      </c>
      <c r="BA31" s="19">
        <f t="shared" si="72"/>
        <v>0</v>
      </c>
      <c r="BB31" s="19" t="e">
        <f t="shared" si="73"/>
        <v>#DIV/0!</v>
      </c>
      <c r="BC31" s="19">
        <f t="shared" si="74"/>
        <v>0</v>
      </c>
      <c r="BD31" s="19" t="e">
        <f t="shared" si="75"/>
        <v>#DIV/0!</v>
      </c>
    </row>
    <row r="32" spans="1:56">
      <c r="A32" s="17">
        <v>6</v>
      </c>
      <c r="B32" s="18" t="s">
        <v>28</v>
      </c>
      <c r="C32" s="19">
        <v>4536292</v>
      </c>
      <c r="D32" s="19">
        <v>4536292</v>
      </c>
      <c r="E32" s="19">
        <v>4536292</v>
      </c>
      <c r="F32" s="19"/>
      <c r="G32" s="19"/>
      <c r="H32" s="19"/>
      <c r="I32" s="19"/>
      <c r="J32" s="19"/>
      <c r="K32" s="19"/>
      <c r="L32" s="19"/>
      <c r="M32" s="19"/>
      <c r="N32" s="19"/>
      <c r="O32" s="26"/>
      <c r="P32" s="17">
        <v>6</v>
      </c>
      <c r="Q32" s="18" t="s">
        <v>28</v>
      </c>
      <c r="R32" s="19">
        <v>11696821</v>
      </c>
      <c r="S32" s="19">
        <v>11696821</v>
      </c>
      <c r="T32" s="19">
        <v>11696821</v>
      </c>
      <c r="U32" s="19"/>
      <c r="V32" s="19"/>
      <c r="W32" s="19"/>
      <c r="X32" s="19"/>
      <c r="Y32" s="19"/>
      <c r="Z32" s="19"/>
      <c r="AA32" s="19"/>
      <c r="AB32" s="19"/>
      <c r="AC32" s="19"/>
      <c r="AE32" s="17">
        <v>6</v>
      </c>
      <c r="AF32" s="18" t="s">
        <v>28</v>
      </c>
      <c r="AG32" s="19">
        <f t="shared" si="52"/>
        <v>-7160529</v>
      </c>
      <c r="AH32" s="19">
        <f t="shared" si="53"/>
        <v>-157.8498253639757</v>
      </c>
      <c r="AI32" s="19">
        <f t="shared" si="54"/>
        <v>-7160529</v>
      </c>
      <c r="AJ32" s="19">
        <f t="shared" si="55"/>
        <v>-157.8498253639757</v>
      </c>
      <c r="AK32" s="19">
        <f t="shared" si="56"/>
        <v>-7160529</v>
      </c>
      <c r="AL32" s="19">
        <f t="shared" si="57"/>
        <v>-157.8498253639757</v>
      </c>
      <c r="AM32" s="19">
        <f t="shared" si="58"/>
        <v>0</v>
      </c>
      <c r="AN32" s="19" t="e">
        <f t="shared" si="59"/>
        <v>#DIV/0!</v>
      </c>
      <c r="AO32" s="19">
        <f t="shared" si="60"/>
        <v>0</v>
      </c>
      <c r="AP32" s="19" t="e">
        <f t="shared" si="61"/>
        <v>#DIV/0!</v>
      </c>
      <c r="AQ32" s="19">
        <f t="shared" si="62"/>
        <v>0</v>
      </c>
      <c r="AR32" s="19" t="e">
        <f t="shared" si="63"/>
        <v>#DIV/0!</v>
      </c>
      <c r="AS32" s="19">
        <f t="shared" si="64"/>
        <v>0</v>
      </c>
      <c r="AT32" s="19" t="e">
        <f t="shared" si="65"/>
        <v>#DIV/0!</v>
      </c>
      <c r="AU32" s="19">
        <f t="shared" si="66"/>
        <v>0</v>
      </c>
      <c r="AV32" s="19" t="e">
        <f t="shared" si="67"/>
        <v>#DIV/0!</v>
      </c>
      <c r="AW32" s="19">
        <f t="shared" si="68"/>
        <v>0</v>
      </c>
      <c r="AX32" s="19" t="e">
        <f t="shared" si="69"/>
        <v>#DIV/0!</v>
      </c>
      <c r="AY32" s="19">
        <f t="shared" si="70"/>
        <v>0</v>
      </c>
      <c r="AZ32" s="19" t="e">
        <f t="shared" si="71"/>
        <v>#DIV/0!</v>
      </c>
      <c r="BA32" s="19">
        <f t="shared" si="72"/>
        <v>0</v>
      </c>
      <c r="BB32" s="19" t="e">
        <f t="shared" si="73"/>
        <v>#DIV/0!</v>
      </c>
      <c r="BC32" s="19">
        <f t="shared" si="74"/>
        <v>0</v>
      </c>
      <c r="BD32" s="19" t="e">
        <f t="shared" si="75"/>
        <v>#DIV/0!</v>
      </c>
    </row>
    <row r="33" spans="1:56">
      <c r="A33" s="17">
        <v>7</v>
      </c>
      <c r="B33" s="18" t="s">
        <v>30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6"/>
      <c r="P33" s="17">
        <v>7</v>
      </c>
      <c r="Q33" s="18" t="s">
        <v>30</v>
      </c>
      <c r="R33" s="19">
        <v>1435745</v>
      </c>
      <c r="S33" s="19">
        <v>1435745</v>
      </c>
      <c r="T33" s="19">
        <v>1435745</v>
      </c>
      <c r="U33" s="19"/>
      <c r="V33" s="19"/>
      <c r="W33" s="19"/>
      <c r="X33" s="19"/>
      <c r="Y33" s="19"/>
      <c r="Z33" s="19"/>
      <c r="AA33" s="19"/>
      <c r="AB33" s="19"/>
      <c r="AC33" s="19"/>
      <c r="AE33" s="17">
        <v>7</v>
      </c>
      <c r="AF33" s="18" t="s">
        <v>30</v>
      </c>
      <c r="AG33" s="19">
        <f t="shared" si="52"/>
        <v>-1435745</v>
      </c>
      <c r="AH33" s="19" t="e">
        <f t="shared" si="53"/>
        <v>#DIV/0!</v>
      </c>
      <c r="AI33" s="19">
        <f t="shared" si="54"/>
        <v>-1435745</v>
      </c>
      <c r="AJ33" s="19" t="e">
        <f t="shared" si="55"/>
        <v>#DIV/0!</v>
      </c>
      <c r="AK33" s="19">
        <f t="shared" si="56"/>
        <v>-1435745</v>
      </c>
      <c r="AL33" s="19" t="e">
        <f t="shared" si="57"/>
        <v>#DIV/0!</v>
      </c>
      <c r="AM33" s="19">
        <f t="shared" si="58"/>
        <v>0</v>
      </c>
      <c r="AN33" s="19" t="e">
        <f t="shared" si="59"/>
        <v>#DIV/0!</v>
      </c>
      <c r="AO33" s="19">
        <f t="shared" si="60"/>
        <v>0</v>
      </c>
      <c r="AP33" s="19" t="e">
        <f t="shared" si="61"/>
        <v>#DIV/0!</v>
      </c>
      <c r="AQ33" s="19">
        <f t="shared" si="62"/>
        <v>0</v>
      </c>
      <c r="AR33" s="19" t="e">
        <f t="shared" si="63"/>
        <v>#DIV/0!</v>
      </c>
      <c r="AS33" s="19">
        <f t="shared" si="64"/>
        <v>0</v>
      </c>
      <c r="AT33" s="19" t="e">
        <f t="shared" si="65"/>
        <v>#DIV/0!</v>
      </c>
      <c r="AU33" s="19">
        <f t="shared" si="66"/>
        <v>0</v>
      </c>
      <c r="AV33" s="19" t="e">
        <f t="shared" si="67"/>
        <v>#DIV/0!</v>
      </c>
      <c r="AW33" s="19">
        <f t="shared" si="68"/>
        <v>0</v>
      </c>
      <c r="AX33" s="19" t="e">
        <f t="shared" si="69"/>
        <v>#DIV/0!</v>
      </c>
      <c r="AY33" s="19">
        <f t="shared" si="70"/>
        <v>0</v>
      </c>
      <c r="AZ33" s="19" t="e">
        <f t="shared" si="71"/>
        <v>#DIV/0!</v>
      </c>
      <c r="BA33" s="19">
        <f t="shared" si="72"/>
        <v>0</v>
      </c>
      <c r="BB33" s="19" t="e">
        <f t="shared" si="73"/>
        <v>#DIV/0!</v>
      </c>
      <c r="BC33" s="19">
        <f t="shared" si="74"/>
        <v>0</v>
      </c>
      <c r="BD33" s="19" t="e">
        <f t="shared" si="75"/>
        <v>#DIV/0!</v>
      </c>
    </row>
    <row r="34" spans="1:56">
      <c r="A34" s="17">
        <v>8</v>
      </c>
      <c r="B34" s="18" t="s">
        <v>32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6"/>
      <c r="P34" s="17">
        <v>8</v>
      </c>
      <c r="Q34" s="18" t="s">
        <v>32</v>
      </c>
      <c r="R34" s="19">
        <v>61255.28</v>
      </c>
      <c r="S34" s="19">
        <v>61255.28</v>
      </c>
      <c r="T34" s="19">
        <v>61255.28</v>
      </c>
      <c r="U34" s="19"/>
      <c r="V34" s="19"/>
      <c r="W34" s="19"/>
      <c r="X34" s="19"/>
      <c r="Y34" s="19"/>
      <c r="Z34" s="19"/>
      <c r="AA34" s="19"/>
      <c r="AB34" s="19"/>
      <c r="AC34" s="19"/>
      <c r="AE34" s="17">
        <v>8</v>
      </c>
      <c r="AF34" s="18" t="s">
        <v>32</v>
      </c>
      <c r="AG34" s="19">
        <f t="shared" si="52"/>
        <v>-61255.28</v>
      </c>
      <c r="AH34" s="19" t="e">
        <f t="shared" si="53"/>
        <v>#DIV/0!</v>
      </c>
      <c r="AI34" s="19">
        <f t="shared" si="54"/>
        <v>-61255.28</v>
      </c>
      <c r="AJ34" s="19" t="e">
        <f t="shared" si="55"/>
        <v>#DIV/0!</v>
      </c>
      <c r="AK34" s="19">
        <f t="shared" si="56"/>
        <v>-61255.28</v>
      </c>
      <c r="AL34" s="19" t="e">
        <f t="shared" si="57"/>
        <v>#DIV/0!</v>
      </c>
      <c r="AM34" s="19">
        <f t="shared" si="58"/>
        <v>0</v>
      </c>
      <c r="AN34" s="19" t="e">
        <f t="shared" si="59"/>
        <v>#DIV/0!</v>
      </c>
      <c r="AO34" s="19">
        <f t="shared" si="60"/>
        <v>0</v>
      </c>
      <c r="AP34" s="19" t="e">
        <f t="shared" si="61"/>
        <v>#DIV/0!</v>
      </c>
      <c r="AQ34" s="19">
        <f t="shared" si="62"/>
        <v>0</v>
      </c>
      <c r="AR34" s="19" t="e">
        <f t="shared" si="63"/>
        <v>#DIV/0!</v>
      </c>
      <c r="AS34" s="19">
        <f t="shared" si="64"/>
        <v>0</v>
      </c>
      <c r="AT34" s="19" t="e">
        <f t="shared" si="65"/>
        <v>#DIV/0!</v>
      </c>
      <c r="AU34" s="19">
        <f t="shared" si="66"/>
        <v>0</v>
      </c>
      <c r="AV34" s="19" t="e">
        <f t="shared" si="67"/>
        <v>#DIV/0!</v>
      </c>
      <c r="AW34" s="19">
        <f t="shared" si="68"/>
        <v>0</v>
      </c>
      <c r="AX34" s="19" t="e">
        <f t="shared" si="69"/>
        <v>#DIV/0!</v>
      </c>
      <c r="AY34" s="19">
        <f t="shared" si="70"/>
        <v>0</v>
      </c>
      <c r="AZ34" s="19" t="e">
        <f t="shared" si="71"/>
        <v>#DIV/0!</v>
      </c>
      <c r="BA34" s="19">
        <f t="shared" si="72"/>
        <v>0</v>
      </c>
      <c r="BB34" s="19" t="e">
        <f t="shared" si="73"/>
        <v>#DIV/0!</v>
      </c>
      <c r="BC34" s="19">
        <f t="shared" si="74"/>
        <v>0</v>
      </c>
      <c r="BD34" s="19" t="e">
        <f t="shared" si="75"/>
        <v>#DIV/0!</v>
      </c>
    </row>
    <row r="35" spans="1:56">
      <c r="A35" s="17">
        <v>9</v>
      </c>
      <c r="B35" s="18" t="s">
        <v>34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6"/>
      <c r="P35" s="17">
        <v>9</v>
      </c>
      <c r="Q35" s="18" t="s">
        <v>34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E35" s="17">
        <v>9</v>
      </c>
      <c r="AF35" s="18" t="s">
        <v>34</v>
      </c>
      <c r="AG35" s="19">
        <f t="shared" si="52"/>
        <v>0</v>
      </c>
      <c r="AH35" s="19" t="e">
        <f t="shared" si="53"/>
        <v>#DIV/0!</v>
      </c>
      <c r="AI35" s="19">
        <f t="shared" si="54"/>
        <v>0</v>
      </c>
      <c r="AJ35" s="19" t="e">
        <f t="shared" si="55"/>
        <v>#DIV/0!</v>
      </c>
      <c r="AK35" s="19">
        <f t="shared" si="56"/>
        <v>0</v>
      </c>
      <c r="AL35" s="19" t="e">
        <f t="shared" si="57"/>
        <v>#DIV/0!</v>
      </c>
      <c r="AM35" s="19">
        <f t="shared" si="58"/>
        <v>0</v>
      </c>
      <c r="AN35" s="19" t="e">
        <f t="shared" si="59"/>
        <v>#DIV/0!</v>
      </c>
      <c r="AO35" s="19">
        <f t="shared" si="60"/>
        <v>0</v>
      </c>
      <c r="AP35" s="19" t="e">
        <f t="shared" si="61"/>
        <v>#DIV/0!</v>
      </c>
      <c r="AQ35" s="19">
        <f t="shared" si="62"/>
        <v>0</v>
      </c>
      <c r="AR35" s="19" t="e">
        <f t="shared" si="63"/>
        <v>#DIV/0!</v>
      </c>
      <c r="AS35" s="19">
        <f t="shared" si="64"/>
        <v>0</v>
      </c>
      <c r="AT35" s="19" t="e">
        <f t="shared" si="65"/>
        <v>#DIV/0!</v>
      </c>
      <c r="AU35" s="19">
        <f t="shared" si="66"/>
        <v>0</v>
      </c>
      <c r="AV35" s="19" t="e">
        <f t="shared" si="67"/>
        <v>#DIV/0!</v>
      </c>
      <c r="AW35" s="19">
        <f t="shared" si="68"/>
        <v>0</v>
      </c>
      <c r="AX35" s="19" t="e">
        <f t="shared" si="69"/>
        <v>#DIV/0!</v>
      </c>
      <c r="AY35" s="19">
        <f t="shared" si="70"/>
        <v>0</v>
      </c>
      <c r="AZ35" s="19" t="e">
        <f t="shared" si="71"/>
        <v>#DIV/0!</v>
      </c>
      <c r="BA35" s="19">
        <f t="shared" si="72"/>
        <v>0</v>
      </c>
      <c r="BB35" s="19" t="e">
        <f t="shared" si="73"/>
        <v>#DIV/0!</v>
      </c>
      <c r="BC35" s="19">
        <f t="shared" si="74"/>
        <v>0</v>
      </c>
      <c r="BD35" s="19" t="e">
        <f t="shared" si="75"/>
        <v>#DIV/0!</v>
      </c>
    </row>
    <row r="36" spans="1:56">
      <c r="A36" s="17">
        <v>10</v>
      </c>
      <c r="B36" s="18" t="s">
        <v>36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6"/>
      <c r="P36" s="17">
        <v>10</v>
      </c>
      <c r="Q36" s="18" t="s">
        <v>36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E36" s="17">
        <v>10</v>
      </c>
      <c r="AF36" s="18" t="s">
        <v>36</v>
      </c>
      <c r="AG36" s="19">
        <f t="shared" si="52"/>
        <v>0</v>
      </c>
      <c r="AH36" s="19" t="e">
        <f t="shared" si="53"/>
        <v>#DIV/0!</v>
      </c>
      <c r="AI36" s="19">
        <f t="shared" si="54"/>
        <v>0</v>
      </c>
      <c r="AJ36" s="19" t="e">
        <f t="shared" si="55"/>
        <v>#DIV/0!</v>
      </c>
      <c r="AK36" s="19">
        <f t="shared" si="56"/>
        <v>0</v>
      </c>
      <c r="AL36" s="19" t="e">
        <f t="shared" si="57"/>
        <v>#DIV/0!</v>
      </c>
      <c r="AM36" s="19">
        <f t="shared" si="58"/>
        <v>0</v>
      </c>
      <c r="AN36" s="19" t="e">
        <f t="shared" si="59"/>
        <v>#DIV/0!</v>
      </c>
      <c r="AO36" s="19">
        <f t="shared" si="60"/>
        <v>0</v>
      </c>
      <c r="AP36" s="19" t="e">
        <f t="shared" si="61"/>
        <v>#DIV/0!</v>
      </c>
      <c r="AQ36" s="19">
        <f t="shared" si="62"/>
        <v>0</v>
      </c>
      <c r="AR36" s="19" t="e">
        <f t="shared" si="63"/>
        <v>#DIV/0!</v>
      </c>
      <c r="AS36" s="19">
        <f t="shared" si="64"/>
        <v>0</v>
      </c>
      <c r="AT36" s="19" t="e">
        <f t="shared" si="65"/>
        <v>#DIV/0!</v>
      </c>
      <c r="AU36" s="19">
        <f t="shared" si="66"/>
        <v>0</v>
      </c>
      <c r="AV36" s="19" t="e">
        <f t="shared" si="67"/>
        <v>#DIV/0!</v>
      </c>
      <c r="AW36" s="19">
        <f t="shared" si="68"/>
        <v>0</v>
      </c>
      <c r="AX36" s="19" t="e">
        <f t="shared" si="69"/>
        <v>#DIV/0!</v>
      </c>
      <c r="AY36" s="19">
        <f t="shared" si="70"/>
        <v>0</v>
      </c>
      <c r="AZ36" s="19" t="e">
        <f t="shared" si="71"/>
        <v>#DIV/0!</v>
      </c>
      <c r="BA36" s="19">
        <f t="shared" si="72"/>
        <v>0</v>
      </c>
      <c r="BB36" s="19" t="e">
        <f t="shared" si="73"/>
        <v>#DIV/0!</v>
      </c>
      <c r="BC36" s="19">
        <f t="shared" si="74"/>
        <v>0</v>
      </c>
      <c r="BD36" s="19" t="e">
        <f t="shared" si="75"/>
        <v>#DIV/0!</v>
      </c>
    </row>
    <row r="37" spans="1:56">
      <c r="A37" s="17">
        <v>11</v>
      </c>
      <c r="B37" s="18" t="s">
        <v>38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6"/>
      <c r="P37" s="17">
        <v>11</v>
      </c>
      <c r="Q37" s="18" t="s">
        <v>38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E37" s="17">
        <v>11</v>
      </c>
      <c r="AF37" s="18" t="s">
        <v>38</v>
      </c>
      <c r="AG37" s="19">
        <f t="shared" si="52"/>
        <v>0</v>
      </c>
      <c r="AH37" s="19" t="e">
        <f t="shared" si="53"/>
        <v>#DIV/0!</v>
      </c>
      <c r="AI37" s="19">
        <f t="shared" si="54"/>
        <v>0</v>
      </c>
      <c r="AJ37" s="19" t="e">
        <f t="shared" si="55"/>
        <v>#DIV/0!</v>
      </c>
      <c r="AK37" s="19">
        <f t="shared" si="56"/>
        <v>0</v>
      </c>
      <c r="AL37" s="19" t="e">
        <f t="shared" si="57"/>
        <v>#DIV/0!</v>
      </c>
      <c r="AM37" s="19">
        <f t="shared" si="58"/>
        <v>0</v>
      </c>
      <c r="AN37" s="19" t="e">
        <f t="shared" si="59"/>
        <v>#DIV/0!</v>
      </c>
      <c r="AO37" s="19">
        <f t="shared" si="60"/>
        <v>0</v>
      </c>
      <c r="AP37" s="19" t="e">
        <f t="shared" si="61"/>
        <v>#DIV/0!</v>
      </c>
      <c r="AQ37" s="19">
        <f t="shared" si="62"/>
        <v>0</v>
      </c>
      <c r="AR37" s="19" t="e">
        <f t="shared" si="63"/>
        <v>#DIV/0!</v>
      </c>
      <c r="AS37" s="19">
        <f t="shared" si="64"/>
        <v>0</v>
      </c>
      <c r="AT37" s="19" t="e">
        <f t="shared" si="65"/>
        <v>#DIV/0!</v>
      </c>
      <c r="AU37" s="19">
        <f t="shared" si="66"/>
        <v>0</v>
      </c>
      <c r="AV37" s="19" t="e">
        <f t="shared" si="67"/>
        <v>#DIV/0!</v>
      </c>
      <c r="AW37" s="19">
        <f t="shared" si="68"/>
        <v>0</v>
      </c>
      <c r="AX37" s="19" t="e">
        <f t="shared" si="69"/>
        <v>#DIV/0!</v>
      </c>
      <c r="AY37" s="19">
        <f t="shared" si="70"/>
        <v>0</v>
      </c>
      <c r="AZ37" s="19" t="e">
        <f t="shared" si="71"/>
        <v>#DIV/0!</v>
      </c>
      <c r="BA37" s="19">
        <f t="shared" si="72"/>
        <v>0</v>
      </c>
      <c r="BB37" s="19" t="e">
        <f t="shared" si="73"/>
        <v>#DIV/0!</v>
      </c>
      <c r="BC37" s="19">
        <f t="shared" si="74"/>
        <v>0</v>
      </c>
      <c r="BD37" s="19" t="e">
        <f t="shared" si="75"/>
        <v>#DIV/0!</v>
      </c>
    </row>
    <row r="38" spans="1:56">
      <c r="A38" s="17">
        <v>12</v>
      </c>
      <c r="B38" s="18" t="s">
        <v>40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6"/>
      <c r="P38" s="17">
        <v>12</v>
      </c>
      <c r="Q38" s="18" t="s">
        <v>40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E38" s="17">
        <v>12</v>
      </c>
      <c r="AF38" s="18" t="s">
        <v>40</v>
      </c>
      <c r="AG38" s="19">
        <f t="shared" si="52"/>
        <v>0</v>
      </c>
      <c r="AH38" s="19" t="e">
        <f t="shared" si="53"/>
        <v>#DIV/0!</v>
      </c>
      <c r="AI38" s="19">
        <f t="shared" si="54"/>
        <v>0</v>
      </c>
      <c r="AJ38" s="19" t="e">
        <f t="shared" si="55"/>
        <v>#DIV/0!</v>
      </c>
      <c r="AK38" s="19">
        <f t="shared" si="56"/>
        <v>0</v>
      </c>
      <c r="AL38" s="19" t="e">
        <f t="shared" si="57"/>
        <v>#DIV/0!</v>
      </c>
      <c r="AM38" s="19">
        <f t="shared" si="58"/>
        <v>0</v>
      </c>
      <c r="AN38" s="19" t="e">
        <f t="shared" si="59"/>
        <v>#DIV/0!</v>
      </c>
      <c r="AO38" s="19">
        <f t="shared" si="60"/>
        <v>0</v>
      </c>
      <c r="AP38" s="19" t="e">
        <f t="shared" si="61"/>
        <v>#DIV/0!</v>
      </c>
      <c r="AQ38" s="19">
        <f t="shared" si="62"/>
        <v>0</v>
      </c>
      <c r="AR38" s="19" t="e">
        <f t="shared" si="63"/>
        <v>#DIV/0!</v>
      </c>
      <c r="AS38" s="19">
        <f t="shared" si="64"/>
        <v>0</v>
      </c>
      <c r="AT38" s="19" t="e">
        <f t="shared" si="65"/>
        <v>#DIV/0!</v>
      </c>
      <c r="AU38" s="19">
        <f t="shared" si="66"/>
        <v>0</v>
      </c>
      <c r="AV38" s="19" t="e">
        <f t="shared" si="67"/>
        <v>#DIV/0!</v>
      </c>
      <c r="AW38" s="19">
        <f t="shared" si="68"/>
        <v>0</v>
      </c>
      <c r="AX38" s="19" t="e">
        <f t="shared" si="69"/>
        <v>#DIV/0!</v>
      </c>
      <c r="AY38" s="19">
        <f t="shared" si="70"/>
        <v>0</v>
      </c>
      <c r="AZ38" s="19" t="e">
        <f t="shared" si="71"/>
        <v>#DIV/0!</v>
      </c>
      <c r="BA38" s="19">
        <f t="shared" si="72"/>
        <v>0</v>
      </c>
      <c r="BB38" s="19" t="e">
        <f t="shared" si="73"/>
        <v>#DIV/0!</v>
      </c>
      <c r="BC38" s="19">
        <f t="shared" si="74"/>
        <v>0</v>
      </c>
      <c r="BD38" s="19" t="e">
        <f t="shared" si="75"/>
        <v>#DIV/0!</v>
      </c>
    </row>
    <row r="39" spans="1:56">
      <c r="A39" s="17">
        <v>13</v>
      </c>
      <c r="B39" s="18" t="s">
        <v>42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6"/>
      <c r="P39" s="17">
        <v>13</v>
      </c>
      <c r="Q39" s="18" t="s">
        <v>42</v>
      </c>
      <c r="R39" s="19">
        <v>50675</v>
      </c>
      <c r="S39" s="19">
        <v>50675</v>
      </c>
      <c r="T39" s="19">
        <v>50675</v>
      </c>
      <c r="U39" s="19"/>
      <c r="V39" s="19"/>
      <c r="W39" s="19"/>
      <c r="X39" s="19"/>
      <c r="Y39" s="19"/>
      <c r="Z39" s="19"/>
      <c r="AA39" s="19"/>
      <c r="AB39" s="19"/>
      <c r="AC39" s="19"/>
      <c r="AE39" s="17">
        <v>13</v>
      </c>
      <c r="AF39" s="18" t="s">
        <v>42</v>
      </c>
      <c r="AG39" s="19">
        <f t="shared" si="52"/>
        <v>-50675</v>
      </c>
      <c r="AH39" s="19" t="e">
        <f t="shared" si="53"/>
        <v>#DIV/0!</v>
      </c>
      <c r="AI39" s="19">
        <f t="shared" si="54"/>
        <v>-50675</v>
      </c>
      <c r="AJ39" s="19" t="e">
        <f t="shared" si="55"/>
        <v>#DIV/0!</v>
      </c>
      <c r="AK39" s="19">
        <f t="shared" si="56"/>
        <v>-50675</v>
      </c>
      <c r="AL39" s="19" t="e">
        <f t="shared" si="57"/>
        <v>#DIV/0!</v>
      </c>
      <c r="AM39" s="19">
        <f t="shared" si="58"/>
        <v>0</v>
      </c>
      <c r="AN39" s="19" t="e">
        <f t="shared" si="59"/>
        <v>#DIV/0!</v>
      </c>
      <c r="AO39" s="19">
        <f t="shared" si="60"/>
        <v>0</v>
      </c>
      <c r="AP39" s="19" t="e">
        <f t="shared" si="61"/>
        <v>#DIV/0!</v>
      </c>
      <c r="AQ39" s="19">
        <f t="shared" si="62"/>
        <v>0</v>
      </c>
      <c r="AR39" s="19" t="e">
        <f t="shared" si="63"/>
        <v>#DIV/0!</v>
      </c>
      <c r="AS39" s="19">
        <f t="shared" si="64"/>
        <v>0</v>
      </c>
      <c r="AT39" s="19" t="e">
        <f t="shared" si="65"/>
        <v>#DIV/0!</v>
      </c>
      <c r="AU39" s="19">
        <f t="shared" si="66"/>
        <v>0</v>
      </c>
      <c r="AV39" s="19" t="e">
        <f t="shared" si="67"/>
        <v>#DIV/0!</v>
      </c>
      <c r="AW39" s="19">
        <f t="shared" si="68"/>
        <v>0</v>
      </c>
      <c r="AX39" s="19" t="e">
        <f t="shared" si="69"/>
        <v>#DIV/0!</v>
      </c>
      <c r="AY39" s="19">
        <f t="shared" si="70"/>
        <v>0</v>
      </c>
      <c r="AZ39" s="19" t="e">
        <f t="shared" si="71"/>
        <v>#DIV/0!</v>
      </c>
      <c r="BA39" s="19">
        <f t="shared" si="72"/>
        <v>0</v>
      </c>
      <c r="BB39" s="19" t="e">
        <f t="shared" si="73"/>
        <v>#DIV/0!</v>
      </c>
      <c r="BC39" s="19">
        <f t="shared" si="74"/>
        <v>0</v>
      </c>
      <c r="BD39" s="19" t="e">
        <f t="shared" si="75"/>
        <v>#DIV/0!</v>
      </c>
    </row>
    <row r="40" spans="1:56">
      <c r="A40" s="17">
        <v>14</v>
      </c>
      <c r="B40" s="18" t="s">
        <v>44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26"/>
      <c r="P40" s="17">
        <v>14</v>
      </c>
      <c r="Q40" s="18" t="s">
        <v>44</v>
      </c>
      <c r="R40" s="19">
        <v>372360</v>
      </c>
      <c r="S40" s="19">
        <v>372360</v>
      </c>
      <c r="T40" s="19">
        <v>372360</v>
      </c>
      <c r="U40" s="19"/>
      <c r="V40" s="19"/>
      <c r="W40" s="19"/>
      <c r="X40" s="19"/>
      <c r="Y40" s="19"/>
      <c r="Z40" s="19"/>
      <c r="AA40" s="19"/>
      <c r="AB40" s="19"/>
      <c r="AC40" s="19"/>
      <c r="AE40" s="17">
        <v>14</v>
      </c>
      <c r="AF40" s="18" t="s">
        <v>44</v>
      </c>
      <c r="AG40" s="19">
        <f t="shared" si="52"/>
        <v>-372360</v>
      </c>
      <c r="AH40" s="19" t="e">
        <f t="shared" si="53"/>
        <v>#DIV/0!</v>
      </c>
      <c r="AI40" s="19">
        <f t="shared" si="54"/>
        <v>-372360</v>
      </c>
      <c r="AJ40" s="19" t="e">
        <f t="shared" si="55"/>
        <v>#DIV/0!</v>
      </c>
      <c r="AK40" s="19">
        <f t="shared" si="56"/>
        <v>-372360</v>
      </c>
      <c r="AL40" s="19" t="e">
        <f t="shared" si="57"/>
        <v>#DIV/0!</v>
      </c>
      <c r="AM40" s="19">
        <f t="shared" si="58"/>
        <v>0</v>
      </c>
      <c r="AN40" s="19" t="e">
        <f t="shared" si="59"/>
        <v>#DIV/0!</v>
      </c>
      <c r="AO40" s="19">
        <f t="shared" si="60"/>
        <v>0</v>
      </c>
      <c r="AP40" s="19" t="e">
        <f t="shared" si="61"/>
        <v>#DIV/0!</v>
      </c>
      <c r="AQ40" s="19">
        <f t="shared" si="62"/>
        <v>0</v>
      </c>
      <c r="AR40" s="19" t="e">
        <f t="shared" si="63"/>
        <v>#DIV/0!</v>
      </c>
      <c r="AS40" s="19">
        <f t="shared" si="64"/>
        <v>0</v>
      </c>
      <c r="AT40" s="19" t="e">
        <f t="shared" si="65"/>
        <v>#DIV/0!</v>
      </c>
      <c r="AU40" s="19">
        <f t="shared" si="66"/>
        <v>0</v>
      </c>
      <c r="AV40" s="19" t="e">
        <f t="shared" si="67"/>
        <v>#DIV/0!</v>
      </c>
      <c r="AW40" s="19">
        <f t="shared" si="68"/>
        <v>0</v>
      </c>
      <c r="AX40" s="19" t="e">
        <f t="shared" si="69"/>
        <v>#DIV/0!</v>
      </c>
      <c r="AY40" s="19">
        <f t="shared" si="70"/>
        <v>0</v>
      </c>
      <c r="AZ40" s="19" t="e">
        <f t="shared" si="71"/>
        <v>#DIV/0!</v>
      </c>
      <c r="BA40" s="19">
        <f t="shared" si="72"/>
        <v>0</v>
      </c>
      <c r="BB40" s="19" t="e">
        <f t="shared" si="73"/>
        <v>#DIV/0!</v>
      </c>
      <c r="BC40" s="19">
        <f t="shared" si="74"/>
        <v>0</v>
      </c>
      <c r="BD40" s="19" t="e">
        <f t="shared" si="75"/>
        <v>#DIV/0!</v>
      </c>
    </row>
    <row r="41" spans="1:56" ht="25.2" thickBot="1">
      <c r="A41" s="17"/>
      <c r="B41" s="20" t="s">
        <v>17</v>
      </c>
      <c r="C41" s="27">
        <f>SUM(C27:C40)</f>
        <v>7636207</v>
      </c>
      <c r="D41" s="27">
        <f t="shared" ref="D41:N41" si="76">SUM(D27:D40)</f>
        <v>7636207</v>
      </c>
      <c r="E41" s="27">
        <f t="shared" si="76"/>
        <v>7636207</v>
      </c>
      <c r="F41" s="27">
        <f t="shared" si="76"/>
        <v>0</v>
      </c>
      <c r="G41" s="27">
        <f t="shared" si="76"/>
        <v>0</v>
      </c>
      <c r="H41" s="27">
        <f t="shared" si="76"/>
        <v>0</v>
      </c>
      <c r="I41" s="27">
        <f t="shared" si="76"/>
        <v>0</v>
      </c>
      <c r="J41" s="27">
        <f t="shared" si="76"/>
        <v>0</v>
      </c>
      <c r="K41" s="27">
        <f t="shared" si="76"/>
        <v>0</v>
      </c>
      <c r="L41" s="27">
        <f t="shared" si="76"/>
        <v>0</v>
      </c>
      <c r="M41" s="27">
        <f t="shared" si="76"/>
        <v>0</v>
      </c>
      <c r="N41" s="27">
        <f t="shared" si="76"/>
        <v>0</v>
      </c>
      <c r="P41" s="17"/>
      <c r="Q41" s="20" t="s">
        <v>17</v>
      </c>
      <c r="R41" s="27">
        <f>SUM(R27:R40)</f>
        <v>21636061.780000001</v>
      </c>
      <c r="S41" s="27">
        <f t="shared" ref="S41:AC41" si="77">SUM(S27:S40)</f>
        <v>21636061.780000001</v>
      </c>
      <c r="T41" s="27">
        <f t="shared" si="77"/>
        <v>21636061.780000001</v>
      </c>
      <c r="U41" s="27">
        <f t="shared" si="77"/>
        <v>0</v>
      </c>
      <c r="V41" s="27">
        <f t="shared" si="77"/>
        <v>0</v>
      </c>
      <c r="W41" s="27">
        <f t="shared" si="77"/>
        <v>0</v>
      </c>
      <c r="X41" s="27">
        <f t="shared" si="77"/>
        <v>0</v>
      </c>
      <c r="Y41" s="27">
        <f t="shared" si="77"/>
        <v>0</v>
      </c>
      <c r="Z41" s="27">
        <f t="shared" si="77"/>
        <v>0</v>
      </c>
      <c r="AA41" s="27">
        <f t="shared" si="77"/>
        <v>0</v>
      </c>
      <c r="AB41" s="27">
        <f t="shared" si="77"/>
        <v>0</v>
      </c>
      <c r="AC41" s="27">
        <f t="shared" si="77"/>
        <v>0</v>
      </c>
      <c r="AE41" s="17"/>
      <c r="AF41" s="20" t="s">
        <v>17</v>
      </c>
      <c r="AG41" s="23">
        <f t="shared" si="52"/>
        <v>-13999854.780000001</v>
      </c>
      <c r="AH41" s="23">
        <f t="shared" si="53"/>
        <v>-183.335192196859</v>
      </c>
      <c r="AI41" s="23">
        <f t="shared" si="54"/>
        <v>-13999854.780000001</v>
      </c>
      <c r="AJ41" s="23">
        <f t="shared" si="55"/>
        <v>-183.335192196859</v>
      </c>
      <c r="AK41" s="23">
        <f t="shared" si="56"/>
        <v>-13999854.780000001</v>
      </c>
      <c r="AL41" s="23">
        <f t="shared" si="57"/>
        <v>-183.335192196859</v>
      </c>
      <c r="AM41" s="23">
        <f t="shared" si="58"/>
        <v>0</v>
      </c>
      <c r="AN41" s="23" t="e">
        <f t="shared" si="59"/>
        <v>#DIV/0!</v>
      </c>
      <c r="AO41" s="23">
        <f t="shared" si="60"/>
        <v>0</v>
      </c>
      <c r="AP41" s="23" t="e">
        <f t="shared" si="61"/>
        <v>#DIV/0!</v>
      </c>
      <c r="AQ41" s="23">
        <f t="shared" si="62"/>
        <v>0</v>
      </c>
      <c r="AR41" s="23" t="e">
        <f t="shared" si="63"/>
        <v>#DIV/0!</v>
      </c>
      <c r="AS41" s="23">
        <f t="shared" si="64"/>
        <v>0</v>
      </c>
      <c r="AT41" s="23" t="e">
        <f t="shared" si="65"/>
        <v>#DIV/0!</v>
      </c>
      <c r="AU41" s="23">
        <f t="shared" si="66"/>
        <v>0</v>
      </c>
      <c r="AV41" s="23" t="e">
        <f t="shared" si="67"/>
        <v>#DIV/0!</v>
      </c>
      <c r="AW41" s="23">
        <f t="shared" si="68"/>
        <v>0</v>
      </c>
      <c r="AX41" s="23" t="e">
        <f t="shared" si="69"/>
        <v>#DIV/0!</v>
      </c>
      <c r="AY41" s="23">
        <f t="shared" si="70"/>
        <v>0</v>
      </c>
      <c r="AZ41" s="23" t="e">
        <f t="shared" si="71"/>
        <v>#DIV/0!</v>
      </c>
      <c r="BA41" s="23">
        <f t="shared" si="72"/>
        <v>0</v>
      </c>
      <c r="BB41" s="23" t="e">
        <f t="shared" si="73"/>
        <v>#DIV/0!</v>
      </c>
      <c r="BC41" s="23">
        <f t="shared" si="74"/>
        <v>0</v>
      </c>
      <c r="BD41" s="23" t="e">
        <f t="shared" si="75"/>
        <v>#DIV/0!</v>
      </c>
    </row>
    <row r="42" spans="1:56" ht="25.2" thickTop="1"/>
    <row r="43" spans="1:56">
      <c r="A43" s="37" t="s">
        <v>48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P43" s="37" t="s">
        <v>52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E43" s="37" t="s">
        <v>89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1:56">
      <c r="A44" s="37" t="s">
        <v>1952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P44" s="37" t="s">
        <v>1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E44" s="37" t="s">
        <v>1</v>
      </c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</row>
    <row r="45" spans="1:56" s="15" customFormat="1">
      <c r="A45" s="35" t="s">
        <v>2</v>
      </c>
      <c r="B45" s="35" t="s">
        <v>3</v>
      </c>
      <c r="C45" s="38" t="s">
        <v>4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P45" s="35" t="s">
        <v>2</v>
      </c>
      <c r="Q45" s="35" t="s">
        <v>3</v>
      </c>
      <c r="R45" s="38" t="s">
        <v>5</v>
      </c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40"/>
      <c r="AE45" s="35" t="s">
        <v>2</v>
      </c>
      <c r="AF45" s="35" t="s">
        <v>3</v>
      </c>
      <c r="AG45" s="33">
        <v>25112</v>
      </c>
      <c r="AH45" s="34"/>
      <c r="AI45" s="33">
        <v>25143</v>
      </c>
      <c r="AJ45" s="34"/>
      <c r="AK45" s="33">
        <v>25173</v>
      </c>
      <c r="AL45" s="34"/>
      <c r="AM45" s="33">
        <v>25204</v>
      </c>
      <c r="AN45" s="34"/>
      <c r="AO45" s="33">
        <v>25235</v>
      </c>
      <c r="AP45" s="34"/>
      <c r="AQ45" s="33">
        <v>25263</v>
      </c>
      <c r="AR45" s="34"/>
      <c r="AS45" s="33">
        <v>25294</v>
      </c>
      <c r="AT45" s="34"/>
      <c r="AU45" s="33">
        <v>25324</v>
      </c>
      <c r="AV45" s="34"/>
      <c r="AW45" s="33">
        <v>25355</v>
      </c>
      <c r="AX45" s="34"/>
      <c r="AY45" s="33">
        <v>25385</v>
      </c>
      <c r="AZ45" s="34"/>
      <c r="BA45" s="33">
        <v>25416</v>
      </c>
      <c r="BB45" s="34"/>
      <c r="BC45" s="33">
        <v>25447</v>
      </c>
      <c r="BD45" s="34"/>
    </row>
    <row r="46" spans="1:56" s="15" customFormat="1">
      <c r="A46" s="36"/>
      <c r="B46" s="36"/>
      <c r="C46" s="16">
        <v>25112</v>
      </c>
      <c r="D46" s="16">
        <v>25143</v>
      </c>
      <c r="E46" s="16">
        <v>25173</v>
      </c>
      <c r="F46" s="16">
        <v>25204</v>
      </c>
      <c r="G46" s="16">
        <v>25235</v>
      </c>
      <c r="H46" s="16">
        <v>25263</v>
      </c>
      <c r="I46" s="16">
        <v>25294</v>
      </c>
      <c r="J46" s="16">
        <v>25324</v>
      </c>
      <c r="K46" s="16">
        <v>25355</v>
      </c>
      <c r="L46" s="16">
        <v>25385</v>
      </c>
      <c r="M46" s="16">
        <v>25416</v>
      </c>
      <c r="N46" s="16">
        <v>25447</v>
      </c>
      <c r="P46" s="36"/>
      <c r="Q46" s="36"/>
      <c r="R46" s="16">
        <v>25112</v>
      </c>
      <c r="S46" s="16">
        <v>25143</v>
      </c>
      <c r="T46" s="16">
        <v>25173</v>
      </c>
      <c r="U46" s="16">
        <v>25204</v>
      </c>
      <c r="V46" s="16">
        <v>25235</v>
      </c>
      <c r="W46" s="16">
        <v>25263</v>
      </c>
      <c r="X46" s="16">
        <v>25294</v>
      </c>
      <c r="Y46" s="16">
        <v>25324</v>
      </c>
      <c r="Z46" s="16">
        <v>25355</v>
      </c>
      <c r="AA46" s="16">
        <v>25385</v>
      </c>
      <c r="AB46" s="16">
        <v>25416</v>
      </c>
      <c r="AC46" s="16">
        <v>25447</v>
      </c>
      <c r="AE46" s="36"/>
      <c r="AF46" s="36"/>
      <c r="AG46" s="16" t="s">
        <v>85</v>
      </c>
      <c r="AH46" s="16" t="s">
        <v>86</v>
      </c>
      <c r="AI46" s="16" t="s">
        <v>85</v>
      </c>
      <c r="AJ46" s="16" t="s">
        <v>86</v>
      </c>
      <c r="AK46" s="16" t="s">
        <v>85</v>
      </c>
      <c r="AL46" s="16" t="s">
        <v>86</v>
      </c>
      <c r="AM46" s="16" t="s">
        <v>85</v>
      </c>
      <c r="AN46" s="16" t="s">
        <v>86</v>
      </c>
      <c r="AO46" s="16" t="s">
        <v>85</v>
      </c>
      <c r="AP46" s="16" t="s">
        <v>86</v>
      </c>
      <c r="AQ46" s="16" t="s">
        <v>85</v>
      </c>
      <c r="AR46" s="16" t="s">
        <v>86</v>
      </c>
      <c r="AS46" s="16" t="s">
        <v>85</v>
      </c>
      <c r="AT46" s="16" t="s">
        <v>86</v>
      </c>
      <c r="AU46" s="16" t="s">
        <v>85</v>
      </c>
      <c r="AV46" s="16" t="s">
        <v>86</v>
      </c>
      <c r="AW46" s="16" t="s">
        <v>85</v>
      </c>
      <c r="AX46" s="16" t="s">
        <v>86</v>
      </c>
      <c r="AY46" s="16" t="s">
        <v>85</v>
      </c>
      <c r="AZ46" s="16" t="s">
        <v>86</v>
      </c>
      <c r="BA46" s="16" t="s">
        <v>85</v>
      </c>
      <c r="BB46" s="16" t="s">
        <v>86</v>
      </c>
      <c r="BC46" s="16" t="s">
        <v>85</v>
      </c>
      <c r="BD46" s="16" t="s">
        <v>86</v>
      </c>
    </row>
    <row r="47" spans="1:56">
      <c r="A47" s="17">
        <v>1</v>
      </c>
      <c r="B47" s="18" t="s">
        <v>19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P47" s="17">
        <v>1</v>
      </c>
      <c r="Q47" s="18" t="s">
        <v>19</v>
      </c>
      <c r="R47" s="19">
        <v>1759099</v>
      </c>
      <c r="S47" s="19">
        <v>1759099</v>
      </c>
      <c r="T47" s="19">
        <v>1759099</v>
      </c>
      <c r="U47" s="19"/>
      <c r="V47" s="19"/>
      <c r="W47" s="19"/>
      <c r="X47" s="19"/>
      <c r="Y47" s="19"/>
      <c r="Z47" s="19"/>
      <c r="AA47" s="19"/>
      <c r="AB47" s="19"/>
      <c r="AC47" s="19"/>
      <c r="AE47" s="17">
        <v>1</v>
      </c>
      <c r="AF47" s="18" t="s">
        <v>19</v>
      </c>
      <c r="AG47" s="19">
        <f t="shared" ref="AG47:AG61" si="78">+C47-R47</f>
        <v>-1759099</v>
      </c>
      <c r="AH47" s="19" t="e">
        <f t="shared" ref="AH47:AH61" si="79">+AG47/C47*100</f>
        <v>#DIV/0!</v>
      </c>
      <c r="AI47" s="19">
        <f t="shared" ref="AI47:AI61" si="80">+D47-S47</f>
        <v>-1759099</v>
      </c>
      <c r="AJ47" s="19" t="e">
        <f t="shared" ref="AJ47:AJ61" si="81">+AI47/D47*100</f>
        <v>#DIV/0!</v>
      </c>
      <c r="AK47" s="19">
        <f t="shared" ref="AK47:AK61" si="82">+E47-T47</f>
        <v>-1759099</v>
      </c>
      <c r="AL47" s="19" t="e">
        <f t="shared" ref="AL47:AL61" si="83">+AK47/E47*100</f>
        <v>#DIV/0!</v>
      </c>
      <c r="AM47" s="19">
        <f t="shared" ref="AM47:AM61" si="84">+F47-U47</f>
        <v>0</v>
      </c>
      <c r="AN47" s="19" t="e">
        <f t="shared" ref="AN47:AN61" si="85">+AM47/F47*100</f>
        <v>#DIV/0!</v>
      </c>
      <c r="AO47" s="19">
        <f t="shared" ref="AO47:AO61" si="86">+G47-V47</f>
        <v>0</v>
      </c>
      <c r="AP47" s="19" t="e">
        <f t="shared" ref="AP47:AP61" si="87">+AO47/G47*100</f>
        <v>#DIV/0!</v>
      </c>
      <c r="AQ47" s="19">
        <f t="shared" ref="AQ47:AQ61" si="88">+H47-W47</f>
        <v>0</v>
      </c>
      <c r="AR47" s="19" t="e">
        <f t="shared" ref="AR47:AR61" si="89">+AQ47/H47*100</f>
        <v>#DIV/0!</v>
      </c>
      <c r="AS47" s="19">
        <f t="shared" ref="AS47:AS61" si="90">+I47-X47</f>
        <v>0</v>
      </c>
      <c r="AT47" s="19" t="e">
        <f t="shared" ref="AT47:AT61" si="91">+AS47/I47*100</f>
        <v>#DIV/0!</v>
      </c>
      <c r="AU47" s="19">
        <f t="shared" ref="AU47:AU61" si="92">+J47-Y47</f>
        <v>0</v>
      </c>
      <c r="AV47" s="19" t="e">
        <f t="shared" ref="AV47:AV61" si="93">+AU47/J47*100</f>
        <v>#DIV/0!</v>
      </c>
      <c r="AW47" s="19">
        <f t="shared" ref="AW47:AW61" si="94">+K47-Z47</f>
        <v>0</v>
      </c>
      <c r="AX47" s="19" t="e">
        <f t="shared" ref="AX47:AX61" si="95">+AW47/K47*100</f>
        <v>#DIV/0!</v>
      </c>
      <c r="AY47" s="19">
        <f t="shared" ref="AY47:AY61" si="96">+L47-AA47</f>
        <v>0</v>
      </c>
      <c r="AZ47" s="19" t="e">
        <f t="shared" ref="AZ47:AZ61" si="97">+AY47/L47*100</f>
        <v>#DIV/0!</v>
      </c>
      <c r="BA47" s="19">
        <f t="shared" ref="BA47:BA61" si="98">+M47-AB47</f>
        <v>0</v>
      </c>
      <c r="BB47" s="19" t="e">
        <f t="shared" ref="BB47:BB61" si="99">+BA47/M47*100</f>
        <v>#DIV/0!</v>
      </c>
      <c r="BC47" s="19">
        <f t="shared" ref="BC47:BC61" si="100">+N47-AC47</f>
        <v>0</v>
      </c>
      <c r="BD47" s="19" t="e">
        <f t="shared" ref="BD47:BD61" si="101">+BC47/N47*100</f>
        <v>#DIV/0!</v>
      </c>
    </row>
    <row r="48" spans="1:56">
      <c r="A48" s="17">
        <v>2</v>
      </c>
      <c r="B48" s="18" t="s">
        <v>21</v>
      </c>
      <c r="C48" s="19">
        <v>3031985.37</v>
      </c>
      <c r="D48" s="19">
        <v>3066524.84</v>
      </c>
      <c r="E48" s="19">
        <v>3099912</v>
      </c>
      <c r="F48" s="19"/>
      <c r="G48" s="19"/>
      <c r="H48" s="19"/>
      <c r="I48" s="19"/>
      <c r="J48" s="19"/>
      <c r="K48" s="19"/>
      <c r="L48" s="19"/>
      <c r="M48" s="19"/>
      <c r="N48" s="19"/>
      <c r="P48" s="17">
        <v>2</v>
      </c>
      <c r="Q48" s="18" t="s">
        <v>21</v>
      </c>
      <c r="R48" s="19">
        <v>5250210</v>
      </c>
      <c r="S48" s="19">
        <v>5250210</v>
      </c>
      <c r="T48" s="19">
        <v>5250210</v>
      </c>
      <c r="U48" s="19"/>
      <c r="V48" s="19"/>
      <c r="W48" s="19"/>
      <c r="X48" s="19"/>
      <c r="Y48" s="19"/>
      <c r="Z48" s="19"/>
      <c r="AA48" s="19"/>
      <c r="AB48" s="19"/>
      <c r="AC48" s="19"/>
      <c r="AE48" s="17">
        <v>2</v>
      </c>
      <c r="AF48" s="18" t="s">
        <v>21</v>
      </c>
      <c r="AG48" s="19">
        <f t="shared" si="78"/>
        <v>-2218224.63</v>
      </c>
      <c r="AH48" s="19">
        <f t="shared" si="79"/>
        <v>-73.160795957270722</v>
      </c>
      <c r="AI48" s="19">
        <f t="shared" si="80"/>
        <v>-2183685.16</v>
      </c>
      <c r="AJ48" s="19">
        <f t="shared" si="81"/>
        <v>-71.210418109641012</v>
      </c>
      <c r="AK48" s="19">
        <f t="shared" si="82"/>
        <v>-2150298</v>
      </c>
      <c r="AL48" s="19">
        <f t="shared" si="83"/>
        <v>-69.366420724201205</v>
      </c>
      <c r="AM48" s="19">
        <f t="shared" si="84"/>
        <v>0</v>
      </c>
      <c r="AN48" s="19" t="e">
        <f t="shared" si="85"/>
        <v>#DIV/0!</v>
      </c>
      <c r="AO48" s="19">
        <f t="shared" si="86"/>
        <v>0</v>
      </c>
      <c r="AP48" s="19" t="e">
        <f t="shared" si="87"/>
        <v>#DIV/0!</v>
      </c>
      <c r="AQ48" s="19">
        <f t="shared" si="88"/>
        <v>0</v>
      </c>
      <c r="AR48" s="19" t="e">
        <f t="shared" si="89"/>
        <v>#DIV/0!</v>
      </c>
      <c r="AS48" s="19">
        <f t="shared" si="90"/>
        <v>0</v>
      </c>
      <c r="AT48" s="19" t="e">
        <f t="shared" si="91"/>
        <v>#DIV/0!</v>
      </c>
      <c r="AU48" s="19">
        <f t="shared" si="92"/>
        <v>0</v>
      </c>
      <c r="AV48" s="19" t="e">
        <f t="shared" si="93"/>
        <v>#DIV/0!</v>
      </c>
      <c r="AW48" s="19">
        <f t="shared" si="94"/>
        <v>0</v>
      </c>
      <c r="AX48" s="19" t="e">
        <f t="shared" si="95"/>
        <v>#DIV/0!</v>
      </c>
      <c r="AY48" s="19">
        <f t="shared" si="96"/>
        <v>0</v>
      </c>
      <c r="AZ48" s="19" t="e">
        <f t="shared" si="97"/>
        <v>#DIV/0!</v>
      </c>
      <c r="BA48" s="19">
        <f t="shared" si="98"/>
        <v>0</v>
      </c>
      <c r="BB48" s="19" t="e">
        <f t="shared" si="99"/>
        <v>#DIV/0!</v>
      </c>
      <c r="BC48" s="19">
        <f t="shared" si="100"/>
        <v>0</v>
      </c>
      <c r="BD48" s="19" t="e">
        <f t="shared" si="101"/>
        <v>#DIV/0!</v>
      </c>
    </row>
    <row r="49" spans="1:56">
      <c r="A49" s="17">
        <v>3</v>
      </c>
      <c r="B49" s="18" t="s">
        <v>23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P49" s="17">
        <v>3</v>
      </c>
      <c r="Q49" s="18" t="s">
        <v>23</v>
      </c>
      <c r="R49" s="19">
        <v>892276.5</v>
      </c>
      <c r="S49" s="19">
        <v>892276.5</v>
      </c>
      <c r="T49" s="19">
        <v>892276.5</v>
      </c>
      <c r="U49" s="19"/>
      <c r="V49" s="19"/>
      <c r="W49" s="19"/>
      <c r="X49" s="19"/>
      <c r="Y49" s="19"/>
      <c r="Z49" s="19"/>
      <c r="AA49" s="19"/>
      <c r="AB49" s="19"/>
      <c r="AC49" s="19"/>
      <c r="AE49" s="17">
        <v>3</v>
      </c>
      <c r="AF49" s="18" t="s">
        <v>23</v>
      </c>
      <c r="AG49" s="19">
        <f t="shared" si="78"/>
        <v>-892276.5</v>
      </c>
      <c r="AH49" s="19" t="e">
        <f t="shared" si="79"/>
        <v>#DIV/0!</v>
      </c>
      <c r="AI49" s="19">
        <f t="shared" si="80"/>
        <v>-892276.5</v>
      </c>
      <c r="AJ49" s="19" t="e">
        <f t="shared" si="81"/>
        <v>#DIV/0!</v>
      </c>
      <c r="AK49" s="19">
        <f t="shared" si="82"/>
        <v>-892276.5</v>
      </c>
      <c r="AL49" s="19" t="e">
        <f t="shared" si="83"/>
        <v>#DIV/0!</v>
      </c>
      <c r="AM49" s="19">
        <f t="shared" si="84"/>
        <v>0</v>
      </c>
      <c r="AN49" s="19" t="e">
        <f t="shared" si="85"/>
        <v>#DIV/0!</v>
      </c>
      <c r="AO49" s="19">
        <f t="shared" si="86"/>
        <v>0</v>
      </c>
      <c r="AP49" s="19" t="e">
        <f t="shared" si="87"/>
        <v>#DIV/0!</v>
      </c>
      <c r="AQ49" s="19">
        <f t="shared" si="88"/>
        <v>0</v>
      </c>
      <c r="AR49" s="19" t="e">
        <f t="shared" si="89"/>
        <v>#DIV/0!</v>
      </c>
      <c r="AS49" s="19">
        <f t="shared" si="90"/>
        <v>0</v>
      </c>
      <c r="AT49" s="19" t="e">
        <f t="shared" si="91"/>
        <v>#DIV/0!</v>
      </c>
      <c r="AU49" s="19">
        <f t="shared" si="92"/>
        <v>0</v>
      </c>
      <c r="AV49" s="19" t="e">
        <f t="shared" si="93"/>
        <v>#DIV/0!</v>
      </c>
      <c r="AW49" s="19">
        <f t="shared" si="94"/>
        <v>0</v>
      </c>
      <c r="AX49" s="19" t="e">
        <f t="shared" si="95"/>
        <v>#DIV/0!</v>
      </c>
      <c r="AY49" s="19">
        <f t="shared" si="96"/>
        <v>0</v>
      </c>
      <c r="AZ49" s="19" t="e">
        <f t="shared" si="97"/>
        <v>#DIV/0!</v>
      </c>
      <c r="BA49" s="19">
        <f t="shared" si="98"/>
        <v>0</v>
      </c>
      <c r="BB49" s="19" t="e">
        <f t="shared" si="99"/>
        <v>#DIV/0!</v>
      </c>
      <c r="BC49" s="19">
        <f t="shared" si="100"/>
        <v>0</v>
      </c>
      <c r="BD49" s="19" t="e">
        <f t="shared" si="101"/>
        <v>#DIV/0!</v>
      </c>
    </row>
    <row r="50" spans="1:56">
      <c r="A50" s="17">
        <v>4</v>
      </c>
      <c r="B50" s="18" t="s">
        <v>25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P50" s="17">
        <v>4</v>
      </c>
      <c r="Q50" s="18" t="s">
        <v>25</v>
      </c>
      <c r="R50" s="19">
        <v>117537</v>
      </c>
      <c r="S50" s="19">
        <v>117537</v>
      </c>
      <c r="T50" s="19">
        <v>117537</v>
      </c>
      <c r="U50" s="19"/>
      <c r="V50" s="19"/>
      <c r="W50" s="19"/>
      <c r="X50" s="19"/>
      <c r="Y50" s="19"/>
      <c r="Z50" s="19"/>
      <c r="AA50" s="19"/>
      <c r="AB50" s="19"/>
      <c r="AC50" s="19"/>
      <c r="AE50" s="17">
        <v>4</v>
      </c>
      <c r="AF50" s="18" t="s">
        <v>25</v>
      </c>
      <c r="AG50" s="19">
        <f t="shared" si="78"/>
        <v>-117537</v>
      </c>
      <c r="AH50" s="19" t="e">
        <f t="shared" si="79"/>
        <v>#DIV/0!</v>
      </c>
      <c r="AI50" s="19">
        <f t="shared" si="80"/>
        <v>-117537</v>
      </c>
      <c r="AJ50" s="19" t="e">
        <f t="shared" si="81"/>
        <v>#DIV/0!</v>
      </c>
      <c r="AK50" s="19">
        <f t="shared" si="82"/>
        <v>-117537</v>
      </c>
      <c r="AL50" s="19" t="e">
        <f t="shared" si="83"/>
        <v>#DIV/0!</v>
      </c>
      <c r="AM50" s="19">
        <f t="shared" si="84"/>
        <v>0</v>
      </c>
      <c r="AN50" s="19" t="e">
        <f t="shared" si="85"/>
        <v>#DIV/0!</v>
      </c>
      <c r="AO50" s="19">
        <f t="shared" si="86"/>
        <v>0</v>
      </c>
      <c r="AP50" s="19" t="e">
        <f t="shared" si="87"/>
        <v>#DIV/0!</v>
      </c>
      <c r="AQ50" s="19">
        <f t="shared" si="88"/>
        <v>0</v>
      </c>
      <c r="AR50" s="19" t="e">
        <f t="shared" si="89"/>
        <v>#DIV/0!</v>
      </c>
      <c r="AS50" s="19">
        <f t="shared" si="90"/>
        <v>0</v>
      </c>
      <c r="AT50" s="19" t="e">
        <f t="shared" si="91"/>
        <v>#DIV/0!</v>
      </c>
      <c r="AU50" s="19">
        <f t="shared" si="92"/>
        <v>0</v>
      </c>
      <c r="AV50" s="19" t="e">
        <f t="shared" si="93"/>
        <v>#DIV/0!</v>
      </c>
      <c r="AW50" s="19">
        <f t="shared" si="94"/>
        <v>0</v>
      </c>
      <c r="AX50" s="19" t="e">
        <f t="shared" si="95"/>
        <v>#DIV/0!</v>
      </c>
      <c r="AY50" s="19">
        <f t="shared" si="96"/>
        <v>0</v>
      </c>
      <c r="AZ50" s="19" t="e">
        <f t="shared" si="97"/>
        <v>#DIV/0!</v>
      </c>
      <c r="BA50" s="19">
        <f t="shared" si="98"/>
        <v>0</v>
      </c>
      <c r="BB50" s="19" t="e">
        <f t="shared" si="99"/>
        <v>#DIV/0!</v>
      </c>
      <c r="BC50" s="19">
        <f t="shared" si="100"/>
        <v>0</v>
      </c>
      <c r="BD50" s="19" t="e">
        <f t="shared" si="101"/>
        <v>#DIV/0!</v>
      </c>
    </row>
    <row r="51" spans="1:56">
      <c r="A51" s="17">
        <v>5</v>
      </c>
      <c r="B51" s="18" t="s">
        <v>27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P51" s="17">
        <v>5</v>
      </c>
      <c r="Q51" s="18" t="s">
        <v>27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E51" s="17">
        <v>5</v>
      </c>
      <c r="AF51" s="18" t="s">
        <v>27</v>
      </c>
      <c r="AG51" s="19">
        <f t="shared" si="78"/>
        <v>0</v>
      </c>
      <c r="AH51" s="19" t="e">
        <f t="shared" si="79"/>
        <v>#DIV/0!</v>
      </c>
      <c r="AI51" s="19">
        <f t="shared" si="80"/>
        <v>0</v>
      </c>
      <c r="AJ51" s="19" t="e">
        <f t="shared" si="81"/>
        <v>#DIV/0!</v>
      </c>
      <c r="AK51" s="19">
        <f t="shared" si="82"/>
        <v>0</v>
      </c>
      <c r="AL51" s="19" t="e">
        <f t="shared" si="83"/>
        <v>#DIV/0!</v>
      </c>
      <c r="AM51" s="19">
        <f t="shared" si="84"/>
        <v>0</v>
      </c>
      <c r="AN51" s="19" t="e">
        <f t="shared" si="85"/>
        <v>#DIV/0!</v>
      </c>
      <c r="AO51" s="19">
        <f t="shared" si="86"/>
        <v>0</v>
      </c>
      <c r="AP51" s="19" t="e">
        <f t="shared" si="87"/>
        <v>#DIV/0!</v>
      </c>
      <c r="AQ51" s="19">
        <f t="shared" si="88"/>
        <v>0</v>
      </c>
      <c r="AR51" s="19" t="e">
        <f t="shared" si="89"/>
        <v>#DIV/0!</v>
      </c>
      <c r="AS51" s="19">
        <f t="shared" si="90"/>
        <v>0</v>
      </c>
      <c r="AT51" s="19" t="e">
        <f t="shared" si="91"/>
        <v>#DIV/0!</v>
      </c>
      <c r="AU51" s="19">
        <f t="shared" si="92"/>
        <v>0</v>
      </c>
      <c r="AV51" s="19" t="e">
        <f t="shared" si="93"/>
        <v>#DIV/0!</v>
      </c>
      <c r="AW51" s="19">
        <f t="shared" si="94"/>
        <v>0</v>
      </c>
      <c r="AX51" s="19" t="e">
        <f t="shared" si="95"/>
        <v>#DIV/0!</v>
      </c>
      <c r="AY51" s="19">
        <f t="shared" si="96"/>
        <v>0</v>
      </c>
      <c r="AZ51" s="19" t="e">
        <f t="shared" si="97"/>
        <v>#DIV/0!</v>
      </c>
      <c r="BA51" s="19">
        <f t="shared" si="98"/>
        <v>0</v>
      </c>
      <c r="BB51" s="19" t="e">
        <f t="shared" si="99"/>
        <v>#DIV/0!</v>
      </c>
      <c r="BC51" s="19">
        <f t="shared" si="100"/>
        <v>0</v>
      </c>
      <c r="BD51" s="19" t="e">
        <f t="shared" si="101"/>
        <v>#DIV/0!</v>
      </c>
    </row>
    <row r="52" spans="1:56">
      <c r="A52" s="17">
        <v>6</v>
      </c>
      <c r="B52" s="18" t="s">
        <v>29</v>
      </c>
      <c r="C52" s="19">
        <v>2118132.5099999998</v>
      </c>
      <c r="D52" s="19">
        <v>2192702.02</v>
      </c>
      <c r="E52" s="19">
        <v>2269757.16</v>
      </c>
      <c r="F52" s="19"/>
      <c r="G52" s="19"/>
      <c r="H52" s="19"/>
      <c r="I52" s="19"/>
      <c r="J52" s="19"/>
      <c r="K52" s="19"/>
      <c r="L52" s="19"/>
      <c r="M52" s="19"/>
      <c r="N52" s="19"/>
      <c r="P52" s="17">
        <v>6</v>
      </c>
      <c r="Q52" s="18" t="s">
        <v>29</v>
      </c>
      <c r="R52" s="19">
        <v>8565854.5199999996</v>
      </c>
      <c r="S52" s="19">
        <v>8625165.3300000001</v>
      </c>
      <c r="T52" s="19">
        <v>8684476.1400000006</v>
      </c>
      <c r="U52" s="19"/>
      <c r="V52" s="19"/>
      <c r="W52" s="19"/>
      <c r="X52" s="19"/>
      <c r="Y52" s="19"/>
      <c r="Z52" s="19"/>
      <c r="AA52" s="19"/>
      <c r="AB52" s="19"/>
      <c r="AC52" s="19"/>
      <c r="AE52" s="17">
        <v>6</v>
      </c>
      <c r="AF52" s="18" t="s">
        <v>29</v>
      </c>
      <c r="AG52" s="19">
        <f t="shared" si="78"/>
        <v>-6447722.0099999998</v>
      </c>
      <c r="AH52" s="19">
        <f t="shared" si="79"/>
        <v>-304.40597930296633</v>
      </c>
      <c r="AI52" s="19">
        <f t="shared" si="80"/>
        <v>-6432463.3100000005</v>
      </c>
      <c r="AJ52" s="19">
        <f t="shared" si="81"/>
        <v>-293.35784120817294</v>
      </c>
      <c r="AK52" s="19">
        <f t="shared" si="82"/>
        <v>-6414718.9800000004</v>
      </c>
      <c r="AL52" s="19">
        <f t="shared" si="83"/>
        <v>-282.61697299811578</v>
      </c>
      <c r="AM52" s="19">
        <f t="shared" si="84"/>
        <v>0</v>
      </c>
      <c r="AN52" s="19" t="e">
        <f t="shared" si="85"/>
        <v>#DIV/0!</v>
      </c>
      <c r="AO52" s="19">
        <f t="shared" si="86"/>
        <v>0</v>
      </c>
      <c r="AP52" s="19" t="e">
        <f t="shared" si="87"/>
        <v>#DIV/0!</v>
      </c>
      <c r="AQ52" s="19">
        <f t="shared" si="88"/>
        <v>0</v>
      </c>
      <c r="AR52" s="19" t="e">
        <f t="shared" si="89"/>
        <v>#DIV/0!</v>
      </c>
      <c r="AS52" s="19">
        <f t="shared" si="90"/>
        <v>0</v>
      </c>
      <c r="AT52" s="19" t="e">
        <f t="shared" si="91"/>
        <v>#DIV/0!</v>
      </c>
      <c r="AU52" s="19">
        <f t="shared" si="92"/>
        <v>0</v>
      </c>
      <c r="AV52" s="19" t="e">
        <f t="shared" si="93"/>
        <v>#DIV/0!</v>
      </c>
      <c r="AW52" s="19">
        <f t="shared" si="94"/>
        <v>0</v>
      </c>
      <c r="AX52" s="19" t="e">
        <f t="shared" si="95"/>
        <v>#DIV/0!</v>
      </c>
      <c r="AY52" s="19">
        <f t="shared" si="96"/>
        <v>0</v>
      </c>
      <c r="AZ52" s="19" t="e">
        <f t="shared" si="97"/>
        <v>#DIV/0!</v>
      </c>
      <c r="BA52" s="19">
        <f t="shared" si="98"/>
        <v>0</v>
      </c>
      <c r="BB52" s="19" t="e">
        <f t="shared" si="99"/>
        <v>#DIV/0!</v>
      </c>
      <c r="BC52" s="19">
        <f t="shared" si="100"/>
        <v>0</v>
      </c>
      <c r="BD52" s="19" t="e">
        <f t="shared" si="101"/>
        <v>#DIV/0!</v>
      </c>
    </row>
    <row r="53" spans="1:56">
      <c r="A53" s="17">
        <v>7</v>
      </c>
      <c r="B53" s="18" t="s">
        <v>31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P53" s="17">
        <v>7</v>
      </c>
      <c r="Q53" s="18" t="s">
        <v>31</v>
      </c>
      <c r="R53" s="19">
        <v>1435693</v>
      </c>
      <c r="S53" s="19">
        <v>1435693</v>
      </c>
      <c r="T53" s="19">
        <v>1435693</v>
      </c>
      <c r="U53" s="19"/>
      <c r="V53" s="19"/>
      <c r="W53" s="19"/>
      <c r="X53" s="19"/>
      <c r="Y53" s="19"/>
      <c r="Z53" s="19"/>
      <c r="AA53" s="19"/>
      <c r="AB53" s="19"/>
      <c r="AC53" s="19"/>
      <c r="AE53" s="17">
        <v>7</v>
      </c>
      <c r="AF53" s="18" t="s">
        <v>31</v>
      </c>
      <c r="AG53" s="19">
        <f t="shared" si="78"/>
        <v>-1435693</v>
      </c>
      <c r="AH53" s="19" t="e">
        <f t="shared" si="79"/>
        <v>#DIV/0!</v>
      </c>
      <c r="AI53" s="19">
        <f t="shared" si="80"/>
        <v>-1435693</v>
      </c>
      <c r="AJ53" s="19" t="e">
        <f t="shared" si="81"/>
        <v>#DIV/0!</v>
      </c>
      <c r="AK53" s="19">
        <f t="shared" si="82"/>
        <v>-1435693</v>
      </c>
      <c r="AL53" s="19" t="e">
        <f t="shared" si="83"/>
        <v>#DIV/0!</v>
      </c>
      <c r="AM53" s="19">
        <f t="shared" si="84"/>
        <v>0</v>
      </c>
      <c r="AN53" s="19" t="e">
        <f t="shared" si="85"/>
        <v>#DIV/0!</v>
      </c>
      <c r="AO53" s="19">
        <f t="shared" si="86"/>
        <v>0</v>
      </c>
      <c r="AP53" s="19" t="e">
        <f t="shared" si="87"/>
        <v>#DIV/0!</v>
      </c>
      <c r="AQ53" s="19">
        <f t="shared" si="88"/>
        <v>0</v>
      </c>
      <c r="AR53" s="19" t="e">
        <f t="shared" si="89"/>
        <v>#DIV/0!</v>
      </c>
      <c r="AS53" s="19">
        <f t="shared" si="90"/>
        <v>0</v>
      </c>
      <c r="AT53" s="19" t="e">
        <f t="shared" si="91"/>
        <v>#DIV/0!</v>
      </c>
      <c r="AU53" s="19">
        <f t="shared" si="92"/>
        <v>0</v>
      </c>
      <c r="AV53" s="19" t="e">
        <f t="shared" si="93"/>
        <v>#DIV/0!</v>
      </c>
      <c r="AW53" s="19">
        <f t="shared" si="94"/>
        <v>0</v>
      </c>
      <c r="AX53" s="19" t="e">
        <f t="shared" si="95"/>
        <v>#DIV/0!</v>
      </c>
      <c r="AY53" s="19">
        <f t="shared" si="96"/>
        <v>0</v>
      </c>
      <c r="AZ53" s="19" t="e">
        <f t="shared" si="97"/>
        <v>#DIV/0!</v>
      </c>
      <c r="BA53" s="19">
        <f t="shared" si="98"/>
        <v>0</v>
      </c>
      <c r="BB53" s="19" t="e">
        <f t="shared" si="99"/>
        <v>#DIV/0!</v>
      </c>
      <c r="BC53" s="19">
        <f t="shared" si="100"/>
        <v>0</v>
      </c>
      <c r="BD53" s="19" t="e">
        <f t="shared" si="101"/>
        <v>#DIV/0!</v>
      </c>
    </row>
    <row r="54" spans="1:56">
      <c r="A54" s="17">
        <v>8</v>
      </c>
      <c r="B54" s="18" t="s">
        <v>33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P54" s="17">
        <v>8</v>
      </c>
      <c r="Q54" s="18" t="s">
        <v>33</v>
      </c>
      <c r="R54" s="19">
        <v>61250.28</v>
      </c>
      <c r="S54" s="19">
        <v>61250.28</v>
      </c>
      <c r="T54" s="19">
        <v>61250.28</v>
      </c>
      <c r="U54" s="19"/>
      <c r="V54" s="19"/>
      <c r="W54" s="19"/>
      <c r="X54" s="19"/>
      <c r="Y54" s="19"/>
      <c r="Z54" s="19"/>
      <c r="AA54" s="19"/>
      <c r="AB54" s="19"/>
      <c r="AC54" s="19"/>
      <c r="AE54" s="17">
        <v>8</v>
      </c>
      <c r="AF54" s="18" t="s">
        <v>33</v>
      </c>
      <c r="AG54" s="19">
        <f t="shared" si="78"/>
        <v>-61250.28</v>
      </c>
      <c r="AH54" s="19" t="e">
        <f t="shared" si="79"/>
        <v>#DIV/0!</v>
      </c>
      <c r="AI54" s="19">
        <f t="shared" si="80"/>
        <v>-61250.28</v>
      </c>
      <c r="AJ54" s="19" t="e">
        <f t="shared" si="81"/>
        <v>#DIV/0!</v>
      </c>
      <c r="AK54" s="19">
        <f t="shared" si="82"/>
        <v>-61250.28</v>
      </c>
      <c r="AL54" s="19" t="e">
        <f t="shared" si="83"/>
        <v>#DIV/0!</v>
      </c>
      <c r="AM54" s="19">
        <f t="shared" si="84"/>
        <v>0</v>
      </c>
      <c r="AN54" s="19" t="e">
        <f t="shared" si="85"/>
        <v>#DIV/0!</v>
      </c>
      <c r="AO54" s="19">
        <f t="shared" si="86"/>
        <v>0</v>
      </c>
      <c r="AP54" s="19" t="e">
        <f t="shared" si="87"/>
        <v>#DIV/0!</v>
      </c>
      <c r="AQ54" s="19">
        <f t="shared" si="88"/>
        <v>0</v>
      </c>
      <c r="AR54" s="19" t="e">
        <f t="shared" si="89"/>
        <v>#DIV/0!</v>
      </c>
      <c r="AS54" s="19">
        <f t="shared" si="90"/>
        <v>0</v>
      </c>
      <c r="AT54" s="19" t="e">
        <f t="shared" si="91"/>
        <v>#DIV/0!</v>
      </c>
      <c r="AU54" s="19">
        <f t="shared" si="92"/>
        <v>0</v>
      </c>
      <c r="AV54" s="19" t="e">
        <f t="shared" si="93"/>
        <v>#DIV/0!</v>
      </c>
      <c r="AW54" s="19">
        <f t="shared" si="94"/>
        <v>0</v>
      </c>
      <c r="AX54" s="19" t="e">
        <f t="shared" si="95"/>
        <v>#DIV/0!</v>
      </c>
      <c r="AY54" s="19">
        <f t="shared" si="96"/>
        <v>0</v>
      </c>
      <c r="AZ54" s="19" t="e">
        <f t="shared" si="97"/>
        <v>#DIV/0!</v>
      </c>
      <c r="BA54" s="19">
        <f t="shared" si="98"/>
        <v>0</v>
      </c>
      <c r="BB54" s="19" t="e">
        <f t="shared" si="99"/>
        <v>#DIV/0!</v>
      </c>
      <c r="BC54" s="19">
        <f t="shared" si="100"/>
        <v>0</v>
      </c>
      <c r="BD54" s="19" t="e">
        <f t="shared" si="101"/>
        <v>#DIV/0!</v>
      </c>
    </row>
    <row r="55" spans="1:56">
      <c r="A55" s="17">
        <v>9</v>
      </c>
      <c r="B55" s="18" t="s">
        <v>35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P55" s="17">
        <v>9</v>
      </c>
      <c r="Q55" s="18" t="s">
        <v>35</v>
      </c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E55" s="17">
        <v>9</v>
      </c>
      <c r="AF55" s="18" t="s">
        <v>35</v>
      </c>
      <c r="AG55" s="19">
        <f t="shared" si="78"/>
        <v>0</v>
      </c>
      <c r="AH55" s="19" t="e">
        <f t="shared" si="79"/>
        <v>#DIV/0!</v>
      </c>
      <c r="AI55" s="19">
        <f t="shared" si="80"/>
        <v>0</v>
      </c>
      <c r="AJ55" s="19" t="e">
        <f t="shared" si="81"/>
        <v>#DIV/0!</v>
      </c>
      <c r="AK55" s="19">
        <f t="shared" si="82"/>
        <v>0</v>
      </c>
      <c r="AL55" s="19" t="e">
        <f t="shared" si="83"/>
        <v>#DIV/0!</v>
      </c>
      <c r="AM55" s="19">
        <f t="shared" si="84"/>
        <v>0</v>
      </c>
      <c r="AN55" s="19" t="e">
        <f t="shared" si="85"/>
        <v>#DIV/0!</v>
      </c>
      <c r="AO55" s="19">
        <f t="shared" si="86"/>
        <v>0</v>
      </c>
      <c r="AP55" s="19" t="e">
        <f t="shared" si="87"/>
        <v>#DIV/0!</v>
      </c>
      <c r="AQ55" s="19">
        <f t="shared" si="88"/>
        <v>0</v>
      </c>
      <c r="AR55" s="19" t="e">
        <f t="shared" si="89"/>
        <v>#DIV/0!</v>
      </c>
      <c r="AS55" s="19">
        <f t="shared" si="90"/>
        <v>0</v>
      </c>
      <c r="AT55" s="19" t="e">
        <f t="shared" si="91"/>
        <v>#DIV/0!</v>
      </c>
      <c r="AU55" s="19">
        <f t="shared" si="92"/>
        <v>0</v>
      </c>
      <c r="AV55" s="19" t="e">
        <f t="shared" si="93"/>
        <v>#DIV/0!</v>
      </c>
      <c r="AW55" s="19">
        <f t="shared" si="94"/>
        <v>0</v>
      </c>
      <c r="AX55" s="19" t="e">
        <f t="shared" si="95"/>
        <v>#DIV/0!</v>
      </c>
      <c r="AY55" s="19">
        <f t="shared" si="96"/>
        <v>0</v>
      </c>
      <c r="AZ55" s="19" t="e">
        <f t="shared" si="97"/>
        <v>#DIV/0!</v>
      </c>
      <c r="BA55" s="19">
        <f t="shared" si="98"/>
        <v>0</v>
      </c>
      <c r="BB55" s="19" t="e">
        <f t="shared" si="99"/>
        <v>#DIV/0!</v>
      </c>
      <c r="BC55" s="19">
        <f t="shared" si="100"/>
        <v>0</v>
      </c>
      <c r="BD55" s="19" t="e">
        <f t="shared" si="101"/>
        <v>#DIV/0!</v>
      </c>
    </row>
    <row r="56" spans="1:56">
      <c r="A56" s="17">
        <v>10</v>
      </c>
      <c r="B56" s="18" t="s">
        <v>37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P56" s="17">
        <v>10</v>
      </c>
      <c r="Q56" s="18" t="s">
        <v>37</v>
      </c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E56" s="17">
        <v>10</v>
      </c>
      <c r="AF56" s="18" t="s">
        <v>37</v>
      </c>
      <c r="AG56" s="19">
        <f t="shared" si="78"/>
        <v>0</v>
      </c>
      <c r="AH56" s="19" t="e">
        <f t="shared" si="79"/>
        <v>#DIV/0!</v>
      </c>
      <c r="AI56" s="19">
        <f t="shared" si="80"/>
        <v>0</v>
      </c>
      <c r="AJ56" s="19" t="e">
        <f t="shared" si="81"/>
        <v>#DIV/0!</v>
      </c>
      <c r="AK56" s="19">
        <f t="shared" si="82"/>
        <v>0</v>
      </c>
      <c r="AL56" s="19" t="e">
        <f t="shared" si="83"/>
        <v>#DIV/0!</v>
      </c>
      <c r="AM56" s="19">
        <f t="shared" si="84"/>
        <v>0</v>
      </c>
      <c r="AN56" s="19" t="e">
        <f t="shared" si="85"/>
        <v>#DIV/0!</v>
      </c>
      <c r="AO56" s="19">
        <f t="shared" si="86"/>
        <v>0</v>
      </c>
      <c r="AP56" s="19" t="e">
        <f t="shared" si="87"/>
        <v>#DIV/0!</v>
      </c>
      <c r="AQ56" s="19">
        <f t="shared" si="88"/>
        <v>0</v>
      </c>
      <c r="AR56" s="19" t="e">
        <f t="shared" si="89"/>
        <v>#DIV/0!</v>
      </c>
      <c r="AS56" s="19">
        <f t="shared" si="90"/>
        <v>0</v>
      </c>
      <c r="AT56" s="19" t="e">
        <f t="shared" si="91"/>
        <v>#DIV/0!</v>
      </c>
      <c r="AU56" s="19">
        <f t="shared" si="92"/>
        <v>0</v>
      </c>
      <c r="AV56" s="19" t="e">
        <f t="shared" si="93"/>
        <v>#DIV/0!</v>
      </c>
      <c r="AW56" s="19">
        <f t="shared" si="94"/>
        <v>0</v>
      </c>
      <c r="AX56" s="19" t="e">
        <f t="shared" si="95"/>
        <v>#DIV/0!</v>
      </c>
      <c r="AY56" s="19">
        <f t="shared" si="96"/>
        <v>0</v>
      </c>
      <c r="AZ56" s="19" t="e">
        <f t="shared" si="97"/>
        <v>#DIV/0!</v>
      </c>
      <c r="BA56" s="19">
        <f t="shared" si="98"/>
        <v>0</v>
      </c>
      <c r="BB56" s="19" t="e">
        <f t="shared" si="99"/>
        <v>#DIV/0!</v>
      </c>
      <c r="BC56" s="19">
        <f t="shared" si="100"/>
        <v>0</v>
      </c>
      <c r="BD56" s="19" t="e">
        <f t="shared" si="101"/>
        <v>#DIV/0!</v>
      </c>
    </row>
    <row r="57" spans="1:56">
      <c r="A57" s="17">
        <v>11</v>
      </c>
      <c r="B57" s="18" t="s">
        <v>39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P57" s="17">
        <v>11</v>
      </c>
      <c r="Q57" s="18" t="s">
        <v>39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E57" s="17">
        <v>11</v>
      </c>
      <c r="AF57" s="18" t="s">
        <v>39</v>
      </c>
      <c r="AG57" s="19">
        <f t="shared" si="78"/>
        <v>0</v>
      </c>
      <c r="AH57" s="19" t="e">
        <f t="shared" si="79"/>
        <v>#DIV/0!</v>
      </c>
      <c r="AI57" s="19">
        <f t="shared" si="80"/>
        <v>0</v>
      </c>
      <c r="AJ57" s="19" t="e">
        <f t="shared" si="81"/>
        <v>#DIV/0!</v>
      </c>
      <c r="AK57" s="19">
        <f t="shared" si="82"/>
        <v>0</v>
      </c>
      <c r="AL57" s="19" t="e">
        <f t="shared" si="83"/>
        <v>#DIV/0!</v>
      </c>
      <c r="AM57" s="19">
        <f t="shared" si="84"/>
        <v>0</v>
      </c>
      <c r="AN57" s="19" t="e">
        <f t="shared" si="85"/>
        <v>#DIV/0!</v>
      </c>
      <c r="AO57" s="19">
        <f t="shared" si="86"/>
        <v>0</v>
      </c>
      <c r="AP57" s="19" t="e">
        <f t="shared" si="87"/>
        <v>#DIV/0!</v>
      </c>
      <c r="AQ57" s="19">
        <f t="shared" si="88"/>
        <v>0</v>
      </c>
      <c r="AR57" s="19" t="e">
        <f t="shared" si="89"/>
        <v>#DIV/0!</v>
      </c>
      <c r="AS57" s="19">
        <f t="shared" si="90"/>
        <v>0</v>
      </c>
      <c r="AT57" s="19" t="e">
        <f t="shared" si="91"/>
        <v>#DIV/0!</v>
      </c>
      <c r="AU57" s="19">
        <f t="shared" si="92"/>
        <v>0</v>
      </c>
      <c r="AV57" s="19" t="e">
        <f t="shared" si="93"/>
        <v>#DIV/0!</v>
      </c>
      <c r="AW57" s="19">
        <f t="shared" si="94"/>
        <v>0</v>
      </c>
      <c r="AX57" s="19" t="e">
        <f t="shared" si="95"/>
        <v>#DIV/0!</v>
      </c>
      <c r="AY57" s="19">
        <f t="shared" si="96"/>
        <v>0</v>
      </c>
      <c r="AZ57" s="19" t="e">
        <f t="shared" si="97"/>
        <v>#DIV/0!</v>
      </c>
      <c r="BA57" s="19">
        <f t="shared" si="98"/>
        <v>0</v>
      </c>
      <c r="BB57" s="19" t="e">
        <f t="shared" si="99"/>
        <v>#DIV/0!</v>
      </c>
      <c r="BC57" s="19">
        <f t="shared" si="100"/>
        <v>0</v>
      </c>
      <c r="BD57" s="19" t="e">
        <f t="shared" si="101"/>
        <v>#DIV/0!</v>
      </c>
    </row>
    <row r="58" spans="1:56">
      <c r="A58" s="17">
        <v>12</v>
      </c>
      <c r="B58" s="18" t="s">
        <v>41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P58" s="17">
        <v>12</v>
      </c>
      <c r="Q58" s="18" t="s">
        <v>41</v>
      </c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E58" s="17">
        <v>12</v>
      </c>
      <c r="AF58" s="18" t="s">
        <v>41</v>
      </c>
      <c r="AG58" s="19">
        <f t="shared" si="78"/>
        <v>0</v>
      </c>
      <c r="AH58" s="19" t="e">
        <f t="shared" si="79"/>
        <v>#DIV/0!</v>
      </c>
      <c r="AI58" s="19">
        <f t="shared" si="80"/>
        <v>0</v>
      </c>
      <c r="AJ58" s="19" t="e">
        <f t="shared" si="81"/>
        <v>#DIV/0!</v>
      </c>
      <c r="AK58" s="19">
        <f t="shared" si="82"/>
        <v>0</v>
      </c>
      <c r="AL58" s="19" t="e">
        <f t="shared" si="83"/>
        <v>#DIV/0!</v>
      </c>
      <c r="AM58" s="19">
        <f t="shared" si="84"/>
        <v>0</v>
      </c>
      <c r="AN58" s="19" t="e">
        <f t="shared" si="85"/>
        <v>#DIV/0!</v>
      </c>
      <c r="AO58" s="19">
        <f t="shared" si="86"/>
        <v>0</v>
      </c>
      <c r="AP58" s="19" t="e">
        <f t="shared" si="87"/>
        <v>#DIV/0!</v>
      </c>
      <c r="AQ58" s="19">
        <f t="shared" si="88"/>
        <v>0</v>
      </c>
      <c r="AR58" s="19" t="e">
        <f t="shared" si="89"/>
        <v>#DIV/0!</v>
      </c>
      <c r="AS58" s="19">
        <f t="shared" si="90"/>
        <v>0</v>
      </c>
      <c r="AT58" s="19" t="e">
        <f t="shared" si="91"/>
        <v>#DIV/0!</v>
      </c>
      <c r="AU58" s="19">
        <f t="shared" si="92"/>
        <v>0</v>
      </c>
      <c r="AV58" s="19" t="e">
        <f t="shared" si="93"/>
        <v>#DIV/0!</v>
      </c>
      <c r="AW58" s="19">
        <f t="shared" si="94"/>
        <v>0</v>
      </c>
      <c r="AX58" s="19" t="e">
        <f t="shared" si="95"/>
        <v>#DIV/0!</v>
      </c>
      <c r="AY58" s="19">
        <f t="shared" si="96"/>
        <v>0</v>
      </c>
      <c r="AZ58" s="19" t="e">
        <f t="shared" si="97"/>
        <v>#DIV/0!</v>
      </c>
      <c r="BA58" s="19">
        <f t="shared" si="98"/>
        <v>0</v>
      </c>
      <c r="BB58" s="19" t="e">
        <f t="shared" si="99"/>
        <v>#DIV/0!</v>
      </c>
      <c r="BC58" s="19">
        <f t="shared" si="100"/>
        <v>0</v>
      </c>
      <c r="BD58" s="19" t="e">
        <f t="shared" si="101"/>
        <v>#DIV/0!</v>
      </c>
    </row>
    <row r="59" spans="1:56">
      <c r="A59" s="17">
        <v>13</v>
      </c>
      <c r="B59" s="18" t="s">
        <v>43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P59" s="17">
        <v>13</v>
      </c>
      <c r="Q59" s="18" t="s">
        <v>43</v>
      </c>
      <c r="R59" s="19">
        <v>50674</v>
      </c>
      <c r="S59" s="19">
        <v>50674</v>
      </c>
      <c r="T59" s="19">
        <v>50674</v>
      </c>
      <c r="U59" s="19"/>
      <c r="V59" s="19"/>
      <c r="W59" s="19"/>
      <c r="X59" s="19"/>
      <c r="Y59" s="19"/>
      <c r="Z59" s="19"/>
      <c r="AA59" s="19"/>
      <c r="AB59" s="19"/>
      <c r="AC59" s="19"/>
      <c r="AE59" s="17">
        <v>13</v>
      </c>
      <c r="AF59" s="18" t="s">
        <v>43</v>
      </c>
      <c r="AG59" s="19">
        <f t="shared" si="78"/>
        <v>-50674</v>
      </c>
      <c r="AH59" s="19" t="e">
        <f t="shared" si="79"/>
        <v>#DIV/0!</v>
      </c>
      <c r="AI59" s="19">
        <f t="shared" si="80"/>
        <v>-50674</v>
      </c>
      <c r="AJ59" s="19" t="e">
        <f t="shared" si="81"/>
        <v>#DIV/0!</v>
      </c>
      <c r="AK59" s="19">
        <f t="shared" si="82"/>
        <v>-50674</v>
      </c>
      <c r="AL59" s="19" t="e">
        <f t="shared" si="83"/>
        <v>#DIV/0!</v>
      </c>
      <c r="AM59" s="19">
        <f t="shared" si="84"/>
        <v>0</v>
      </c>
      <c r="AN59" s="19" t="e">
        <f t="shared" si="85"/>
        <v>#DIV/0!</v>
      </c>
      <c r="AO59" s="19">
        <f t="shared" si="86"/>
        <v>0</v>
      </c>
      <c r="AP59" s="19" t="e">
        <f t="shared" si="87"/>
        <v>#DIV/0!</v>
      </c>
      <c r="AQ59" s="19">
        <f t="shared" si="88"/>
        <v>0</v>
      </c>
      <c r="AR59" s="19" t="e">
        <f t="shared" si="89"/>
        <v>#DIV/0!</v>
      </c>
      <c r="AS59" s="19">
        <f t="shared" si="90"/>
        <v>0</v>
      </c>
      <c r="AT59" s="19" t="e">
        <f t="shared" si="91"/>
        <v>#DIV/0!</v>
      </c>
      <c r="AU59" s="19">
        <f t="shared" si="92"/>
        <v>0</v>
      </c>
      <c r="AV59" s="19" t="e">
        <f t="shared" si="93"/>
        <v>#DIV/0!</v>
      </c>
      <c r="AW59" s="19">
        <f t="shared" si="94"/>
        <v>0</v>
      </c>
      <c r="AX59" s="19" t="e">
        <f t="shared" si="95"/>
        <v>#DIV/0!</v>
      </c>
      <c r="AY59" s="19">
        <f t="shared" si="96"/>
        <v>0</v>
      </c>
      <c r="AZ59" s="19" t="e">
        <f t="shared" si="97"/>
        <v>#DIV/0!</v>
      </c>
      <c r="BA59" s="19">
        <f t="shared" si="98"/>
        <v>0</v>
      </c>
      <c r="BB59" s="19" t="e">
        <f t="shared" si="99"/>
        <v>#DIV/0!</v>
      </c>
      <c r="BC59" s="19">
        <f t="shared" si="100"/>
        <v>0</v>
      </c>
      <c r="BD59" s="19" t="e">
        <f t="shared" si="101"/>
        <v>#DIV/0!</v>
      </c>
    </row>
    <row r="60" spans="1:56">
      <c r="A60" s="17">
        <v>14</v>
      </c>
      <c r="B60" s="18" t="s">
        <v>44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P60" s="17">
        <v>14</v>
      </c>
      <c r="Q60" s="18" t="s">
        <v>44</v>
      </c>
      <c r="R60" s="19">
        <v>372353</v>
      </c>
      <c r="S60" s="19">
        <v>372353</v>
      </c>
      <c r="T60" s="19">
        <v>1221779.74</v>
      </c>
      <c r="U60" s="19"/>
      <c r="V60" s="19"/>
      <c r="W60" s="19"/>
      <c r="X60" s="19"/>
      <c r="Y60" s="19"/>
      <c r="Z60" s="19"/>
      <c r="AA60" s="19"/>
      <c r="AB60" s="19"/>
      <c r="AC60" s="19"/>
      <c r="AE60" s="17">
        <v>14</v>
      </c>
      <c r="AF60" s="18" t="s">
        <v>44</v>
      </c>
      <c r="AG60" s="19">
        <f t="shared" si="78"/>
        <v>-372353</v>
      </c>
      <c r="AH60" s="19" t="e">
        <f t="shared" si="79"/>
        <v>#DIV/0!</v>
      </c>
      <c r="AI60" s="19">
        <f t="shared" si="80"/>
        <v>-372353</v>
      </c>
      <c r="AJ60" s="19" t="e">
        <f t="shared" si="81"/>
        <v>#DIV/0!</v>
      </c>
      <c r="AK60" s="19">
        <f t="shared" si="82"/>
        <v>-1221779.74</v>
      </c>
      <c r="AL60" s="19" t="e">
        <f t="shared" si="83"/>
        <v>#DIV/0!</v>
      </c>
      <c r="AM60" s="19">
        <f t="shared" si="84"/>
        <v>0</v>
      </c>
      <c r="AN60" s="19" t="e">
        <f t="shared" si="85"/>
        <v>#DIV/0!</v>
      </c>
      <c r="AO60" s="19">
        <f t="shared" si="86"/>
        <v>0</v>
      </c>
      <c r="AP60" s="19" t="e">
        <f t="shared" si="87"/>
        <v>#DIV/0!</v>
      </c>
      <c r="AQ60" s="19">
        <f t="shared" si="88"/>
        <v>0</v>
      </c>
      <c r="AR60" s="19" t="e">
        <f t="shared" si="89"/>
        <v>#DIV/0!</v>
      </c>
      <c r="AS60" s="19">
        <f t="shared" si="90"/>
        <v>0</v>
      </c>
      <c r="AT60" s="19" t="e">
        <f t="shared" si="91"/>
        <v>#DIV/0!</v>
      </c>
      <c r="AU60" s="19">
        <f t="shared" si="92"/>
        <v>0</v>
      </c>
      <c r="AV60" s="19" t="e">
        <f t="shared" si="93"/>
        <v>#DIV/0!</v>
      </c>
      <c r="AW60" s="19">
        <f t="shared" si="94"/>
        <v>0</v>
      </c>
      <c r="AX60" s="19" t="e">
        <f t="shared" si="95"/>
        <v>#DIV/0!</v>
      </c>
      <c r="AY60" s="19">
        <f t="shared" si="96"/>
        <v>0</v>
      </c>
      <c r="AZ60" s="19" t="e">
        <f t="shared" si="97"/>
        <v>#DIV/0!</v>
      </c>
      <c r="BA60" s="19">
        <f t="shared" si="98"/>
        <v>0</v>
      </c>
      <c r="BB60" s="19" t="e">
        <f t="shared" si="99"/>
        <v>#DIV/0!</v>
      </c>
      <c r="BC60" s="19">
        <f t="shared" si="100"/>
        <v>0</v>
      </c>
      <c r="BD60" s="19" t="e">
        <f t="shared" si="101"/>
        <v>#DIV/0!</v>
      </c>
    </row>
    <row r="61" spans="1:56" ht="25.2" thickBot="1">
      <c r="A61" s="17"/>
      <c r="B61" s="20" t="s">
        <v>17</v>
      </c>
      <c r="C61" s="27">
        <f>SUM(C47:C60)</f>
        <v>5150117.88</v>
      </c>
      <c r="D61" s="27">
        <f t="shared" ref="D61:N61" si="102">SUM(D47:D60)</f>
        <v>5259226.8599999994</v>
      </c>
      <c r="E61" s="27">
        <f t="shared" si="102"/>
        <v>5369669.1600000001</v>
      </c>
      <c r="F61" s="27">
        <f t="shared" si="102"/>
        <v>0</v>
      </c>
      <c r="G61" s="27">
        <f t="shared" si="102"/>
        <v>0</v>
      </c>
      <c r="H61" s="27">
        <f t="shared" si="102"/>
        <v>0</v>
      </c>
      <c r="I61" s="27">
        <f t="shared" si="102"/>
        <v>0</v>
      </c>
      <c r="J61" s="27">
        <f t="shared" si="102"/>
        <v>0</v>
      </c>
      <c r="K61" s="27">
        <f t="shared" si="102"/>
        <v>0</v>
      </c>
      <c r="L61" s="27">
        <f t="shared" si="102"/>
        <v>0</v>
      </c>
      <c r="M61" s="27">
        <f t="shared" si="102"/>
        <v>0</v>
      </c>
      <c r="N61" s="27">
        <f t="shared" si="102"/>
        <v>0</v>
      </c>
      <c r="P61" s="17"/>
      <c r="Q61" s="20" t="s">
        <v>17</v>
      </c>
      <c r="R61" s="27">
        <f>SUM(R47:R60)</f>
        <v>18504947.300000001</v>
      </c>
      <c r="S61" s="27">
        <f t="shared" ref="S61:AC61" si="103">SUM(S47:S60)</f>
        <v>18564258.109999999</v>
      </c>
      <c r="T61" s="27">
        <f t="shared" si="103"/>
        <v>19472995.66</v>
      </c>
      <c r="U61" s="27">
        <f t="shared" si="103"/>
        <v>0</v>
      </c>
      <c r="V61" s="27">
        <f t="shared" si="103"/>
        <v>0</v>
      </c>
      <c r="W61" s="27">
        <f t="shared" si="103"/>
        <v>0</v>
      </c>
      <c r="X61" s="27">
        <f t="shared" si="103"/>
        <v>0</v>
      </c>
      <c r="Y61" s="27">
        <f t="shared" si="103"/>
        <v>0</v>
      </c>
      <c r="Z61" s="27">
        <f t="shared" si="103"/>
        <v>0</v>
      </c>
      <c r="AA61" s="27">
        <f t="shared" si="103"/>
        <v>0</v>
      </c>
      <c r="AB61" s="27">
        <f t="shared" si="103"/>
        <v>0</v>
      </c>
      <c r="AC61" s="27">
        <f t="shared" si="103"/>
        <v>0</v>
      </c>
      <c r="AE61" s="17"/>
      <c r="AF61" s="20" t="s">
        <v>17</v>
      </c>
      <c r="AG61" s="23">
        <f t="shared" si="78"/>
        <v>-13354829.420000002</v>
      </c>
      <c r="AH61" s="23">
        <f t="shared" si="79"/>
        <v>-259.31114066072604</v>
      </c>
      <c r="AI61" s="23">
        <f t="shared" si="80"/>
        <v>-13305031.25</v>
      </c>
      <c r="AJ61" s="23">
        <f t="shared" si="81"/>
        <v>-252.98454704804274</v>
      </c>
      <c r="AK61" s="23">
        <f t="shared" si="82"/>
        <v>-14103326.5</v>
      </c>
      <c r="AL61" s="23">
        <f t="shared" si="83"/>
        <v>-262.64795986052889</v>
      </c>
      <c r="AM61" s="23">
        <f t="shared" si="84"/>
        <v>0</v>
      </c>
      <c r="AN61" s="23" t="e">
        <f t="shared" si="85"/>
        <v>#DIV/0!</v>
      </c>
      <c r="AO61" s="23">
        <f t="shared" si="86"/>
        <v>0</v>
      </c>
      <c r="AP61" s="23" t="e">
        <f t="shared" si="87"/>
        <v>#DIV/0!</v>
      </c>
      <c r="AQ61" s="23">
        <f t="shared" si="88"/>
        <v>0</v>
      </c>
      <c r="AR61" s="23" t="e">
        <f t="shared" si="89"/>
        <v>#DIV/0!</v>
      </c>
      <c r="AS61" s="23">
        <f t="shared" si="90"/>
        <v>0</v>
      </c>
      <c r="AT61" s="23" t="e">
        <f t="shared" si="91"/>
        <v>#DIV/0!</v>
      </c>
      <c r="AU61" s="23">
        <f t="shared" si="92"/>
        <v>0</v>
      </c>
      <c r="AV61" s="23" t="e">
        <f t="shared" si="93"/>
        <v>#DIV/0!</v>
      </c>
      <c r="AW61" s="23">
        <f t="shared" si="94"/>
        <v>0</v>
      </c>
      <c r="AX61" s="23" t="e">
        <f t="shared" si="95"/>
        <v>#DIV/0!</v>
      </c>
      <c r="AY61" s="23">
        <f t="shared" si="96"/>
        <v>0</v>
      </c>
      <c r="AZ61" s="23" t="e">
        <f t="shared" si="97"/>
        <v>#DIV/0!</v>
      </c>
      <c r="BA61" s="23">
        <f t="shared" si="98"/>
        <v>0</v>
      </c>
      <c r="BB61" s="23" t="e">
        <f t="shared" si="99"/>
        <v>#DIV/0!</v>
      </c>
      <c r="BC61" s="23">
        <f t="shared" si="100"/>
        <v>0</v>
      </c>
      <c r="BD61" s="23" t="e">
        <f t="shared" si="101"/>
        <v>#DIV/0!</v>
      </c>
    </row>
    <row r="62" spans="1:56" ht="25.2" thickTop="1"/>
    <row r="63" spans="1:56">
      <c r="A63" s="32" t="s">
        <v>1942</v>
      </c>
      <c r="B63" s="32"/>
      <c r="C63" s="32"/>
      <c r="D63" s="32"/>
      <c r="E63" s="32"/>
      <c r="F63" s="32"/>
      <c r="G63" s="32"/>
      <c r="H63" s="32"/>
      <c r="I63" s="32"/>
    </row>
    <row r="64" spans="1:56" customFormat="1" ht="21">
      <c r="A64" s="28" t="s">
        <v>659</v>
      </c>
      <c r="B64" s="28" t="s">
        <v>660</v>
      </c>
      <c r="C64" s="28" t="s">
        <v>661</v>
      </c>
      <c r="D64" s="28" t="s">
        <v>662</v>
      </c>
      <c r="E64" s="28" t="s">
        <v>663</v>
      </c>
      <c r="F64" s="28" t="s">
        <v>664</v>
      </c>
      <c r="G64" s="28" t="s">
        <v>665</v>
      </c>
    </row>
    <row r="65" spans="1:9" customFormat="1" ht="21">
      <c r="A65" s="28" t="s">
        <v>384</v>
      </c>
      <c r="B65" s="28" t="s">
        <v>91</v>
      </c>
      <c r="C65" s="28" t="s">
        <v>92</v>
      </c>
      <c r="D65" s="28" t="s">
        <v>385</v>
      </c>
      <c r="E65" s="29">
        <v>344000</v>
      </c>
      <c r="F65" s="29">
        <v>-343999</v>
      </c>
      <c r="G65" s="29">
        <v>1</v>
      </c>
      <c r="H65" t="s">
        <v>1688</v>
      </c>
      <c r="I65" t="s">
        <v>11</v>
      </c>
    </row>
    <row r="66" spans="1:9" customFormat="1" ht="21">
      <c r="A66" s="28" t="s">
        <v>386</v>
      </c>
      <c r="B66" s="28" t="s">
        <v>91</v>
      </c>
      <c r="C66" s="28" t="s">
        <v>92</v>
      </c>
      <c r="D66" s="28" t="s">
        <v>387</v>
      </c>
      <c r="E66" s="29">
        <v>223000</v>
      </c>
      <c r="F66" s="29">
        <v>-222999</v>
      </c>
      <c r="G66" s="29">
        <v>1</v>
      </c>
      <c r="H66" t="s">
        <v>1688</v>
      </c>
      <c r="I66" t="s">
        <v>11</v>
      </c>
    </row>
    <row r="67" spans="1:9" customFormat="1" ht="21">
      <c r="A67" s="28" t="s">
        <v>388</v>
      </c>
      <c r="B67" s="28" t="s">
        <v>91</v>
      </c>
      <c r="C67" s="28" t="s">
        <v>92</v>
      </c>
      <c r="D67" s="28" t="s">
        <v>385</v>
      </c>
      <c r="E67" s="29">
        <v>1172600</v>
      </c>
      <c r="F67" s="29">
        <v>-1172599</v>
      </c>
      <c r="G67" s="29">
        <v>1</v>
      </c>
      <c r="H67" t="s">
        <v>1688</v>
      </c>
      <c r="I67" t="s">
        <v>11</v>
      </c>
    </row>
    <row r="68" spans="1:9" customFormat="1" ht="21">
      <c r="A68" s="28" t="s">
        <v>389</v>
      </c>
      <c r="B68" s="28" t="s">
        <v>91</v>
      </c>
      <c r="C68" s="28" t="s">
        <v>92</v>
      </c>
      <c r="D68" s="28" t="s">
        <v>385</v>
      </c>
      <c r="E68" s="29">
        <v>294000</v>
      </c>
      <c r="F68" s="29">
        <v>-293999</v>
      </c>
      <c r="G68" s="29">
        <v>1</v>
      </c>
      <c r="H68" t="s">
        <v>1688</v>
      </c>
      <c r="I68" t="s">
        <v>11</v>
      </c>
    </row>
    <row r="69" spans="1:9" customFormat="1" ht="21">
      <c r="A69" s="28" t="s">
        <v>390</v>
      </c>
      <c r="B69" s="28" t="s">
        <v>91</v>
      </c>
      <c r="C69" s="28" t="s">
        <v>92</v>
      </c>
      <c r="D69" s="28" t="s">
        <v>387</v>
      </c>
      <c r="E69" s="29">
        <v>681000</v>
      </c>
      <c r="F69" s="29">
        <v>-680999</v>
      </c>
      <c r="G69" s="29">
        <v>1</v>
      </c>
      <c r="H69" t="s">
        <v>1688</v>
      </c>
      <c r="I69" t="s">
        <v>11</v>
      </c>
    </row>
    <row r="70" spans="1:9" customFormat="1" ht="21">
      <c r="A70" s="28" t="s">
        <v>391</v>
      </c>
      <c r="B70" s="28" t="s">
        <v>91</v>
      </c>
      <c r="C70" s="28" t="s">
        <v>92</v>
      </c>
      <c r="D70" s="28" t="s">
        <v>387</v>
      </c>
      <c r="E70" s="29">
        <v>756600</v>
      </c>
      <c r="F70" s="29">
        <v>-756599</v>
      </c>
      <c r="G70" s="29">
        <v>1</v>
      </c>
      <c r="H70" t="s">
        <v>1688</v>
      </c>
      <c r="I70" t="s">
        <v>11</v>
      </c>
    </row>
    <row r="71" spans="1:9" customFormat="1" ht="21">
      <c r="A71" s="28" t="s">
        <v>392</v>
      </c>
      <c r="B71" s="28" t="s">
        <v>91</v>
      </c>
      <c r="C71" s="28" t="s">
        <v>92</v>
      </c>
      <c r="D71" s="28" t="s">
        <v>393</v>
      </c>
      <c r="E71" s="29">
        <v>476800</v>
      </c>
      <c r="F71" s="29">
        <v>-476799</v>
      </c>
      <c r="G71" s="29">
        <v>1</v>
      </c>
      <c r="H71" t="s">
        <v>1688</v>
      </c>
      <c r="I71" t="s">
        <v>11</v>
      </c>
    </row>
    <row r="72" spans="1:9" customFormat="1" ht="21">
      <c r="A72" s="28" t="s">
        <v>394</v>
      </c>
      <c r="B72" s="28" t="s">
        <v>91</v>
      </c>
      <c r="C72" s="28" t="s">
        <v>92</v>
      </c>
      <c r="D72" s="28" t="s">
        <v>395</v>
      </c>
      <c r="E72" s="29">
        <v>378000</v>
      </c>
      <c r="F72" s="29">
        <v>-62827.4</v>
      </c>
      <c r="G72" s="29">
        <v>315172.59999999998</v>
      </c>
      <c r="H72" t="s">
        <v>1688</v>
      </c>
      <c r="I72" t="s">
        <v>11</v>
      </c>
    </row>
    <row r="73" spans="1:9" customFormat="1" ht="21">
      <c r="A73" s="28" t="s">
        <v>394</v>
      </c>
      <c r="B73" s="28" t="s">
        <v>108</v>
      </c>
      <c r="C73" s="28" t="s">
        <v>92</v>
      </c>
      <c r="D73" s="28" t="s">
        <v>395</v>
      </c>
      <c r="E73" s="29">
        <v>672000</v>
      </c>
      <c r="F73" s="29">
        <v>-671999</v>
      </c>
      <c r="G73" s="29">
        <v>1</v>
      </c>
      <c r="H73" t="s">
        <v>1688</v>
      </c>
      <c r="I73" t="s">
        <v>11</v>
      </c>
    </row>
    <row r="74" spans="1:9" customFormat="1" ht="21">
      <c r="A74" s="28" t="s">
        <v>396</v>
      </c>
      <c r="B74" s="28" t="s">
        <v>91</v>
      </c>
      <c r="C74" s="28" t="s">
        <v>92</v>
      </c>
      <c r="D74" s="28" t="s">
        <v>397</v>
      </c>
      <c r="E74" s="29">
        <v>3869793</v>
      </c>
      <c r="F74" s="29">
        <v>-3869792</v>
      </c>
      <c r="G74" s="29">
        <v>1</v>
      </c>
      <c r="H74" t="s">
        <v>1688</v>
      </c>
      <c r="I74" t="s">
        <v>11</v>
      </c>
    </row>
    <row r="75" spans="1:9" customFormat="1" ht="21">
      <c r="A75" s="28" t="s">
        <v>398</v>
      </c>
      <c r="B75" s="28" t="s">
        <v>91</v>
      </c>
      <c r="C75" s="28" t="s">
        <v>92</v>
      </c>
      <c r="D75" s="28" t="s">
        <v>399</v>
      </c>
      <c r="E75" s="29">
        <v>3550360</v>
      </c>
      <c r="F75" s="29">
        <v>-354063.3</v>
      </c>
      <c r="G75" s="29">
        <v>3196296.7</v>
      </c>
      <c r="H75" t="s">
        <v>1688</v>
      </c>
      <c r="I75" t="s">
        <v>11</v>
      </c>
    </row>
    <row r="76" spans="1:9" customFormat="1" ht="21">
      <c r="A76" s="28" t="s">
        <v>398</v>
      </c>
      <c r="B76" s="28" t="s">
        <v>108</v>
      </c>
      <c r="C76" s="28" t="s">
        <v>92</v>
      </c>
      <c r="D76" s="28" t="s">
        <v>399</v>
      </c>
      <c r="E76" s="29">
        <v>4518640</v>
      </c>
      <c r="F76" s="29">
        <v>-4518639</v>
      </c>
      <c r="G76" s="29">
        <v>1</v>
      </c>
      <c r="H76" t="s">
        <v>1688</v>
      </c>
      <c r="I76" t="s">
        <v>11</v>
      </c>
    </row>
    <row r="77" spans="1:9" customFormat="1" ht="21">
      <c r="A77" s="28" t="s">
        <v>400</v>
      </c>
      <c r="B77" s="28" t="s">
        <v>91</v>
      </c>
      <c r="C77" s="28" t="s">
        <v>92</v>
      </c>
      <c r="D77" s="28" t="s">
        <v>393</v>
      </c>
      <c r="E77" s="29">
        <v>738706.88</v>
      </c>
      <c r="F77" s="29">
        <v>-65001.440000000002</v>
      </c>
      <c r="G77" s="29">
        <v>673705.44</v>
      </c>
      <c r="H77" t="s">
        <v>1688</v>
      </c>
      <c r="I77" t="s">
        <v>11</v>
      </c>
    </row>
    <row r="78" spans="1:9" customFormat="1" ht="21">
      <c r="A78" s="28" t="s">
        <v>400</v>
      </c>
      <c r="B78" s="28" t="s">
        <v>108</v>
      </c>
      <c r="C78" s="28" t="s">
        <v>92</v>
      </c>
      <c r="D78" s="28" t="s">
        <v>393</v>
      </c>
      <c r="E78" s="29">
        <v>347626.76</v>
      </c>
      <c r="F78" s="29">
        <v>-347625.76</v>
      </c>
      <c r="G78" s="29">
        <v>1</v>
      </c>
      <c r="H78" t="s">
        <v>1688</v>
      </c>
      <c r="I78" t="s">
        <v>11</v>
      </c>
    </row>
    <row r="79" spans="1:9" customFormat="1" ht="21">
      <c r="A79" s="28" t="s">
        <v>401</v>
      </c>
      <c r="B79" s="28" t="s">
        <v>91</v>
      </c>
      <c r="C79" s="28" t="s">
        <v>92</v>
      </c>
      <c r="D79" s="28" t="s">
        <v>393</v>
      </c>
      <c r="E79" s="29">
        <v>1031900</v>
      </c>
      <c r="F79" s="29">
        <v>-1031899</v>
      </c>
      <c r="G79" s="29">
        <v>1</v>
      </c>
      <c r="H79" t="s">
        <v>1688</v>
      </c>
      <c r="I79" t="s">
        <v>11</v>
      </c>
    </row>
    <row r="80" spans="1:9" customFormat="1" ht="21">
      <c r="A80" s="28" t="s">
        <v>402</v>
      </c>
      <c r="B80" s="28" t="s">
        <v>91</v>
      </c>
      <c r="C80" s="28" t="s">
        <v>92</v>
      </c>
      <c r="D80" s="28" t="s">
        <v>393</v>
      </c>
      <c r="E80" s="29">
        <v>1031900</v>
      </c>
      <c r="F80" s="29">
        <v>-1031899</v>
      </c>
      <c r="G80" s="29">
        <v>1</v>
      </c>
      <c r="H80" t="s">
        <v>1688</v>
      </c>
      <c r="I80" t="s">
        <v>11</v>
      </c>
    </row>
    <row r="81" spans="1:9" customFormat="1" ht="21">
      <c r="A81" s="28" t="s">
        <v>403</v>
      </c>
      <c r="B81" s="28" t="s">
        <v>91</v>
      </c>
      <c r="C81" s="28" t="s">
        <v>92</v>
      </c>
      <c r="D81" s="28" t="s">
        <v>393</v>
      </c>
      <c r="E81" s="29">
        <v>1031900</v>
      </c>
      <c r="F81" s="29">
        <v>-1031899</v>
      </c>
      <c r="G81" s="29">
        <v>1</v>
      </c>
      <c r="H81" t="s">
        <v>1688</v>
      </c>
      <c r="I81" t="s">
        <v>11</v>
      </c>
    </row>
    <row r="82" spans="1:9" customFormat="1" ht="21">
      <c r="A82" s="28" t="s">
        <v>404</v>
      </c>
      <c r="B82" s="28" t="s">
        <v>91</v>
      </c>
      <c r="C82" s="28" t="s">
        <v>92</v>
      </c>
      <c r="D82" s="28" t="s">
        <v>393</v>
      </c>
      <c r="E82" s="29">
        <v>169756.08</v>
      </c>
      <c r="F82" s="29">
        <v>-42322.74</v>
      </c>
      <c r="G82" s="29">
        <v>127433.34</v>
      </c>
      <c r="H82" t="s">
        <v>1688</v>
      </c>
      <c r="I82" t="s">
        <v>11</v>
      </c>
    </row>
    <row r="83" spans="1:9" customFormat="1" ht="21">
      <c r="A83" s="28" t="s">
        <v>404</v>
      </c>
      <c r="B83" s="28" t="s">
        <v>108</v>
      </c>
      <c r="C83" s="28" t="s">
        <v>92</v>
      </c>
      <c r="D83" s="28" t="s">
        <v>393</v>
      </c>
      <c r="E83" s="29">
        <v>537560.92000000004</v>
      </c>
      <c r="F83" s="29">
        <v>-537559.92000000004</v>
      </c>
      <c r="G83" s="29">
        <v>1</v>
      </c>
      <c r="H83" t="s">
        <v>1688</v>
      </c>
      <c r="I83" t="s">
        <v>11</v>
      </c>
    </row>
    <row r="84" spans="1:9" customFormat="1" ht="21">
      <c r="A84" s="28" t="s">
        <v>578</v>
      </c>
      <c r="B84" s="28" t="s">
        <v>91</v>
      </c>
      <c r="C84" s="28" t="s">
        <v>92</v>
      </c>
      <c r="D84" s="28" t="s">
        <v>579</v>
      </c>
      <c r="E84" s="29">
        <v>5066100</v>
      </c>
      <c r="F84" s="29">
        <v>-5066099</v>
      </c>
      <c r="G84" s="29">
        <v>1</v>
      </c>
      <c r="H84" t="s">
        <v>1688</v>
      </c>
      <c r="I84" t="s">
        <v>9</v>
      </c>
    </row>
    <row r="85" spans="1:9" customFormat="1" ht="21">
      <c r="A85" s="28" t="s">
        <v>580</v>
      </c>
      <c r="B85" s="28" t="s">
        <v>91</v>
      </c>
      <c r="C85" s="28" t="s">
        <v>92</v>
      </c>
      <c r="D85" s="28" t="s">
        <v>581</v>
      </c>
      <c r="E85" s="29">
        <v>8477412</v>
      </c>
      <c r="F85" s="29">
        <v>-8477411</v>
      </c>
      <c r="G85" s="29">
        <v>1</v>
      </c>
      <c r="H85" t="s">
        <v>1688</v>
      </c>
      <c r="I85" t="s">
        <v>9</v>
      </c>
    </row>
    <row r="86" spans="1:9" customFormat="1" ht="21">
      <c r="A86" s="28" t="s">
        <v>582</v>
      </c>
      <c r="B86" s="28" t="s">
        <v>91</v>
      </c>
      <c r="C86" s="28" t="s">
        <v>92</v>
      </c>
      <c r="D86" s="28" t="s">
        <v>583</v>
      </c>
      <c r="E86" s="29">
        <v>4340979</v>
      </c>
      <c r="F86" s="29">
        <v>-4340978</v>
      </c>
      <c r="G86" s="29">
        <v>1</v>
      </c>
      <c r="H86" t="s">
        <v>1688</v>
      </c>
      <c r="I86" t="s">
        <v>9</v>
      </c>
    </row>
    <row r="87" spans="1:9" customFormat="1" ht="21">
      <c r="A87" s="28" t="s">
        <v>1689</v>
      </c>
      <c r="B87" s="28" t="s">
        <v>91</v>
      </c>
      <c r="C87" s="28" t="s">
        <v>92</v>
      </c>
      <c r="D87" s="28" t="s">
        <v>1690</v>
      </c>
      <c r="E87" s="29">
        <v>653656</v>
      </c>
      <c r="F87" s="29">
        <v>-653655</v>
      </c>
      <c r="G87" s="29">
        <v>1</v>
      </c>
      <c r="H87" t="s">
        <v>1688</v>
      </c>
      <c r="I87" t="s">
        <v>13</v>
      </c>
    </row>
    <row r="88" spans="1:9" customFormat="1" ht="21">
      <c r="A88" s="28" t="s">
        <v>1691</v>
      </c>
      <c r="B88" s="28" t="s">
        <v>91</v>
      </c>
      <c r="C88" s="28" t="s">
        <v>92</v>
      </c>
      <c r="D88" s="28" t="s">
        <v>1692</v>
      </c>
      <c r="E88" s="29">
        <v>749060</v>
      </c>
      <c r="F88" s="29">
        <v>-749059</v>
      </c>
      <c r="G88" s="29">
        <v>1</v>
      </c>
      <c r="H88" t="s">
        <v>1688</v>
      </c>
      <c r="I88" t="s">
        <v>13</v>
      </c>
    </row>
    <row r="89" spans="1:9" customFormat="1" ht="21">
      <c r="A89" s="28" t="s">
        <v>1693</v>
      </c>
      <c r="B89" s="28" t="s">
        <v>91</v>
      </c>
      <c r="C89" s="28" t="s">
        <v>92</v>
      </c>
      <c r="D89" s="28" t="s">
        <v>1694</v>
      </c>
      <c r="E89" s="29">
        <v>728833</v>
      </c>
      <c r="F89" s="29">
        <v>-728832</v>
      </c>
      <c r="G89" s="29">
        <v>1</v>
      </c>
      <c r="H89" t="s">
        <v>1688</v>
      </c>
      <c r="I89" t="s">
        <v>13</v>
      </c>
    </row>
    <row r="90" spans="1:9" customFormat="1" ht="21">
      <c r="A90" s="28" t="s">
        <v>1695</v>
      </c>
      <c r="B90" s="28" t="s">
        <v>91</v>
      </c>
      <c r="C90" s="28" t="s">
        <v>1696</v>
      </c>
      <c r="D90" s="28" t="s">
        <v>1697</v>
      </c>
      <c r="E90" s="29">
        <v>451000</v>
      </c>
      <c r="F90" s="29">
        <v>-450999</v>
      </c>
      <c r="G90" s="29">
        <v>1</v>
      </c>
      <c r="H90" t="s">
        <v>1688</v>
      </c>
      <c r="I90" t="s">
        <v>13</v>
      </c>
    </row>
    <row r="91" spans="1:9" customFormat="1" ht="21">
      <c r="A91" s="28" t="s">
        <v>1698</v>
      </c>
      <c r="B91" s="28" t="s">
        <v>91</v>
      </c>
      <c r="C91" s="28" t="s">
        <v>92</v>
      </c>
      <c r="D91" s="28" t="s">
        <v>1699</v>
      </c>
      <c r="E91" s="29">
        <v>209300</v>
      </c>
      <c r="F91" s="29">
        <v>-209299</v>
      </c>
      <c r="G91" s="29">
        <v>1</v>
      </c>
      <c r="H91" t="s">
        <v>1688</v>
      </c>
      <c r="I91" t="s">
        <v>13</v>
      </c>
    </row>
    <row r="92" spans="1:9" customFormat="1" ht="21">
      <c r="A92" s="28" t="s">
        <v>1700</v>
      </c>
      <c r="B92" s="28" t="s">
        <v>91</v>
      </c>
      <c r="C92" s="28" t="s">
        <v>92</v>
      </c>
      <c r="D92" s="28" t="s">
        <v>1701</v>
      </c>
      <c r="E92" s="29">
        <v>168240</v>
      </c>
      <c r="F92" s="29">
        <v>-62917.16</v>
      </c>
      <c r="G92" s="29">
        <v>105322.84</v>
      </c>
      <c r="H92" t="s">
        <v>1688</v>
      </c>
      <c r="I92" t="s">
        <v>13</v>
      </c>
    </row>
    <row r="93" spans="1:9" customFormat="1" ht="21">
      <c r="A93" s="28" t="s">
        <v>1700</v>
      </c>
      <c r="B93" s="28" t="s">
        <v>108</v>
      </c>
      <c r="C93" s="28" t="s">
        <v>92</v>
      </c>
      <c r="D93" s="28" t="s">
        <v>1701</v>
      </c>
      <c r="E93" s="29">
        <v>883260</v>
      </c>
      <c r="F93" s="29">
        <v>-883259</v>
      </c>
      <c r="G93" s="29">
        <v>1</v>
      </c>
      <c r="H93" t="s">
        <v>1688</v>
      </c>
      <c r="I93" t="s">
        <v>13</v>
      </c>
    </row>
    <row r="94" spans="1:9" customFormat="1" ht="21">
      <c r="A94" s="28" t="s">
        <v>1702</v>
      </c>
      <c r="B94" s="28" t="s">
        <v>91</v>
      </c>
      <c r="C94" s="28" t="s">
        <v>92</v>
      </c>
      <c r="D94" s="28" t="s">
        <v>1703</v>
      </c>
      <c r="E94" s="29">
        <v>1730000</v>
      </c>
      <c r="F94" s="29">
        <v>-1729999</v>
      </c>
      <c r="G94" s="29">
        <v>1</v>
      </c>
      <c r="H94" t="s">
        <v>1688</v>
      </c>
      <c r="I94" t="s">
        <v>15</v>
      </c>
    </row>
    <row r="95" spans="1:9" customFormat="1" ht="21">
      <c r="A95" s="28" t="s">
        <v>1704</v>
      </c>
      <c r="B95" s="28" t="s">
        <v>91</v>
      </c>
      <c r="C95" s="28" t="s">
        <v>92</v>
      </c>
      <c r="D95" s="28" t="s">
        <v>1705</v>
      </c>
      <c r="E95" s="29">
        <v>424231</v>
      </c>
      <c r="F95" s="29">
        <v>-424230</v>
      </c>
      <c r="G95" s="29">
        <v>1</v>
      </c>
      <c r="H95" t="s">
        <v>1688</v>
      </c>
      <c r="I95" t="s">
        <v>15</v>
      </c>
    </row>
    <row r="96" spans="1:9" customFormat="1" ht="21">
      <c r="A96" s="28" t="s">
        <v>1706</v>
      </c>
      <c r="B96" s="28" t="s">
        <v>91</v>
      </c>
      <c r="C96" s="28" t="s">
        <v>1171</v>
      </c>
      <c r="D96" s="28" t="s">
        <v>674</v>
      </c>
      <c r="E96" s="29">
        <v>350000</v>
      </c>
      <c r="F96" s="29">
        <v>-349999</v>
      </c>
      <c r="G96" s="29">
        <v>1</v>
      </c>
      <c r="H96" t="s">
        <v>1688</v>
      </c>
      <c r="I96" t="s">
        <v>675</v>
      </c>
    </row>
    <row r="97" spans="1:9" customFormat="1" ht="21">
      <c r="A97" s="28" t="s">
        <v>1706</v>
      </c>
      <c r="B97" s="28" t="s">
        <v>108</v>
      </c>
      <c r="C97" s="28" t="s">
        <v>1171</v>
      </c>
      <c r="D97" s="28" t="s">
        <v>674</v>
      </c>
      <c r="E97" s="29">
        <v>1750000</v>
      </c>
      <c r="F97" s="29">
        <v>-1749999</v>
      </c>
      <c r="G97" s="29">
        <v>1</v>
      </c>
      <c r="H97" t="s">
        <v>1688</v>
      </c>
      <c r="I97" t="s">
        <v>675</v>
      </c>
    </row>
    <row r="98" spans="1:9" customFormat="1" ht="21">
      <c r="A98" s="28" t="s">
        <v>1707</v>
      </c>
      <c r="B98" s="28" t="s">
        <v>91</v>
      </c>
      <c r="C98" s="28" t="s">
        <v>1171</v>
      </c>
      <c r="D98" s="28" t="s">
        <v>1708</v>
      </c>
      <c r="E98" s="29">
        <v>999915</v>
      </c>
      <c r="F98" s="29">
        <v>-999914</v>
      </c>
      <c r="G98" s="29">
        <v>1</v>
      </c>
      <c r="H98" t="s">
        <v>1688</v>
      </c>
      <c r="I98" t="s">
        <v>675</v>
      </c>
    </row>
    <row r="99" spans="1:9" customFormat="1" ht="21">
      <c r="A99" s="28" t="s">
        <v>1709</v>
      </c>
      <c r="B99" s="28" t="s">
        <v>91</v>
      </c>
      <c r="C99" s="28" t="s">
        <v>1171</v>
      </c>
      <c r="D99" s="28" t="s">
        <v>697</v>
      </c>
      <c r="E99" s="29">
        <v>23429.4</v>
      </c>
      <c r="F99" s="29">
        <v>-22069.86</v>
      </c>
      <c r="G99" s="29">
        <v>1359.54</v>
      </c>
      <c r="H99" t="s">
        <v>1688</v>
      </c>
      <c r="I99" t="s">
        <v>681</v>
      </c>
    </row>
    <row r="100" spans="1:9" customFormat="1" ht="21">
      <c r="A100" s="28" t="s">
        <v>1709</v>
      </c>
      <c r="B100" s="28" t="s">
        <v>108</v>
      </c>
      <c r="C100" s="28" t="s">
        <v>1171</v>
      </c>
      <c r="D100" s="28" t="s">
        <v>697</v>
      </c>
      <c r="E100" s="29">
        <v>59262.6</v>
      </c>
      <c r="F100" s="29">
        <v>-59261.599999999999</v>
      </c>
      <c r="G100" s="29">
        <v>1</v>
      </c>
      <c r="H100" t="s">
        <v>1688</v>
      </c>
      <c r="I100" t="s">
        <v>681</v>
      </c>
    </row>
    <row r="101" spans="1:9" customFormat="1" ht="21">
      <c r="A101" s="28" t="s">
        <v>1710</v>
      </c>
      <c r="B101" s="28" t="s">
        <v>91</v>
      </c>
      <c r="C101" s="28" t="s">
        <v>1171</v>
      </c>
      <c r="D101" s="28" t="s">
        <v>697</v>
      </c>
      <c r="E101" s="29">
        <v>23429.4</v>
      </c>
      <c r="F101" s="29">
        <v>-22069.86</v>
      </c>
      <c r="G101" s="29">
        <v>1359.54</v>
      </c>
      <c r="H101" t="s">
        <v>1688</v>
      </c>
      <c r="I101" t="s">
        <v>681</v>
      </c>
    </row>
    <row r="102" spans="1:9" customFormat="1" ht="21">
      <c r="A102" s="28" t="s">
        <v>1710</v>
      </c>
      <c r="B102" s="28" t="s">
        <v>108</v>
      </c>
      <c r="C102" s="28" t="s">
        <v>1171</v>
      </c>
      <c r="D102" s="28" t="s">
        <v>697</v>
      </c>
      <c r="E102" s="29">
        <v>59262.6</v>
      </c>
      <c r="F102" s="29">
        <v>-59261.599999999999</v>
      </c>
      <c r="G102" s="29">
        <v>1</v>
      </c>
      <c r="H102" t="s">
        <v>1688</v>
      </c>
      <c r="I102" t="s">
        <v>681</v>
      </c>
    </row>
    <row r="103" spans="1:9" customFormat="1" ht="21">
      <c r="A103" s="28" t="s">
        <v>1711</v>
      </c>
      <c r="B103" s="28" t="s">
        <v>91</v>
      </c>
      <c r="C103" s="28" t="s">
        <v>1171</v>
      </c>
      <c r="D103" s="28" t="s">
        <v>1712</v>
      </c>
      <c r="E103" s="29">
        <v>3600</v>
      </c>
      <c r="F103" s="29">
        <v>-3199.27</v>
      </c>
      <c r="G103" s="29">
        <v>400.73</v>
      </c>
      <c r="H103" t="s">
        <v>1688</v>
      </c>
      <c r="I103" t="s">
        <v>681</v>
      </c>
    </row>
    <row r="104" spans="1:9" customFormat="1" ht="21">
      <c r="A104" s="28" t="s">
        <v>1711</v>
      </c>
      <c r="B104" s="28" t="s">
        <v>108</v>
      </c>
      <c r="C104" s="28" t="s">
        <v>1171</v>
      </c>
      <c r="D104" s="28" t="s">
        <v>1712</v>
      </c>
      <c r="E104" s="29">
        <v>8400</v>
      </c>
      <c r="F104" s="29">
        <v>-8399</v>
      </c>
      <c r="G104" s="29">
        <v>1</v>
      </c>
      <c r="H104" t="s">
        <v>1688</v>
      </c>
      <c r="I104" t="s">
        <v>681</v>
      </c>
    </row>
    <row r="105" spans="1:9" customFormat="1" ht="21">
      <c r="A105" s="28" t="s">
        <v>1713</v>
      </c>
      <c r="B105" s="28" t="s">
        <v>91</v>
      </c>
      <c r="C105" s="28" t="s">
        <v>1171</v>
      </c>
      <c r="D105" s="28" t="s">
        <v>1712</v>
      </c>
      <c r="E105" s="29">
        <v>3600</v>
      </c>
      <c r="F105" s="29">
        <v>-3199.27</v>
      </c>
      <c r="G105" s="29">
        <v>400.73</v>
      </c>
      <c r="H105" t="s">
        <v>1688</v>
      </c>
      <c r="I105" t="s">
        <v>681</v>
      </c>
    </row>
    <row r="106" spans="1:9" customFormat="1" ht="21">
      <c r="A106" s="28" t="s">
        <v>1713</v>
      </c>
      <c r="B106" s="28" t="s">
        <v>108</v>
      </c>
      <c r="C106" s="28" t="s">
        <v>1171</v>
      </c>
      <c r="D106" s="28" t="s">
        <v>1712</v>
      </c>
      <c r="E106" s="29">
        <v>8400</v>
      </c>
      <c r="F106" s="29">
        <v>-8399</v>
      </c>
      <c r="G106" s="29">
        <v>1</v>
      </c>
      <c r="H106" t="s">
        <v>1688</v>
      </c>
      <c r="I106" t="s">
        <v>681</v>
      </c>
    </row>
    <row r="107" spans="1:9" customFormat="1" ht="21">
      <c r="A107" s="28" t="s">
        <v>1714</v>
      </c>
      <c r="B107" s="28" t="s">
        <v>91</v>
      </c>
      <c r="C107" s="28" t="s">
        <v>1171</v>
      </c>
      <c r="D107" s="28" t="s">
        <v>1712</v>
      </c>
      <c r="E107" s="29">
        <v>3600</v>
      </c>
      <c r="F107" s="29">
        <v>-3199.27</v>
      </c>
      <c r="G107" s="29">
        <v>400.73</v>
      </c>
      <c r="H107" t="s">
        <v>1688</v>
      </c>
      <c r="I107" t="s">
        <v>681</v>
      </c>
    </row>
    <row r="108" spans="1:9" customFormat="1" ht="21">
      <c r="A108" s="28" t="s">
        <v>1714</v>
      </c>
      <c r="B108" s="28" t="s">
        <v>108</v>
      </c>
      <c r="C108" s="28" t="s">
        <v>1171</v>
      </c>
      <c r="D108" s="28" t="s">
        <v>1712</v>
      </c>
      <c r="E108" s="29">
        <v>8400</v>
      </c>
      <c r="F108" s="29">
        <v>-8399</v>
      </c>
      <c r="G108" s="29">
        <v>1</v>
      </c>
      <c r="H108" t="s">
        <v>1688</v>
      </c>
      <c r="I108" t="s">
        <v>681</v>
      </c>
    </row>
    <row r="109" spans="1:9" customFormat="1" ht="21">
      <c r="A109" s="28" t="s">
        <v>1715</v>
      </c>
      <c r="B109" s="28" t="s">
        <v>91</v>
      </c>
      <c r="C109" s="28" t="s">
        <v>1171</v>
      </c>
      <c r="D109" s="28" t="s">
        <v>1712</v>
      </c>
      <c r="E109" s="29">
        <v>3600</v>
      </c>
      <c r="F109" s="29">
        <v>-3199.27</v>
      </c>
      <c r="G109" s="29">
        <v>400.73</v>
      </c>
      <c r="H109" t="s">
        <v>1688</v>
      </c>
      <c r="I109" t="s">
        <v>681</v>
      </c>
    </row>
    <row r="110" spans="1:9" customFormat="1" ht="21">
      <c r="A110" s="28" t="s">
        <v>1715</v>
      </c>
      <c r="B110" s="28" t="s">
        <v>108</v>
      </c>
      <c r="C110" s="28" t="s">
        <v>1171</v>
      </c>
      <c r="D110" s="28" t="s">
        <v>1712</v>
      </c>
      <c r="E110" s="29">
        <v>8400</v>
      </c>
      <c r="F110" s="29">
        <v>-8399</v>
      </c>
      <c r="G110" s="29">
        <v>1</v>
      </c>
      <c r="H110" t="s">
        <v>1688</v>
      </c>
      <c r="I110" t="s">
        <v>681</v>
      </c>
    </row>
    <row r="111" spans="1:9" customFormat="1" ht="21">
      <c r="A111" s="28" t="s">
        <v>1716</v>
      </c>
      <c r="B111" s="28" t="s">
        <v>91</v>
      </c>
      <c r="C111" s="28" t="s">
        <v>1171</v>
      </c>
      <c r="D111" s="28" t="s">
        <v>1047</v>
      </c>
      <c r="E111" s="29">
        <v>9450</v>
      </c>
      <c r="F111" s="29">
        <v>-8398.08</v>
      </c>
      <c r="G111" s="29">
        <v>1051.92</v>
      </c>
      <c r="H111" t="s">
        <v>1688</v>
      </c>
      <c r="I111" t="s">
        <v>681</v>
      </c>
    </row>
    <row r="112" spans="1:9" customFormat="1" ht="21">
      <c r="A112" s="28" t="s">
        <v>1716</v>
      </c>
      <c r="B112" s="28" t="s">
        <v>108</v>
      </c>
      <c r="C112" s="28" t="s">
        <v>1171</v>
      </c>
      <c r="D112" s="28" t="s">
        <v>1047</v>
      </c>
      <c r="E112" s="29">
        <v>22050</v>
      </c>
      <c r="F112" s="29">
        <v>-22049</v>
      </c>
      <c r="G112" s="29">
        <v>1</v>
      </c>
      <c r="H112" t="s">
        <v>1688</v>
      </c>
      <c r="I112" t="s">
        <v>681</v>
      </c>
    </row>
    <row r="113" spans="1:9" customFormat="1" ht="21">
      <c r="A113" s="28" t="s">
        <v>1717</v>
      </c>
      <c r="B113" s="28" t="s">
        <v>91</v>
      </c>
      <c r="C113" s="28" t="s">
        <v>1171</v>
      </c>
      <c r="D113" s="28" t="s">
        <v>1047</v>
      </c>
      <c r="E113" s="29">
        <v>9450</v>
      </c>
      <c r="F113" s="29">
        <v>-8398.08</v>
      </c>
      <c r="G113" s="29">
        <v>1051.92</v>
      </c>
      <c r="H113" t="s">
        <v>1688</v>
      </c>
      <c r="I113" t="s">
        <v>681</v>
      </c>
    </row>
    <row r="114" spans="1:9" customFormat="1" ht="21">
      <c r="A114" s="28" t="s">
        <v>1717</v>
      </c>
      <c r="B114" s="28" t="s">
        <v>108</v>
      </c>
      <c r="C114" s="28" t="s">
        <v>1171</v>
      </c>
      <c r="D114" s="28" t="s">
        <v>1047</v>
      </c>
      <c r="E114" s="29">
        <v>22050</v>
      </c>
      <c r="F114" s="29">
        <v>-22049</v>
      </c>
      <c r="G114" s="29">
        <v>1</v>
      </c>
      <c r="H114" t="s">
        <v>1688</v>
      </c>
      <c r="I114" t="s">
        <v>681</v>
      </c>
    </row>
    <row r="115" spans="1:9" customFormat="1" ht="21">
      <c r="A115" s="28" t="s">
        <v>1718</v>
      </c>
      <c r="B115" s="28" t="s">
        <v>91</v>
      </c>
      <c r="C115" s="28" t="s">
        <v>1171</v>
      </c>
      <c r="D115" s="28" t="s">
        <v>1047</v>
      </c>
      <c r="E115" s="29">
        <v>9450</v>
      </c>
      <c r="F115" s="29">
        <v>-8398.08</v>
      </c>
      <c r="G115" s="29">
        <v>1051.92</v>
      </c>
      <c r="H115" t="s">
        <v>1688</v>
      </c>
      <c r="I115" t="s">
        <v>681</v>
      </c>
    </row>
    <row r="116" spans="1:9" customFormat="1" ht="21">
      <c r="A116" s="28" t="s">
        <v>1718</v>
      </c>
      <c r="B116" s="28" t="s">
        <v>108</v>
      </c>
      <c r="C116" s="28" t="s">
        <v>1171</v>
      </c>
      <c r="D116" s="28" t="s">
        <v>1047</v>
      </c>
      <c r="E116" s="29">
        <v>22050</v>
      </c>
      <c r="F116" s="29">
        <v>-22049</v>
      </c>
      <c r="G116" s="29">
        <v>1</v>
      </c>
      <c r="H116" t="s">
        <v>1688</v>
      </c>
      <c r="I116" t="s">
        <v>681</v>
      </c>
    </row>
    <row r="117" spans="1:9" customFormat="1" ht="21">
      <c r="A117" s="28" t="s">
        <v>1719</v>
      </c>
      <c r="B117" s="28" t="s">
        <v>91</v>
      </c>
      <c r="C117" s="28" t="s">
        <v>1171</v>
      </c>
      <c r="D117" s="28" t="s">
        <v>1047</v>
      </c>
      <c r="E117" s="29">
        <v>9450</v>
      </c>
      <c r="F117" s="29">
        <v>-8398.08</v>
      </c>
      <c r="G117" s="29">
        <v>1051.92</v>
      </c>
      <c r="H117" t="s">
        <v>1688</v>
      </c>
      <c r="I117" t="s">
        <v>681</v>
      </c>
    </row>
    <row r="118" spans="1:9" customFormat="1" ht="21">
      <c r="A118" s="28" t="s">
        <v>1719</v>
      </c>
      <c r="B118" s="28" t="s">
        <v>108</v>
      </c>
      <c r="C118" s="28" t="s">
        <v>1171</v>
      </c>
      <c r="D118" s="28" t="s">
        <v>1047</v>
      </c>
      <c r="E118" s="29">
        <v>22050</v>
      </c>
      <c r="F118" s="29">
        <v>-22049</v>
      </c>
      <c r="G118" s="29">
        <v>1</v>
      </c>
      <c r="H118" t="s">
        <v>1688</v>
      </c>
      <c r="I118" t="s">
        <v>681</v>
      </c>
    </row>
    <row r="119" spans="1:9" customFormat="1" ht="21">
      <c r="A119" s="28" t="s">
        <v>1720</v>
      </c>
      <c r="B119" s="28" t="s">
        <v>91</v>
      </c>
      <c r="C119" s="28" t="s">
        <v>1171</v>
      </c>
      <c r="D119" s="28" t="s">
        <v>1047</v>
      </c>
      <c r="E119" s="29">
        <v>9450</v>
      </c>
      <c r="F119" s="29">
        <v>-8398.08</v>
      </c>
      <c r="G119" s="29">
        <v>1051.92</v>
      </c>
      <c r="H119" t="s">
        <v>1688</v>
      </c>
      <c r="I119" t="s">
        <v>681</v>
      </c>
    </row>
    <row r="120" spans="1:9" customFormat="1" ht="21">
      <c r="A120" s="28" t="s">
        <v>1720</v>
      </c>
      <c r="B120" s="28" t="s">
        <v>108</v>
      </c>
      <c r="C120" s="28" t="s">
        <v>1171</v>
      </c>
      <c r="D120" s="28" t="s">
        <v>1047</v>
      </c>
      <c r="E120" s="29">
        <v>22050</v>
      </c>
      <c r="F120" s="29">
        <v>-22049</v>
      </c>
      <c r="G120" s="29">
        <v>1</v>
      </c>
      <c r="H120" t="s">
        <v>1688</v>
      </c>
      <c r="I120" t="s">
        <v>681</v>
      </c>
    </row>
    <row r="121" spans="1:9" customFormat="1" ht="21">
      <c r="A121" s="28" t="s">
        <v>1721</v>
      </c>
      <c r="B121" s="28" t="s">
        <v>91</v>
      </c>
      <c r="C121" s="28" t="s">
        <v>1171</v>
      </c>
      <c r="D121" s="28" t="s">
        <v>1722</v>
      </c>
      <c r="E121" s="29">
        <v>135000</v>
      </c>
      <c r="F121" s="29">
        <v>-119972.63</v>
      </c>
      <c r="G121" s="29">
        <v>15027.37</v>
      </c>
      <c r="H121" t="s">
        <v>1688</v>
      </c>
      <c r="I121" t="s">
        <v>681</v>
      </c>
    </row>
    <row r="122" spans="1:9" customFormat="1" ht="21">
      <c r="A122" s="28" t="s">
        <v>1721</v>
      </c>
      <c r="B122" s="28" t="s">
        <v>108</v>
      </c>
      <c r="C122" s="28" t="s">
        <v>1171</v>
      </c>
      <c r="D122" s="28" t="s">
        <v>1722</v>
      </c>
      <c r="E122" s="29">
        <v>315000</v>
      </c>
      <c r="F122" s="29">
        <v>-314999</v>
      </c>
      <c r="G122" s="29">
        <v>1</v>
      </c>
      <c r="H122" t="s">
        <v>1688</v>
      </c>
      <c r="I122" t="s">
        <v>681</v>
      </c>
    </row>
    <row r="123" spans="1:9" customFormat="1" ht="21">
      <c r="A123" s="28" t="s">
        <v>1723</v>
      </c>
      <c r="B123" s="28" t="s">
        <v>91</v>
      </c>
      <c r="C123" s="28" t="s">
        <v>1171</v>
      </c>
      <c r="D123" s="28" t="s">
        <v>1724</v>
      </c>
      <c r="E123" s="29">
        <v>27060</v>
      </c>
      <c r="F123" s="29">
        <v>-21674.71</v>
      </c>
      <c r="G123" s="29">
        <v>5385.29</v>
      </c>
      <c r="H123" t="s">
        <v>1688</v>
      </c>
      <c r="I123" t="s">
        <v>681</v>
      </c>
    </row>
    <row r="124" spans="1:9" customFormat="1" ht="21">
      <c r="A124" s="28" t="s">
        <v>1723</v>
      </c>
      <c r="B124" s="28" t="s">
        <v>108</v>
      </c>
      <c r="C124" s="28" t="s">
        <v>1171</v>
      </c>
      <c r="D124" s="28" t="s">
        <v>1724</v>
      </c>
      <c r="E124" s="29">
        <v>54120</v>
      </c>
      <c r="F124" s="29">
        <v>-54119</v>
      </c>
      <c r="G124" s="29">
        <v>1</v>
      </c>
      <c r="H124" t="s">
        <v>1688</v>
      </c>
      <c r="I124" t="s">
        <v>681</v>
      </c>
    </row>
    <row r="125" spans="1:9" customFormat="1" ht="21">
      <c r="A125" s="28" t="s">
        <v>1725</v>
      </c>
      <c r="B125" s="28" t="s">
        <v>91</v>
      </c>
      <c r="C125" s="28" t="s">
        <v>1171</v>
      </c>
      <c r="D125" s="28" t="s">
        <v>1724</v>
      </c>
      <c r="E125" s="29">
        <v>27060</v>
      </c>
      <c r="F125" s="29">
        <v>-21674.71</v>
      </c>
      <c r="G125" s="29">
        <v>5385.29</v>
      </c>
      <c r="H125" t="s">
        <v>1688</v>
      </c>
      <c r="I125" t="s">
        <v>681</v>
      </c>
    </row>
    <row r="126" spans="1:9" customFormat="1" ht="21">
      <c r="A126" s="28" t="s">
        <v>1725</v>
      </c>
      <c r="B126" s="28" t="s">
        <v>108</v>
      </c>
      <c r="C126" s="28" t="s">
        <v>1171</v>
      </c>
      <c r="D126" s="28" t="s">
        <v>1724</v>
      </c>
      <c r="E126" s="29">
        <v>54120</v>
      </c>
      <c r="F126" s="29">
        <v>-54119</v>
      </c>
      <c r="G126" s="29">
        <v>1</v>
      </c>
      <c r="H126" t="s">
        <v>1688</v>
      </c>
      <c r="I126" t="s">
        <v>681</v>
      </c>
    </row>
    <row r="127" spans="1:9" customFormat="1" ht="21">
      <c r="A127" s="28" t="s">
        <v>1726</v>
      </c>
      <c r="B127" s="28" t="s">
        <v>91</v>
      </c>
      <c r="C127" s="28" t="s">
        <v>1171</v>
      </c>
      <c r="D127" s="28" t="s">
        <v>1727</v>
      </c>
      <c r="E127" s="29">
        <v>12184.25</v>
      </c>
      <c r="F127" s="29">
        <v>-12183.25</v>
      </c>
      <c r="G127" s="29">
        <v>1</v>
      </c>
      <c r="H127" t="s">
        <v>1688</v>
      </c>
      <c r="I127" t="s">
        <v>681</v>
      </c>
    </row>
    <row r="128" spans="1:9" customFormat="1" ht="21">
      <c r="A128" s="28" t="s">
        <v>1726</v>
      </c>
      <c r="B128" s="28" t="s">
        <v>108</v>
      </c>
      <c r="C128" s="28" t="s">
        <v>1171</v>
      </c>
      <c r="D128" s="28" t="s">
        <v>1727</v>
      </c>
      <c r="E128" s="29">
        <v>44050.75</v>
      </c>
      <c r="F128" s="29">
        <v>-44049.75</v>
      </c>
      <c r="G128" s="29">
        <v>1</v>
      </c>
      <c r="H128" t="s">
        <v>1688</v>
      </c>
      <c r="I128" t="s">
        <v>681</v>
      </c>
    </row>
    <row r="129" spans="1:9" customFormat="1" ht="21">
      <c r="A129" s="28" t="s">
        <v>1728</v>
      </c>
      <c r="B129" s="28" t="s">
        <v>91</v>
      </c>
      <c r="C129" s="28" t="s">
        <v>1171</v>
      </c>
      <c r="D129" s="28" t="s">
        <v>1727</v>
      </c>
      <c r="E129" s="29">
        <v>12184.25</v>
      </c>
      <c r="F129" s="29">
        <v>-12183.25</v>
      </c>
      <c r="G129" s="29">
        <v>1</v>
      </c>
      <c r="H129" t="s">
        <v>1688</v>
      </c>
      <c r="I129" t="s">
        <v>681</v>
      </c>
    </row>
    <row r="130" spans="1:9" customFormat="1" ht="21">
      <c r="A130" s="28" t="s">
        <v>1728</v>
      </c>
      <c r="B130" s="28" t="s">
        <v>108</v>
      </c>
      <c r="C130" s="28" t="s">
        <v>1171</v>
      </c>
      <c r="D130" s="28" t="s">
        <v>1727</v>
      </c>
      <c r="E130" s="29">
        <v>44050.75</v>
      </c>
      <c r="F130" s="29">
        <v>-44049.75</v>
      </c>
      <c r="G130" s="29">
        <v>1</v>
      </c>
      <c r="H130" t="s">
        <v>1688</v>
      </c>
      <c r="I130" t="s">
        <v>681</v>
      </c>
    </row>
    <row r="131" spans="1:9" customFormat="1" ht="21">
      <c r="A131" s="28" t="s">
        <v>1729</v>
      </c>
      <c r="B131" s="28" t="s">
        <v>91</v>
      </c>
      <c r="C131" s="28" t="s">
        <v>1171</v>
      </c>
      <c r="D131" s="28" t="s">
        <v>1730</v>
      </c>
      <c r="E131" s="29">
        <v>12884.58</v>
      </c>
      <c r="F131" s="29">
        <v>-12136.93</v>
      </c>
      <c r="G131" s="29">
        <v>747.65</v>
      </c>
      <c r="H131" t="s">
        <v>1688</v>
      </c>
      <c r="I131" t="s">
        <v>681</v>
      </c>
    </row>
    <row r="132" spans="1:9" customFormat="1" ht="21">
      <c r="A132" s="28" t="s">
        <v>1729</v>
      </c>
      <c r="B132" s="28" t="s">
        <v>108</v>
      </c>
      <c r="C132" s="28" t="s">
        <v>1171</v>
      </c>
      <c r="D132" s="28" t="s">
        <v>1730</v>
      </c>
      <c r="E132" s="29">
        <v>32590.42</v>
      </c>
      <c r="F132" s="29">
        <v>-32589.42</v>
      </c>
      <c r="G132" s="29">
        <v>1</v>
      </c>
      <c r="H132" t="s">
        <v>1688</v>
      </c>
      <c r="I132" t="s">
        <v>681</v>
      </c>
    </row>
    <row r="133" spans="1:9" customFormat="1" ht="21">
      <c r="A133" s="28" t="s">
        <v>1731</v>
      </c>
      <c r="B133" s="28" t="s">
        <v>91</v>
      </c>
      <c r="C133" s="28" t="s">
        <v>1171</v>
      </c>
      <c r="D133" s="28" t="s">
        <v>1312</v>
      </c>
      <c r="E133" s="29">
        <v>89883</v>
      </c>
      <c r="F133" s="29">
        <v>-53316.71</v>
      </c>
      <c r="G133" s="29">
        <v>36566.29</v>
      </c>
      <c r="H133" t="s">
        <v>1688</v>
      </c>
      <c r="I133" t="s">
        <v>681</v>
      </c>
    </row>
    <row r="134" spans="1:9" customFormat="1" ht="21">
      <c r="A134" s="28" t="s">
        <v>1731</v>
      </c>
      <c r="B134" s="28" t="s">
        <v>108</v>
      </c>
      <c r="C134" s="28" t="s">
        <v>1171</v>
      </c>
      <c r="D134" s="28" t="s">
        <v>1312</v>
      </c>
      <c r="E134" s="29">
        <v>109857</v>
      </c>
      <c r="F134" s="29">
        <v>-109856</v>
      </c>
      <c r="G134" s="29">
        <v>1</v>
      </c>
      <c r="H134" t="s">
        <v>1688</v>
      </c>
      <c r="I134" t="s">
        <v>681</v>
      </c>
    </row>
    <row r="135" spans="1:9" customFormat="1" ht="21">
      <c r="A135" s="28" t="s">
        <v>1732</v>
      </c>
      <c r="B135" s="28" t="s">
        <v>91</v>
      </c>
      <c r="C135" s="28" t="s">
        <v>1171</v>
      </c>
      <c r="D135" s="28" t="s">
        <v>1312</v>
      </c>
      <c r="E135" s="29">
        <v>89883</v>
      </c>
      <c r="F135" s="29">
        <v>-53316.71</v>
      </c>
      <c r="G135" s="29">
        <v>36566.29</v>
      </c>
      <c r="H135" t="s">
        <v>1688</v>
      </c>
      <c r="I135" t="s">
        <v>681</v>
      </c>
    </row>
    <row r="136" spans="1:9" customFormat="1" ht="21">
      <c r="A136" s="28" t="s">
        <v>1732</v>
      </c>
      <c r="B136" s="28" t="s">
        <v>108</v>
      </c>
      <c r="C136" s="28" t="s">
        <v>1171</v>
      </c>
      <c r="D136" s="28" t="s">
        <v>1312</v>
      </c>
      <c r="E136" s="29">
        <v>109857</v>
      </c>
      <c r="F136" s="29">
        <v>-109856</v>
      </c>
      <c r="G136" s="29">
        <v>1</v>
      </c>
      <c r="H136" t="s">
        <v>1688</v>
      </c>
      <c r="I136" t="s">
        <v>681</v>
      </c>
    </row>
    <row r="137" spans="1:9" customFormat="1" ht="21">
      <c r="A137" s="28" t="s">
        <v>1733</v>
      </c>
      <c r="B137" s="28" t="s">
        <v>91</v>
      </c>
      <c r="C137" s="28" t="s">
        <v>1171</v>
      </c>
      <c r="D137" s="28" t="s">
        <v>1312</v>
      </c>
      <c r="E137" s="29">
        <v>89883</v>
      </c>
      <c r="F137" s="29">
        <v>-53316.71</v>
      </c>
      <c r="G137" s="29">
        <v>36566.29</v>
      </c>
      <c r="H137" t="s">
        <v>1688</v>
      </c>
      <c r="I137" t="s">
        <v>681</v>
      </c>
    </row>
    <row r="138" spans="1:9" customFormat="1" ht="21">
      <c r="A138" s="28" t="s">
        <v>1733</v>
      </c>
      <c r="B138" s="28" t="s">
        <v>108</v>
      </c>
      <c r="C138" s="28" t="s">
        <v>1171</v>
      </c>
      <c r="D138" s="28" t="s">
        <v>1312</v>
      </c>
      <c r="E138" s="29">
        <v>109857</v>
      </c>
      <c r="F138" s="29">
        <v>-109856</v>
      </c>
      <c r="G138" s="29">
        <v>1</v>
      </c>
      <c r="H138" t="s">
        <v>1688</v>
      </c>
      <c r="I138" t="s">
        <v>681</v>
      </c>
    </row>
    <row r="139" spans="1:9" customFormat="1" ht="21">
      <c r="A139" s="28" t="s">
        <v>1734</v>
      </c>
      <c r="B139" s="28" t="s">
        <v>91</v>
      </c>
      <c r="C139" s="28" t="s">
        <v>1171</v>
      </c>
      <c r="D139" s="28" t="s">
        <v>1312</v>
      </c>
      <c r="E139" s="29">
        <v>89883</v>
      </c>
      <c r="F139" s="29">
        <v>-53316.71</v>
      </c>
      <c r="G139" s="29">
        <v>36566.29</v>
      </c>
      <c r="H139" t="s">
        <v>1688</v>
      </c>
      <c r="I139" t="s">
        <v>681</v>
      </c>
    </row>
    <row r="140" spans="1:9" customFormat="1" ht="21">
      <c r="A140" s="28" t="s">
        <v>1734</v>
      </c>
      <c r="B140" s="28" t="s">
        <v>108</v>
      </c>
      <c r="C140" s="28" t="s">
        <v>1171</v>
      </c>
      <c r="D140" s="28" t="s">
        <v>1312</v>
      </c>
      <c r="E140" s="29">
        <v>109857</v>
      </c>
      <c r="F140" s="29">
        <v>-109856</v>
      </c>
      <c r="G140" s="29">
        <v>1</v>
      </c>
      <c r="H140" t="s">
        <v>1688</v>
      </c>
      <c r="I140" t="s">
        <v>681</v>
      </c>
    </row>
    <row r="141" spans="1:9" customFormat="1" ht="21">
      <c r="A141" s="28" t="s">
        <v>1735</v>
      </c>
      <c r="B141" s="28" t="s">
        <v>91</v>
      </c>
      <c r="C141" s="28" t="s">
        <v>1171</v>
      </c>
      <c r="D141" s="28" t="s">
        <v>1312</v>
      </c>
      <c r="E141" s="29">
        <v>89883</v>
      </c>
      <c r="F141" s="29">
        <v>-53316.71</v>
      </c>
      <c r="G141" s="29">
        <v>36566.29</v>
      </c>
      <c r="H141" t="s">
        <v>1688</v>
      </c>
      <c r="I141" t="s">
        <v>681</v>
      </c>
    </row>
    <row r="142" spans="1:9" customFormat="1" ht="21">
      <c r="A142" s="28" t="s">
        <v>1735</v>
      </c>
      <c r="B142" s="28" t="s">
        <v>108</v>
      </c>
      <c r="C142" s="28" t="s">
        <v>1171</v>
      </c>
      <c r="D142" s="28" t="s">
        <v>1312</v>
      </c>
      <c r="E142" s="29">
        <v>109857</v>
      </c>
      <c r="F142" s="29">
        <v>-109856</v>
      </c>
      <c r="G142" s="29">
        <v>1</v>
      </c>
      <c r="H142" t="s">
        <v>1688</v>
      </c>
      <c r="I142" t="s">
        <v>681</v>
      </c>
    </row>
    <row r="143" spans="1:9" customFormat="1" ht="21">
      <c r="A143" s="28" t="s">
        <v>1736</v>
      </c>
      <c r="B143" s="28" t="s">
        <v>91</v>
      </c>
      <c r="C143" s="28" t="s">
        <v>1171</v>
      </c>
      <c r="D143" s="28" t="s">
        <v>697</v>
      </c>
      <c r="E143" s="29">
        <v>66825</v>
      </c>
      <c r="F143" s="29">
        <v>-39639.19</v>
      </c>
      <c r="G143" s="29">
        <v>27185.81</v>
      </c>
      <c r="H143" t="s">
        <v>1688</v>
      </c>
      <c r="I143" t="s">
        <v>681</v>
      </c>
    </row>
    <row r="144" spans="1:9" customFormat="1" ht="21">
      <c r="A144" s="28" t="s">
        <v>1736</v>
      </c>
      <c r="B144" s="28" t="s">
        <v>108</v>
      </c>
      <c r="C144" s="28" t="s">
        <v>1171</v>
      </c>
      <c r="D144" s="28" t="s">
        <v>697</v>
      </c>
      <c r="E144" s="29">
        <v>81675</v>
      </c>
      <c r="F144" s="29">
        <v>-81674</v>
      </c>
      <c r="G144" s="29">
        <v>1</v>
      </c>
      <c r="H144" t="s">
        <v>1688</v>
      </c>
      <c r="I144" t="s">
        <v>681</v>
      </c>
    </row>
    <row r="145" spans="1:9" customFormat="1" ht="21">
      <c r="A145" s="28" t="s">
        <v>1737</v>
      </c>
      <c r="B145" s="28" t="s">
        <v>91</v>
      </c>
      <c r="C145" s="28" t="s">
        <v>1171</v>
      </c>
      <c r="D145" s="28" t="s">
        <v>1738</v>
      </c>
      <c r="E145" s="29">
        <v>398666.67</v>
      </c>
      <c r="F145" s="29">
        <v>-122724.82</v>
      </c>
      <c r="G145" s="29">
        <v>275941.84999999998</v>
      </c>
      <c r="H145" t="s">
        <v>1688</v>
      </c>
      <c r="I145" t="s">
        <v>681</v>
      </c>
    </row>
    <row r="146" spans="1:9" customFormat="1" ht="21">
      <c r="A146" s="28" t="s">
        <v>1737</v>
      </c>
      <c r="B146" s="28" t="s">
        <v>108</v>
      </c>
      <c r="C146" s="28" t="s">
        <v>1171</v>
      </c>
      <c r="D146" s="28" t="s">
        <v>1738</v>
      </c>
      <c r="E146" s="29">
        <v>61333.33</v>
      </c>
      <c r="F146" s="29">
        <v>-61332.33</v>
      </c>
      <c r="G146" s="29">
        <v>1</v>
      </c>
      <c r="H146" t="s">
        <v>1688</v>
      </c>
      <c r="I146" t="s">
        <v>681</v>
      </c>
    </row>
    <row r="147" spans="1:9" customFormat="1" ht="21">
      <c r="A147" s="28" t="s">
        <v>1739</v>
      </c>
      <c r="B147" s="28" t="s">
        <v>91</v>
      </c>
      <c r="C147" s="28" t="s">
        <v>1171</v>
      </c>
      <c r="D147" s="28" t="s">
        <v>1740</v>
      </c>
      <c r="E147" s="29">
        <v>596866.67000000004</v>
      </c>
      <c r="F147" s="29">
        <v>-170683.54</v>
      </c>
      <c r="G147" s="29">
        <v>426183.13</v>
      </c>
      <c r="H147" t="s">
        <v>1688</v>
      </c>
      <c r="I147" t="s">
        <v>681</v>
      </c>
    </row>
    <row r="148" spans="1:9" customFormat="1" ht="21">
      <c r="A148" s="28" t="s">
        <v>1739</v>
      </c>
      <c r="B148" s="28" t="s">
        <v>108</v>
      </c>
      <c r="C148" s="28" t="s">
        <v>1171</v>
      </c>
      <c r="D148" s="28" t="s">
        <v>1740</v>
      </c>
      <c r="E148" s="29">
        <v>42633.33</v>
      </c>
      <c r="F148" s="29">
        <v>-42632.33</v>
      </c>
      <c r="G148" s="29">
        <v>1</v>
      </c>
      <c r="H148" t="s">
        <v>1688</v>
      </c>
      <c r="I148" t="s">
        <v>681</v>
      </c>
    </row>
    <row r="149" spans="1:9" customFormat="1" ht="21">
      <c r="A149" s="28" t="s">
        <v>1741</v>
      </c>
      <c r="B149" s="28" t="s">
        <v>91</v>
      </c>
      <c r="C149" s="28" t="s">
        <v>679</v>
      </c>
      <c r="D149" s="28" t="s">
        <v>680</v>
      </c>
      <c r="E149" s="29">
        <v>449663</v>
      </c>
      <c r="F149" s="29">
        <v>-103237.7</v>
      </c>
      <c r="G149" s="29">
        <v>346425.3</v>
      </c>
      <c r="H149" t="s">
        <v>1688</v>
      </c>
      <c r="I149" t="s">
        <v>681</v>
      </c>
    </row>
    <row r="150" spans="1:9" customFormat="1" ht="21">
      <c r="A150" s="28" t="s">
        <v>1742</v>
      </c>
      <c r="B150" s="28" t="s">
        <v>91</v>
      </c>
      <c r="C150" s="28" t="s">
        <v>679</v>
      </c>
      <c r="D150" s="28" t="s">
        <v>683</v>
      </c>
      <c r="E150" s="29">
        <v>49870</v>
      </c>
      <c r="F150" s="29">
        <v>-11449.61</v>
      </c>
      <c r="G150" s="29">
        <v>38420.39</v>
      </c>
      <c r="H150" t="s">
        <v>1688</v>
      </c>
      <c r="I150" t="s">
        <v>681</v>
      </c>
    </row>
    <row r="151" spans="1:9" customFormat="1" ht="21">
      <c r="A151" s="28" t="s">
        <v>1743</v>
      </c>
      <c r="B151" s="28" t="s">
        <v>91</v>
      </c>
      <c r="C151" s="28" t="s">
        <v>679</v>
      </c>
      <c r="D151" s="28" t="s">
        <v>683</v>
      </c>
      <c r="E151" s="29">
        <v>49870</v>
      </c>
      <c r="F151" s="29">
        <v>-11449.61</v>
      </c>
      <c r="G151" s="29">
        <v>38420.39</v>
      </c>
      <c r="H151" t="s">
        <v>1688</v>
      </c>
      <c r="I151" t="s">
        <v>681</v>
      </c>
    </row>
    <row r="152" spans="1:9" customFormat="1" ht="21">
      <c r="A152" s="28" t="s">
        <v>1744</v>
      </c>
      <c r="B152" s="28" t="s">
        <v>91</v>
      </c>
      <c r="C152" s="28" t="s">
        <v>679</v>
      </c>
      <c r="D152" s="28" t="s">
        <v>683</v>
      </c>
      <c r="E152" s="29">
        <v>49870</v>
      </c>
      <c r="F152" s="29">
        <v>-11449.61</v>
      </c>
      <c r="G152" s="29">
        <v>38420.39</v>
      </c>
      <c r="H152" t="s">
        <v>1688</v>
      </c>
      <c r="I152" t="s">
        <v>681</v>
      </c>
    </row>
    <row r="153" spans="1:9" customFormat="1" ht="21">
      <c r="A153" s="28" t="s">
        <v>1745</v>
      </c>
      <c r="B153" s="28" t="s">
        <v>91</v>
      </c>
      <c r="C153" s="28" t="s">
        <v>679</v>
      </c>
      <c r="D153" s="28" t="s">
        <v>683</v>
      </c>
      <c r="E153" s="29">
        <v>49870</v>
      </c>
      <c r="F153" s="29">
        <v>-11449.61</v>
      </c>
      <c r="G153" s="29">
        <v>38420.39</v>
      </c>
      <c r="H153" t="s">
        <v>1688</v>
      </c>
      <c r="I153" t="s">
        <v>681</v>
      </c>
    </row>
    <row r="154" spans="1:9" customFormat="1" ht="21">
      <c r="A154" s="28" t="s">
        <v>1746</v>
      </c>
      <c r="B154" s="28" t="s">
        <v>91</v>
      </c>
      <c r="C154" s="28" t="s">
        <v>679</v>
      </c>
      <c r="D154" s="28" t="s">
        <v>683</v>
      </c>
      <c r="E154" s="29">
        <v>49870</v>
      </c>
      <c r="F154" s="29">
        <v>-11449.61</v>
      </c>
      <c r="G154" s="29">
        <v>38420.39</v>
      </c>
      <c r="H154" t="s">
        <v>1688</v>
      </c>
      <c r="I154" t="s">
        <v>681</v>
      </c>
    </row>
    <row r="155" spans="1:9" customFormat="1" ht="21">
      <c r="A155" s="28" t="s">
        <v>1747</v>
      </c>
      <c r="B155" s="28" t="s">
        <v>91</v>
      </c>
      <c r="C155" s="28" t="s">
        <v>679</v>
      </c>
      <c r="D155" s="28" t="s">
        <v>683</v>
      </c>
      <c r="E155" s="29">
        <v>49870</v>
      </c>
      <c r="F155" s="29">
        <v>-11449.61</v>
      </c>
      <c r="G155" s="29">
        <v>38420.39</v>
      </c>
      <c r="H155" t="s">
        <v>1688</v>
      </c>
      <c r="I155" t="s">
        <v>681</v>
      </c>
    </row>
    <row r="156" spans="1:9" customFormat="1" ht="21">
      <c r="A156" s="28" t="s">
        <v>1748</v>
      </c>
      <c r="B156" s="28" t="s">
        <v>91</v>
      </c>
      <c r="C156" s="28" t="s">
        <v>679</v>
      </c>
      <c r="D156" s="28" t="s">
        <v>683</v>
      </c>
      <c r="E156" s="29">
        <v>49870</v>
      </c>
      <c r="F156" s="29">
        <v>-11449.61</v>
      </c>
      <c r="G156" s="29">
        <v>38420.39</v>
      </c>
      <c r="H156" t="s">
        <v>1688</v>
      </c>
      <c r="I156" t="s">
        <v>681</v>
      </c>
    </row>
    <row r="157" spans="1:9" customFormat="1" ht="21">
      <c r="A157" s="28" t="s">
        <v>1749</v>
      </c>
      <c r="B157" s="28" t="s">
        <v>91</v>
      </c>
      <c r="C157" s="28" t="s">
        <v>686</v>
      </c>
      <c r="D157" s="28" t="s">
        <v>687</v>
      </c>
      <c r="E157" s="29">
        <v>349650</v>
      </c>
      <c r="F157" s="29">
        <v>-91004.800000000003</v>
      </c>
      <c r="G157" s="29">
        <v>258645.2</v>
      </c>
      <c r="H157" t="s">
        <v>1688</v>
      </c>
      <c r="I157" t="s">
        <v>681</v>
      </c>
    </row>
  </sheetData>
  <mergeCells count="105">
    <mergeCell ref="A3:A4"/>
    <mergeCell ref="B3:B4"/>
    <mergeCell ref="C3:N3"/>
    <mergeCell ref="P3:P4"/>
    <mergeCell ref="Q3:Q4"/>
    <mergeCell ref="R3:AC3"/>
    <mergeCell ref="A1:N1"/>
    <mergeCell ref="P1:AC1"/>
    <mergeCell ref="AE1:BD1"/>
    <mergeCell ref="A2:N2"/>
    <mergeCell ref="P2:AC2"/>
    <mergeCell ref="AE2:BD2"/>
    <mergeCell ref="C14:N14"/>
    <mergeCell ref="P14:P15"/>
    <mergeCell ref="Q14:Q15"/>
    <mergeCell ref="R14:AC14"/>
    <mergeCell ref="BA3:BB3"/>
    <mergeCell ref="BC3:BD3"/>
    <mergeCell ref="A12:N12"/>
    <mergeCell ref="P12:AC12"/>
    <mergeCell ref="AE12:BD12"/>
    <mergeCell ref="A13:N13"/>
    <mergeCell ref="P13:AC13"/>
    <mergeCell ref="AE13:BD13"/>
    <mergeCell ref="AO3:AP3"/>
    <mergeCell ref="AQ3:AR3"/>
    <mergeCell ref="AS3:AT3"/>
    <mergeCell ref="AU3:AV3"/>
    <mergeCell ref="AW3:AX3"/>
    <mergeCell ref="AY3:AZ3"/>
    <mergeCell ref="AE3:AE4"/>
    <mergeCell ref="AF3:AF4"/>
    <mergeCell ref="AG3:AH3"/>
    <mergeCell ref="AI3:AJ3"/>
    <mergeCell ref="AK3:AL3"/>
    <mergeCell ref="AM3:AN3"/>
    <mergeCell ref="Q25:Q26"/>
    <mergeCell ref="R25:AC25"/>
    <mergeCell ref="BA14:BB14"/>
    <mergeCell ref="BC14:BD14"/>
    <mergeCell ref="A23:N23"/>
    <mergeCell ref="P23:AC23"/>
    <mergeCell ref="AE23:BD23"/>
    <mergeCell ref="A24:N24"/>
    <mergeCell ref="P24:AC24"/>
    <mergeCell ref="AE24:BD24"/>
    <mergeCell ref="AO14:AP14"/>
    <mergeCell ref="AQ14:AR14"/>
    <mergeCell ref="AS14:AT14"/>
    <mergeCell ref="AU14:AV14"/>
    <mergeCell ref="AW14:AX14"/>
    <mergeCell ref="AY14:AZ14"/>
    <mergeCell ref="AE14:AE15"/>
    <mergeCell ref="AF14:AF15"/>
    <mergeCell ref="AG14:AH14"/>
    <mergeCell ref="AI14:AJ14"/>
    <mergeCell ref="AK14:AL14"/>
    <mergeCell ref="AM14:AN14"/>
    <mergeCell ref="A14:A15"/>
    <mergeCell ref="B14:B15"/>
    <mergeCell ref="BA25:BB25"/>
    <mergeCell ref="BC25:BD25"/>
    <mergeCell ref="A43:N43"/>
    <mergeCell ref="P43:AC43"/>
    <mergeCell ref="AE43:BD43"/>
    <mergeCell ref="A44:N44"/>
    <mergeCell ref="P44:AC44"/>
    <mergeCell ref="AE44:BD44"/>
    <mergeCell ref="AO25:AP25"/>
    <mergeCell ref="AQ25:AR25"/>
    <mergeCell ref="AS25:AT25"/>
    <mergeCell ref="AU25:AV25"/>
    <mergeCell ref="AW25:AX25"/>
    <mergeCell ref="AY25:AZ25"/>
    <mergeCell ref="AE25:AE26"/>
    <mergeCell ref="AF25:AF26"/>
    <mergeCell ref="AG25:AH25"/>
    <mergeCell ref="AI25:AJ25"/>
    <mergeCell ref="AK25:AL25"/>
    <mergeCell ref="AM25:AN25"/>
    <mergeCell ref="A25:A26"/>
    <mergeCell ref="B25:B26"/>
    <mergeCell ref="C25:N25"/>
    <mergeCell ref="P25:P26"/>
    <mergeCell ref="BA45:BB45"/>
    <mergeCell ref="BC45:BD45"/>
    <mergeCell ref="A63:I63"/>
    <mergeCell ref="AO45:AP45"/>
    <mergeCell ref="AQ45:AR45"/>
    <mergeCell ref="AS45:AT45"/>
    <mergeCell ref="AU45:AV45"/>
    <mergeCell ref="AW45:AX45"/>
    <mergeCell ref="AY45:AZ45"/>
    <mergeCell ref="AE45:AE46"/>
    <mergeCell ref="AF45:AF46"/>
    <mergeCell ref="AG45:AH45"/>
    <mergeCell ref="AI45:AJ45"/>
    <mergeCell ref="AK45:AL45"/>
    <mergeCell ref="AM45:AN45"/>
    <mergeCell ref="A45:A46"/>
    <mergeCell ref="B45:B46"/>
    <mergeCell ref="C45:N45"/>
    <mergeCell ref="P45:P46"/>
    <mergeCell ref="Q45:Q46"/>
    <mergeCell ref="R45:AC4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C308-6FF6-46C5-95AD-35923D2DFBFB}">
  <dimension ref="A1:BD119"/>
  <sheetViews>
    <sheetView topLeftCell="A13" workbookViewId="0">
      <selection activeCell="E55" sqref="E55"/>
    </sheetView>
  </sheetViews>
  <sheetFormatPr defaultColWidth="18.75" defaultRowHeight="24.6"/>
  <cols>
    <col min="1" max="1" width="6.75" style="24" bestFit="1" customWidth="1"/>
    <col min="2" max="2" width="53" style="13" bestFit="1" customWidth="1"/>
    <col min="3" max="15" width="18.75" style="13"/>
    <col min="16" max="16" width="6.75" style="24" bestFit="1" customWidth="1"/>
    <col min="17" max="17" width="53" style="13" bestFit="1" customWidth="1"/>
    <col min="18" max="30" width="18.75" style="13"/>
    <col min="31" max="31" width="6.75" style="24" bestFit="1" customWidth="1"/>
    <col min="32" max="32" width="53" style="13" bestFit="1" customWidth="1"/>
    <col min="33" max="16384" width="18.75" style="13"/>
  </cols>
  <sheetData>
    <row r="1" spans="1:56">
      <c r="A1" s="37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2"/>
      <c r="P1" s="37" t="s">
        <v>49</v>
      </c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E1" s="37" t="s">
        <v>0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</row>
    <row r="2" spans="1:56">
      <c r="A2" s="37" t="s">
        <v>1953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2"/>
      <c r="P2" s="37" t="s">
        <v>1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E2" s="37" t="s">
        <v>1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</row>
    <row r="3" spans="1:56" s="15" customFormat="1">
      <c r="A3" s="35" t="s">
        <v>2</v>
      </c>
      <c r="B3" s="35" t="s">
        <v>3</v>
      </c>
      <c r="C3" s="38" t="s">
        <v>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  <c r="O3" s="14"/>
      <c r="P3" s="35" t="s">
        <v>2</v>
      </c>
      <c r="Q3" s="35" t="s">
        <v>3</v>
      </c>
      <c r="R3" s="38" t="s">
        <v>5</v>
      </c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E3" s="35" t="s">
        <v>2</v>
      </c>
      <c r="AF3" s="35" t="s">
        <v>3</v>
      </c>
      <c r="AG3" s="33">
        <v>25112</v>
      </c>
      <c r="AH3" s="34"/>
      <c r="AI3" s="33">
        <v>25143</v>
      </c>
      <c r="AJ3" s="34"/>
      <c r="AK3" s="33">
        <v>25173</v>
      </c>
      <c r="AL3" s="34"/>
      <c r="AM3" s="33">
        <v>25204</v>
      </c>
      <c r="AN3" s="34"/>
      <c r="AO3" s="33">
        <v>25235</v>
      </c>
      <c r="AP3" s="34"/>
      <c r="AQ3" s="33">
        <v>25263</v>
      </c>
      <c r="AR3" s="34"/>
      <c r="AS3" s="33">
        <v>25294</v>
      </c>
      <c r="AT3" s="34"/>
      <c r="AU3" s="33">
        <v>25324</v>
      </c>
      <c r="AV3" s="34"/>
      <c r="AW3" s="33">
        <v>25355</v>
      </c>
      <c r="AX3" s="34"/>
      <c r="AY3" s="33">
        <v>25385</v>
      </c>
      <c r="AZ3" s="34"/>
      <c r="BA3" s="33">
        <v>25416</v>
      </c>
      <c r="BB3" s="34"/>
      <c r="BC3" s="33">
        <v>25447</v>
      </c>
      <c r="BD3" s="34"/>
    </row>
    <row r="4" spans="1:56" s="15" customFormat="1">
      <c r="A4" s="36"/>
      <c r="B4" s="36"/>
      <c r="C4" s="16">
        <v>25112</v>
      </c>
      <c r="D4" s="16">
        <v>25143</v>
      </c>
      <c r="E4" s="16">
        <v>25173</v>
      </c>
      <c r="F4" s="16">
        <v>25204</v>
      </c>
      <c r="G4" s="16">
        <v>25235</v>
      </c>
      <c r="H4" s="16">
        <v>25263</v>
      </c>
      <c r="I4" s="16">
        <v>25294</v>
      </c>
      <c r="J4" s="16">
        <v>25324</v>
      </c>
      <c r="K4" s="16">
        <v>25355</v>
      </c>
      <c r="L4" s="16">
        <v>25385</v>
      </c>
      <c r="M4" s="16">
        <v>25416</v>
      </c>
      <c r="N4" s="16">
        <v>25447</v>
      </c>
      <c r="P4" s="36"/>
      <c r="Q4" s="36"/>
      <c r="R4" s="16">
        <v>25112</v>
      </c>
      <c r="S4" s="16">
        <v>25143</v>
      </c>
      <c r="T4" s="16">
        <v>25173</v>
      </c>
      <c r="U4" s="16">
        <v>25204</v>
      </c>
      <c r="V4" s="16">
        <v>25235</v>
      </c>
      <c r="W4" s="16">
        <v>25263</v>
      </c>
      <c r="X4" s="16">
        <v>25294</v>
      </c>
      <c r="Y4" s="16">
        <v>25324</v>
      </c>
      <c r="Z4" s="16">
        <v>25355</v>
      </c>
      <c r="AA4" s="16">
        <v>25385</v>
      </c>
      <c r="AB4" s="16">
        <v>25416</v>
      </c>
      <c r="AC4" s="16">
        <v>25447</v>
      </c>
      <c r="AE4" s="36"/>
      <c r="AF4" s="36"/>
      <c r="AG4" s="16" t="s">
        <v>85</v>
      </c>
      <c r="AH4" s="16" t="s">
        <v>86</v>
      </c>
      <c r="AI4" s="16" t="s">
        <v>85</v>
      </c>
      <c r="AJ4" s="16" t="s">
        <v>86</v>
      </c>
      <c r="AK4" s="16" t="s">
        <v>85</v>
      </c>
      <c r="AL4" s="16" t="s">
        <v>86</v>
      </c>
      <c r="AM4" s="16" t="s">
        <v>85</v>
      </c>
      <c r="AN4" s="16" t="s">
        <v>86</v>
      </c>
      <c r="AO4" s="16" t="s">
        <v>85</v>
      </c>
      <c r="AP4" s="16" t="s">
        <v>86</v>
      </c>
      <c r="AQ4" s="16" t="s">
        <v>85</v>
      </c>
      <c r="AR4" s="16" t="s">
        <v>86</v>
      </c>
      <c r="AS4" s="16" t="s">
        <v>85</v>
      </c>
      <c r="AT4" s="16" t="s">
        <v>86</v>
      </c>
      <c r="AU4" s="16" t="s">
        <v>85</v>
      </c>
      <c r="AV4" s="16" t="s">
        <v>86</v>
      </c>
      <c r="AW4" s="16" t="s">
        <v>85</v>
      </c>
      <c r="AX4" s="16" t="s">
        <v>86</v>
      </c>
      <c r="AY4" s="16" t="s">
        <v>85</v>
      </c>
      <c r="AZ4" s="16" t="s">
        <v>86</v>
      </c>
      <c r="BA4" s="16" t="s">
        <v>85</v>
      </c>
      <c r="BB4" s="16" t="s">
        <v>86</v>
      </c>
      <c r="BC4" s="16" t="s">
        <v>85</v>
      </c>
      <c r="BD4" s="16" t="s">
        <v>86</v>
      </c>
    </row>
    <row r="5" spans="1:56">
      <c r="A5" s="17">
        <v>1</v>
      </c>
      <c r="B5" s="18" t="s">
        <v>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P5" s="17">
        <v>1</v>
      </c>
      <c r="Q5" s="18" t="s">
        <v>8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E5" s="17">
        <v>1</v>
      </c>
      <c r="AF5" s="18" t="s">
        <v>8</v>
      </c>
      <c r="AG5" s="19">
        <f>+C5-R5</f>
        <v>0</v>
      </c>
      <c r="AH5" s="19" t="e">
        <f>+AG5/C5*100</f>
        <v>#DIV/0!</v>
      </c>
      <c r="AI5" s="19">
        <f>+D5-S5</f>
        <v>0</v>
      </c>
      <c r="AJ5" s="19" t="e">
        <f>+AI5/D5*100</f>
        <v>#DIV/0!</v>
      </c>
      <c r="AK5" s="19">
        <f>+E5-T5</f>
        <v>0</v>
      </c>
      <c r="AL5" s="19" t="e">
        <f>+AK5/E5*100</f>
        <v>#DIV/0!</v>
      </c>
      <c r="AM5" s="19">
        <f>+F5-U5</f>
        <v>0</v>
      </c>
      <c r="AN5" s="19" t="e">
        <f>+AM5/F5*100</f>
        <v>#DIV/0!</v>
      </c>
      <c r="AO5" s="19">
        <f>+G5-V5</f>
        <v>0</v>
      </c>
      <c r="AP5" s="19" t="e">
        <f>+AO5/G5*100</f>
        <v>#DIV/0!</v>
      </c>
      <c r="AQ5" s="19">
        <f>+H5-W5</f>
        <v>0</v>
      </c>
      <c r="AR5" s="19" t="e">
        <f>+AQ5/H5*100</f>
        <v>#DIV/0!</v>
      </c>
      <c r="AS5" s="19">
        <f>+I5-X5</f>
        <v>0</v>
      </c>
      <c r="AT5" s="19" t="e">
        <f>+AS5/I5*100</f>
        <v>#DIV/0!</v>
      </c>
      <c r="AU5" s="19">
        <f>+J5-Y5</f>
        <v>0</v>
      </c>
      <c r="AV5" s="19" t="e">
        <f>+AU5/J5*100</f>
        <v>#DIV/0!</v>
      </c>
      <c r="AW5" s="19">
        <f>+K5-Z5</f>
        <v>0</v>
      </c>
      <c r="AX5" s="19" t="e">
        <f>+AW5/K5*100</f>
        <v>#DIV/0!</v>
      </c>
      <c r="AY5" s="19">
        <f>+L5-AA5</f>
        <v>0</v>
      </c>
      <c r="AZ5" s="19" t="e">
        <f>+AY5/L5*100</f>
        <v>#DIV/0!</v>
      </c>
      <c r="BA5" s="19">
        <f>+M5-AB5</f>
        <v>0</v>
      </c>
      <c r="BB5" s="19" t="e">
        <f>+BA5/M5*100</f>
        <v>#DIV/0!</v>
      </c>
      <c r="BC5" s="19">
        <f>+N5-AC5</f>
        <v>0</v>
      </c>
      <c r="BD5" s="19" t="e">
        <f>+BC5/N5*100</f>
        <v>#DIV/0!</v>
      </c>
    </row>
    <row r="6" spans="1:56">
      <c r="A6" s="17">
        <v>2</v>
      </c>
      <c r="B6" s="18" t="s">
        <v>9</v>
      </c>
      <c r="C6" s="19">
        <v>13482287.5</v>
      </c>
      <c r="D6" s="19">
        <v>13482287.5</v>
      </c>
      <c r="E6" s="19">
        <v>13482287.5</v>
      </c>
      <c r="F6" s="19"/>
      <c r="G6" s="19"/>
      <c r="H6" s="19"/>
      <c r="I6" s="19"/>
      <c r="J6" s="19"/>
      <c r="K6" s="19"/>
      <c r="L6" s="19"/>
      <c r="M6" s="19"/>
      <c r="N6" s="19"/>
      <c r="P6" s="17">
        <v>2</v>
      </c>
      <c r="Q6" s="18" t="s">
        <v>9</v>
      </c>
      <c r="R6" s="19">
        <v>19133307.5</v>
      </c>
      <c r="S6" s="19">
        <v>19133307.5</v>
      </c>
      <c r="T6" s="19">
        <v>19133307.5</v>
      </c>
      <c r="U6" s="19"/>
      <c r="V6" s="19"/>
      <c r="W6" s="19"/>
      <c r="X6" s="19"/>
      <c r="Y6" s="19"/>
      <c r="Z6" s="19"/>
      <c r="AA6" s="19"/>
      <c r="AB6" s="19"/>
      <c r="AC6" s="19"/>
      <c r="AE6" s="17">
        <v>2</v>
      </c>
      <c r="AF6" s="18" t="s">
        <v>9</v>
      </c>
      <c r="AG6" s="19">
        <f t="shared" ref="AG6:AG10" si="0">+C6-R6</f>
        <v>-5651020</v>
      </c>
      <c r="AH6" s="19">
        <f t="shared" ref="AH6:AH10" si="1">+AG6/C6*100</f>
        <v>-41.914400653449945</v>
      </c>
      <c r="AI6" s="19">
        <f t="shared" ref="AI6:AI10" si="2">+D6-S6</f>
        <v>-5651020</v>
      </c>
      <c r="AJ6" s="19">
        <f t="shared" ref="AJ6:AJ10" si="3">+AI6/D6*100</f>
        <v>-41.914400653449945</v>
      </c>
      <c r="AK6" s="19">
        <f t="shared" ref="AK6:AK10" si="4">+E6-T6</f>
        <v>-5651020</v>
      </c>
      <c r="AL6" s="19">
        <f t="shared" ref="AL6:AL10" si="5">+AK6/E6*100</f>
        <v>-41.914400653449945</v>
      </c>
      <c r="AM6" s="19">
        <f t="shared" ref="AM6:AM10" si="6">+F6-U6</f>
        <v>0</v>
      </c>
      <c r="AN6" s="19" t="e">
        <f t="shared" ref="AN6:AN10" si="7">+AM6/F6*100</f>
        <v>#DIV/0!</v>
      </c>
      <c r="AO6" s="19">
        <f t="shared" ref="AO6:AO10" si="8">+G6-V6</f>
        <v>0</v>
      </c>
      <c r="AP6" s="19" t="e">
        <f t="shared" ref="AP6:AP10" si="9">+AO6/G6*100</f>
        <v>#DIV/0!</v>
      </c>
      <c r="AQ6" s="19">
        <f t="shared" ref="AQ6:AQ10" si="10">+H6-W6</f>
        <v>0</v>
      </c>
      <c r="AR6" s="19" t="e">
        <f t="shared" ref="AR6:AR10" si="11">+AQ6/H6*100</f>
        <v>#DIV/0!</v>
      </c>
      <c r="AS6" s="19">
        <f t="shared" ref="AS6:AS10" si="12">+I6-X6</f>
        <v>0</v>
      </c>
      <c r="AT6" s="19" t="e">
        <f t="shared" ref="AT6:AT10" si="13">+AS6/I6*100</f>
        <v>#DIV/0!</v>
      </c>
      <c r="AU6" s="19">
        <f t="shared" ref="AU6:AU10" si="14">+J6-Y6</f>
        <v>0</v>
      </c>
      <c r="AV6" s="19" t="e">
        <f t="shared" ref="AV6:AV10" si="15">+AU6/J6*100</f>
        <v>#DIV/0!</v>
      </c>
      <c r="AW6" s="19">
        <f t="shared" ref="AW6:AW10" si="16">+K6-Z6</f>
        <v>0</v>
      </c>
      <c r="AX6" s="19" t="e">
        <f t="shared" ref="AX6:AX10" si="17">+AW6/K6*100</f>
        <v>#DIV/0!</v>
      </c>
      <c r="AY6" s="19">
        <f t="shared" ref="AY6:AY10" si="18">+L6-AA6</f>
        <v>0</v>
      </c>
      <c r="AZ6" s="19" t="e">
        <f t="shared" ref="AZ6:AZ10" si="19">+AY6/L6*100</f>
        <v>#DIV/0!</v>
      </c>
      <c r="BA6" s="19">
        <f t="shared" ref="BA6:BA10" si="20">+M6-AB6</f>
        <v>0</v>
      </c>
      <c r="BB6" s="19" t="e">
        <f t="shared" ref="BB6:BB10" si="21">+BA6/M6*100</f>
        <v>#DIV/0!</v>
      </c>
      <c r="BC6" s="19">
        <f t="shared" ref="BC6:BC10" si="22">+N6-AC6</f>
        <v>0</v>
      </c>
      <c r="BD6" s="19" t="e">
        <f t="shared" ref="BD6:BD10" si="23">+BC6/N6*100</f>
        <v>#DIV/0!</v>
      </c>
    </row>
    <row r="7" spans="1:56">
      <c r="A7" s="17">
        <v>3</v>
      </c>
      <c r="B7" s="18" t="s">
        <v>11</v>
      </c>
      <c r="C7" s="19">
        <v>13957751.49</v>
      </c>
      <c r="D7" s="19">
        <v>13957751.49</v>
      </c>
      <c r="E7" s="19">
        <v>13957751.49</v>
      </c>
      <c r="F7" s="19"/>
      <c r="G7" s="19"/>
      <c r="H7" s="19"/>
      <c r="I7" s="19"/>
      <c r="J7" s="19"/>
      <c r="K7" s="19"/>
      <c r="L7" s="19"/>
      <c r="M7" s="19"/>
      <c r="N7" s="19"/>
      <c r="P7" s="17">
        <v>3</v>
      </c>
      <c r="Q7" s="18" t="s">
        <v>11</v>
      </c>
      <c r="R7" s="19">
        <v>13957751.49</v>
      </c>
      <c r="S7" s="19">
        <v>13957751.49</v>
      </c>
      <c r="T7" s="19">
        <v>13957751.49</v>
      </c>
      <c r="U7" s="19"/>
      <c r="V7" s="19"/>
      <c r="W7" s="19"/>
      <c r="X7" s="19"/>
      <c r="Y7" s="19"/>
      <c r="Z7" s="19"/>
      <c r="AA7" s="19"/>
      <c r="AB7" s="19"/>
      <c r="AC7" s="19"/>
      <c r="AE7" s="17">
        <v>3</v>
      </c>
      <c r="AF7" s="18" t="s">
        <v>11</v>
      </c>
      <c r="AG7" s="19">
        <f t="shared" si="0"/>
        <v>0</v>
      </c>
      <c r="AH7" s="19">
        <f t="shared" si="1"/>
        <v>0</v>
      </c>
      <c r="AI7" s="19">
        <f t="shared" si="2"/>
        <v>0</v>
      </c>
      <c r="AJ7" s="19">
        <f t="shared" si="3"/>
        <v>0</v>
      </c>
      <c r="AK7" s="19">
        <f t="shared" si="4"/>
        <v>0</v>
      </c>
      <c r="AL7" s="19">
        <f t="shared" si="5"/>
        <v>0</v>
      </c>
      <c r="AM7" s="19">
        <f t="shared" si="6"/>
        <v>0</v>
      </c>
      <c r="AN7" s="19" t="e">
        <f t="shared" si="7"/>
        <v>#DIV/0!</v>
      </c>
      <c r="AO7" s="19">
        <f t="shared" si="8"/>
        <v>0</v>
      </c>
      <c r="AP7" s="19" t="e">
        <f t="shared" si="9"/>
        <v>#DIV/0!</v>
      </c>
      <c r="AQ7" s="19">
        <f t="shared" si="10"/>
        <v>0</v>
      </c>
      <c r="AR7" s="19" t="e">
        <f t="shared" si="11"/>
        <v>#DIV/0!</v>
      </c>
      <c r="AS7" s="19">
        <f t="shared" si="12"/>
        <v>0</v>
      </c>
      <c r="AT7" s="19" t="e">
        <f t="shared" si="13"/>
        <v>#DIV/0!</v>
      </c>
      <c r="AU7" s="19">
        <f t="shared" si="14"/>
        <v>0</v>
      </c>
      <c r="AV7" s="19" t="e">
        <f t="shared" si="15"/>
        <v>#DIV/0!</v>
      </c>
      <c r="AW7" s="19">
        <f t="shared" si="16"/>
        <v>0</v>
      </c>
      <c r="AX7" s="19" t="e">
        <f t="shared" si="17"/>
        <v>#DIV/0!</v>
      </c>
      <c r="AY7" s="19">
        <f t="shared" si="18"/>
        <v>0</v>
      </c>
      <c r="AZ7" s="19" t="e">
        <f t="shared" si="19"/>
        <v>#DIV/0!</v>
      </c>
      <c r="BA7" s="19">
        <f t="shared" si="20"/>
        <v>0</v>
      </c>
      <c r="BB7" s="19" t="e">
        <f t="shared" si="21"/>
        <v>#DIV/0!</v>
      </c>
      <c r="BC7" s="19">
        <f t="shared" si="22"/>
        <v>0</v>
      </c>
      <c r="BD7" s="19" t="e">
        <f t="shared" si="23"/>
        <v>#DIV/0!</v>
      </c>
    </row>
    <row r="8" spans="1:56">
      <c r="A8" s="17">
        <v>4</v>
      </c>
      <c r="B8" s="18" t="s">
        <v>13</v>
      </c>
      <c r="C8" s="19">
        <v>2070351</v>
      </c>
      <c r="D8" s="19">
        <v>2070351</v>
      </c>
      <c r="E8" s="19">
        <v>2070351</v>
      </c>
      <c r="F8" s="19"/>
      <c r="G8" s="19"/>
      <c r="H8" s="19"/>
      <c r="I8" s="19"/>
      <c r="J8" s="19"/>
      <c r="K8" s="19"/>
      <c r="L8" s="19"/>
      <c r="M8" s="19"/>
      <c r="N8" s="19"/>
      <c r="P8" s="17">
        <v>4</v>
      </c>
      <c r="Q8" s="18" t="s">
        <v>13</v>
      </c>
      <c r="R8" s="19">
        <v>1711972</v>
      </c>
      <c r="S8" s="19">
        <v>1711972</v>
      </c>
      <c r="T8" s="19">
        <v>1711972</v>
      </c>
      <c r="U8" s="19"/>
      <c r="V8" s="19"/>
      <c r="W8" s="19"/>
      <c r="X8" s="19"/>
      <c r="Y8" s="19"/>
      <c r="Z8" s="19"/>
      <c r="AA8" s="19"/>
      <c r="AB8" s="19"/>
      <c r="AC8" s="19"/>
      <c r="AE8" s="17">
        <v>4</v>
      </c>
      <c r="AF8" s="18" t="s">
        <v>13</v>
      </c>
      <c r="AG8" s="19">
        <f t="shared" si="0"/>
        <v>358379</v>
      </c>
      <c r="AH8" s="19">
        <f t="shared" si="1"/>
        <v>17.310059984997714</v>
      </c>
      <c r="AI8" s="19">
        <f t="shared" si="2"/>
        <v>358379</v>
      </c>
      <c r="AJ8" s="19">
        <f t="shared" si="3"/>
        <v>17.310059984997714</v>
      </c>
      <c r="AK8" s="19">
        <f t="shared" si="4"/>
        <v>358379</v>
      </c>
      <c r="AL8" s="19">
        <f t="shared" si="5"/>
        <v>17.310059984997714</v>
      </c>
      <c r="AM8" s="19">
        <f t="shared" si="6"/>
        <v>0</v>
      </c>
      <c r="AN8" s="19" t="e">
        <f t="shared" si="7"/>
        <v>#DIV/0!</v>
      </c>
      <c r="AO8" s="19">
        <f t="shared" si="8"/>
        <v>0</v>
      </c>
      <c r="AP8" s="19" t="e">
        <f t="shared" si="9"/>
        <v>#DIV/0!</v>
      </c>
      <c r="AQ8" s="19">
        <f t="shared" si="10"/>
        <v>0</v>
      </c>
      <c r="AR8" s="19" t="e">
        <f t="shared" si="11"/>
        <v>#DIV/0!</v>
      </c>
      <c r="AS8" s="19">
        <f t="shared" si="12"/>
        <v>0</v>
      </c>
      <c r="AT8" s="19" t="e">
        <f t="shared" si="13"/>
        <v>#DIV/0!</v>
      </c>
      <c r="AU8" s="19">
        <f t="shared" si="14"/>
        <v>0</v>
      </c>
      <c r="AV8" s="19" t="e">
        <f t="shared" si="15"/>
        <v>#DIV/0!</v>
      </c>
      <c r="AW8" s="19">
        <f t="shared" si="16"/>
        <v>0</v>
      </c>
      <c r="AX8" s="19" t="e">
        <f t="shared" si="17"/>
        <v>#DIV/0!</v>
      </c>
      <c r="AY8" s="19">
        <f t="shared" si="18"/>
        <v>0</v>
      </c>
      <c r="AZ8" s="19" t="e">
        <f t="shared" si="19"/>
        <v>#DIV/0!</v>
      </c>
      <c r="BA8" s="19">
        <f t="shared" si="20"/>
        <v>0</v>
      </c>
      <c r="BB8" s="19" t="e">
        <f t="shared" si="21"/>
        <v>#DIV/0!</v>
      </c>
      <c r="BC8" s="19">
        <f t="shared" si="22"/>
        <v>0</v>
      </c>
      <c r="BD8" s="19" t="e">
        <f t="shared" si="23"/>
        <v>#DIV/0!</v>
      </c>
    </row>
    <row r="9" spans="1:56">
      <c r="A9" s="17">
        <v>5</v>
      </c>
      <c r="B9" s="18" t="s">
        <v>15</v>
      </c>
      <c r="C9" s="19">
        <v>2384071</v>
      </c>
      <c r="D9" s="19">
        <v>2384071</v>
      </c>
      <c r="E9" s="19">
        <v>2384071</v>
      </c>
      <c r="F9" s="19"/>
      <c r="G9" s="19"/>
      <c r="H9" s="19"/>
      <c r="I9" s="19"/>
      <c r="J9" s="19"/>
      <c r="K9" s="19"/>
      <c r="L9" s="19"/>
      <c r="M9" s="19"/>
      <c r="N9" s="19"/>
      <c r="P9" s="17">
        <v>5</v>
      </c>
      <c r="Q9" s="18" t="s">
        <v>15</v>
      </c>
      <c r="R9" s="19">
        <v>2893179.95</v>
      </c>
      <c r="S9" s="19">
        <v>2893179.95</v>
      </c>
      <c r="T9" s="19">
        <v>2893179.95</v>
      </c>
      <c r="U9" s="19"/>
      <c r="V9" s="19"/>
      <c r="W9" s="19"/>
      <c r="X9" s="19"/>
      <c r="Y9" s="19"/>
      <c r="Z9" s="19"/>
      <c r="AA9" s="19"/>
      <c r="AB9" s="19"/>
      <c r="AC9" s="19"/>
      <c r="AE9" s="17">
        <v>5</v>
      </c>
      <c r="AF9" s="18" t="s">
        <v>15</v>
      </c>
      <c r="AG9" s="19">
        <f t="shared" si="0"/>
        <v>-509108.95000000019</v>
      </c>
      <c r="AH9" s="19">
        <f t="shared" si="1"/>
        <v>-21.354605211002532</v>
      </c>
      <c r="AI9" s="19">
        <f t="shared" si="2"/>
        <v>-509108.95000000019</v>
      </c>
      <c r="AJ9" s="19">
        <f t="shared" si="3"/>
        <v>-21.354605211002532</v>
      </c>
      <c r="AK9" s="19">
        <f t="shared" si="4"/>
        <v>-509108.95000000019</v>
      </c>
      <c r="AL9" s="19">
        <f t="shared" si="5"/>
        <v>-21.354605211002532</v>
      </c>
      <c r="AM9" s="19">
        <f t="shared" si="6"/>
        <v>0</v>
      </c>
      <c r="AN9" s="19" t="e">
        <f t="shared" si="7"/>
        <v>#DIV/0!</v>
      </c>
      <c r="AO9" s="19">
        <f t="shared" si="8"/>
        <v>0</v>
      </c>
      <c r="AP9" s="19" t="e">
        <f t="shared" si="9"/>
        <v>#DIV/0!</v>
      </c>
      <c r="AQ9" s="19">
        <f t="shared" si="10"/>
        <v>0</v>
      </c>
      <c r="AR9" s="19" t="e">
        <f t="shared" si="11"/>
        <v>#DIV/0!</v>
      </c>
      <c r="AS9" s="19">
        <f t="shared" si="12"/>
        <v>0</v>
      </c>
      <c r="AT9" s="19" t="e">
        <f t="shared" si="13"/>
        <v>#DIV/0!</v>
      </c>
      <c r="AU9" s="19">
        <f t="shared" si="14"/>
        <v>0</v>
      </c>
      <c r="AV9" s="19" t="e">
        <f t="shared" si="15"/>
        <v>#DIV/0!</v>
      </c>
      <c r="AW9" s="19">
        <f t="shared" si="16"/>
        <v>0</v>
      </c>
      <c r="AX9" s="19" t="e">
        <f t="shared" si="17"/>
        <v>#DIV/0!</v>
      </c>
      <c r="AY9" s="19">
        <f t="shared" si="18"/>
        <v>0</v>
      </c>
      <c r="AZ9" s="19" t="e">
        <f t="shared" si="19"/>
        <v>#DIV/0!</v>
      </c>
      <c r="BA9" s="19">
        <f t="shared" si="20"/>
        <v>0</v>
      </c>
      <c r="BB9" s="19" t="e">
        <f t="shared" si="21"/>
        <v>#DIV/0!</v>
      </c>
      <c r="BC9" s="19">
        <f t="shared" si="22"/>
        <v>0</v>
      </c>
      <c r="BD9" s="19" t="e">
        <f t="shared" si="23"/>
        <v>#DIV/0!</v>
      </c>
    </row>
    <row r="10" spans="1:56" s="22" customFormat="1" ht="25.2" thickBot="1">
      <c r="A10" s="20"/>
      <c r="B10" s="20" t="s">
        <v>17</v>
      </c>
      <c r="C10" s="21">
        <f>SUM(C5:C9)</f>
        <v>31894460.990000002</v>
      </c>
      <c r="D10" s="21">
        <f t="shared" ref="D10:N10" si="24">SUM(D5:D9)</f>
        <v>31894460.990000002</v>
      </c>
      <c r="E10" s="21">
        <f t="shared" si="24"/>
        <v>31894460.990000002</v>
      </c>
      <c r="F10" s="21">
        <f t="shared" si="24"/>
        <v>0</v>
      </c>
      <c r="G10" s="21">
        <f t="shared" si="24"/>
        <v>0</v>
      </c>
      <c r="H10" s="21">
        <f t="shared" si="24"/>
        <v>0</v>
      </c>
      <c r="I10" s="21">
        <f t="shared" si="24"/>
        <v>0</v>
      </c>
      <c r="J10" s="21">
        <f t="shared" si="24"/>
        <v>0</v>
      </c>
      <c r="K10" s="21">
        <f t="shared" si="24"/>
        <v>0</v>
      </c>
      <c r="L10" s="21">
        <f t="shared" si="24"/>
        <v>0</v>
      </c>
      <c r="M10" s="21">
        <f t="shared" si="24"/>
        <v>0</v>
      </c>
      <c r="N10" s="21">
        <f t="shared" si="24"/>
        <v>0</v>
      </c>
      <c r="P10" s="20"/>
      <c r="Q10" s="20" t="s">
        <v>17</v>
      </c>
      <c r="R10" s="21">
        <f>SUM(R5:R9)</f>
        <v>37696210.940000005</v>
      </c>
      <c r="S10" s="21">
        <f t="shared" ref="S10:AC10" si="25">SUM(S5:S9)</f>
        <v>37696210.940000005</v>
      </c>
      <c r="T10" s="21">
        <f t="shared" si="25"/>
        <v>37696210.940000005</v>
      </c>
      <c r="U10" s="21">
        <f t="shared" si="25"/>
        <v>0</v>
      </c>
      <c r="V10" s="21">
        <f t="shared" si="25"/>
        <v>0</v>
      </c>
      <c r="W10" s="21">
        <f t="shared" si="25"/>
        <v>0</v>
      </c>
      <c r="X10" s="21">
        <f t="shared" si="25"/>
        <v>0</v>
      </c>
      <c r="Y10" s="21">
        <f t="shared" si="25"/>
        <v>0</v>
      </c>
      <c r="Z10" s="21">
        <f t="shared" si="25"/>
        <v>0</v>
      </c>
      <c r="AA10" s="21">
        <f t="shared" si="25"/>
        <v>0</v>
      </c>
      <c r="AB10" s="21">
        <f t="shared" si="25"/>
        <v>0</v>
      </c>
      <c r="AC10" s="21">
        <f t="shared" si="25"/>
        <v>0</v>
      </c>
      <c r="AE10" s="20"/>
      <c r="AF10" s="20" t="s">
        <v>17</v>
      </c>
      <c r="AG10" s="23">
        <f t="shared" si="0"/>
        <v>-5801749.950000003</v>
      </c>
      <c r="AH10" s="23">
        <f t="shared" si="1"/>
        <v>-18.190462449950317</v>
      </c>
      <c r="AI10" s="23">
        <f t="shared" si="2"/>
        <v>-5801749.950000003</v>
      </c>
      <c r="AJ10" s="23">
        <f t="shared" si="3"/>
        <v>-18.190462449950317</v>
      </c>
      <c r="AK10" s="23">
        <f t="shared" si="4"/>
        <v>-5801749.950000003</v>
      </c>
      <c r="AL10" s="23">
        <f t="shared" si="5"/>
        <v>-18.190462449950317</v>
      </c>
      <c r="AM10" s="23">
        <f t="shared" si="6"/>
        <v>0</v>
      </c>
      <c r="AN10" s="23" t="e">
        <f t="shared" si="7"/>
        <v>#DIV/0!</v>
      </c>
      <c r="AO10" s="23">
        <f t="shared" si="8"/>
        <v>0</v>
      </c>
      <c r="AP10" s="23" t="e">
        <f t="shared" si="9"/>
        <v>#DIV/0!</v>
      </c>
      <c r="AQ10" s="23">
        <f t="shared" si="10"/>
        <v>0</v>
      </c>
      <c r="AR10" s="23" t="e">
        <f t="shared" si="11"/>
        <v>#DIV/0!</v>
      </c>
      <c r="AS10" s="23">
        <f t="shared" si="12"/>
        <v>0</v>
      </c>
      <c r="AT10" s="23" t="e">
        <f t="shared" si="13"/>
        <v>#DIV/0!</v>
      </c>
      <c r="AU10" s="23">
        <f t="shared" si="14"/>
        <v>0</v>
      </c>
      <c r="AV10" s="23" t="e">
        <f t="shared" si="15"/>
        <v>#DIV/0!</v>
      </c>
      <c r="AW10" s="23">
        <f t="shared" si="16"/>
        <v>0</v>
      </c>
      <c r="AX10" s="23" t="e">
        <f t="shared" si="17"/>
        <v>#DIV/0!</v>
      </c>
      <c r="AY10" s="23">
        <f t="shared" si="18"/>
        <v>0</v>
      </c>
      <c r="AZ10" s="23" t="e">
        <f t="shared" si="19"/>
        <v>#DIV/0!</v>
      </c>
      <c r="BA10" s="23">
        <f t="shared" si="20"/>
        <v>0</v>
      </c>
      <c r="BB10" s="23" t="e">
        <f t="shared" si="21"/>
        <v>#DIV/0!</v>
      </c>
      <c r="BC10" s="23">
        <f t="shared" si="22"/>
        <v>0</v>
      </c>
      <c r="BD10" s="23" t="e">
        <f t="shared" si="23"/>
        <v>#DIV/0!</v>
      </c>
    </row>
    <row r="11" spans="1:56" ht="25.2" thickTop="1"/>
    <row r="12" spans="1:56">
      <c r="A12" s="37" t="s">
        <v>46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P12" s="37" t="s">
        <v>50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E12" s="37" t="s">
        <v>87</v>
      </c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</row>
    <row r="13" spans="1:56">
      <c r="A13" s="37" t="s">
        <v>1953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P13" s="37" t="s">
        <v>1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E13" s="37" t="s">
        <v>1</v>
      </c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</row>
    <row r="14" spans="1:56" s="15" customFormat="1">
      <c r="A14" s="35" t="s">
        <v>2</v>
      </c>
      <c r="B14" s="35" t="s">
        <v>3</v>
      </c>
      <c r="C14" s="38" t="s">
        <v>4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0"/>
      <c r="P14" s="35" t="s">
        <v>2</v>
      </c>
      <c r="Q14" s="35" t="s">
        <v>3</v>
      </c>
      <c r="R14" s="38" t="s">
        <v>5</v>
      </c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40"/>
      <c r="AE14" s="35" t="s">
        <v>2</v>
      </c>
      <c r="AF14" s="35" t="s">
        <v>3</v>
      </c>
      <c r="AG14" s="33">
        <v>25112</v>
      </c>
      <c r="AH14" s="34"/>
      <c r="AI14" s="33">
        <v>25143</v>
      </c>
      <c r="AJ14" s="34"/>
      <c r="AK14" s="33">
        <v>25173</v>
      </c>
      <c r="AL14" s="34"/>
      <c r="AM14" s="33">
        <v>25204</v>
      </c>
      <c r="AN14" s="34"/>
      <c r="AO14" s="33">
        <v>25235</v>
      </c>
      <c r="AP14" s="34"/>
      <c r="AQ14" s="33">
        <v>25263</v>
      </c>
      <c r="AR14" s="34"/>
      <c r="AS14" s="33">
        <v>25294</v>
      </c>
      <c r="AT14" s="34"/>
      <c r="AU14" s="33">
        <v>25324</v>
      </c>
      <c r="AV14" s="34"/>
      <c r="AW14" s="33">
        <v>25355</v>
      </c>
      <c r="AX14" s="34"/>
      <c r="AY14" s="33">
        <v>25385</v>
      </c>
      <c r="AZ14" s="34"/>
      <c r="BA14" s="33">
        <v>25416</v>
      </c>
      <c r="BB14" s="34"/>
      <c r="BC14" s="33">
        <v>25447</v>
      </c>
      <c r="BD14" s="34"/>
    </row>
    <row r="15" spans="1:56" s="15" customFormat="1">
      <c r="A15" s="36"/>
      <c r="B15" s="36"/>
      <c r="C15" s="16">
        <v>25112</v>
      </c>
      <c r="D15" s="16">
        <v>25143</v>
      </c>
      <c r="E15" s="16">
        <v>25173</v>
      </c>
      <c r="F15" s="16">
        <v>25204</v>
      </c>
      <c r="G15" s="16">
        <v>25235</v>
      </c>
      <c r="H15" s="16">
        <v>25263</v>
      </c>
      <c r="I15" s="16">
        <v>25294</v>
      </c>
      <c r="J15" s="16">
        <v>25324</v>
      </c>
      <c r="K15" s="16">
        <v>25355</v>
      </c>
      <c r="L15" s="16">
        <v>25385</v>
      </c>
      <c r="M15" s="16">
        <v>25416</v>
      </c>
      <c r="N15" s="16">
        <v>25447</v>
      </c>
      <c r="P15" s="36"/>
      <c r="Q15" s="36"/>
      <c r="R15" s="16">
        <v>25112</v>
      </c>
      <c r="S15" s="16">
        <v>25143</v>
      </c>
      <c r="T15" s="16">
        <v>25173</v>
      </c>
      <c r="U15" s="16">
        <v>25204</v>
      </c>
      <c r="V15" s="16">
        <v>25235</v>
      </c>
      <c r="W15" s="16">
        <v>25263</v>
      </c>
      <c r="X15" s="16">
        <v>25294</v>
      </c>
      <c r="Y15" s="16">
        <v>25324</v>
      </c>
      <c r="Z15" s="16">
        <v>25355</v>
      </c>
      <c r="AA15" s="16">
        <v>25385</v>
      </c>
      <c r="AB15" s="16">
        <v>25416</v>
      </c>
      <c r="AC15" s="16">
        <v>25447</v>
      </c>
      <c r="AE15" s="36"/>
      <c r="AF15" s="36"/>
      <c r="AG15" s="16" t="s">
        <v>85</v>
      </c>
      <c r="AH15" s="16" t="s">
        <v>86</v>
      </c>
      <c r="AI15" s="16" t="s">
        <v>85</v>
      </c>
      <c r="AJ15" s="16" t="s">
        <v>86</v>
      </c>
      <c r="AK15" s="16" t="s">
        <v>85</v>
      </c>
      <c r="AL15" s="16" t="s">
        <v>86</v>
      </c>
      <c r="AM15" s="16" t="s">
        <v>85</v>
      </c>
      <c r="AN15" s="16" t="s">
        <v>86</v>
      </c>
      <c r="AO15" s="16" t="s">
        <v>85</v>
      </c>
      <c r="AP15" s="16" t="s">
        <v>86</v>
      </c>
      <c r="AQ15" s="16" t="s">
        <v>85</v>
      </c>
      <c r="AR15" s="16" t="s">
        <v>86</v>
      </c>
      <c r="AS15" s="16" t="s">
        <v>85</v>
      </c>
      <c r="AT15" s="16" t="s">
        <v>86</v>
      </c>
      <c r="AU15" s="16" t="s">
        <v>85</v>
      </c>
      <c r="AV15" s="16" t="s">
        <v>86</v>
      </c>
      <c r="AW15" s="16" t="s">
        <v>85</v>
      </c>
      <c r="AX15" s="16" t="s">
        <v>86</v>
      </c>
      <c r="AY15" s="16" t="s">
        <v>85</v>
      </c>
      <c r="AZ15" s="16" t="s">
        <v>86</v>
      </c>
      <c r="BA15" s="16" t="s">
        <v>85</v>
      </c>
      <c r="BB15" s="16" t="s">
        <v>86</v>
      </c>
      <c r="BC15" s="16" t="s">
        <v>85</v>
      </c>
      <c r="BD15" s="16" t="s">
        <v>86</v>
      </c>
    </row>
    <row r="16" spans="1:56">
      <c r="A16" s="17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P16" s="17"/>
      <c r="Q16" s="18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E16" s="17"/>
      <c r="AF16" s="18"/>
      <c r="AG16" s="19"/>
      <c r="AH16" s="19"/>
      <c r="AI16" s="19"/>
      <c r="AJ16" s="19"/>
      <c r="AK16" s="19"/>
      <c r="AL16" s="19"/>
      <c r="AM16" s="19"/>
      <c r="AN16" s="19"/>
      <c r="AO16" s="18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</row>
    <row r="17" spans="1:56">
      <c r="A17" s="17">
        <v>1</v>
      </c>
      <c r="B17" s="18" t="s">
        <v>10</v>
      </c>
      <c r="C17" s="19">
        <v>12664930.199999999</v>
      </c>
      <c r="D17" s="19">
        <v>12669482.73</v>
      </c>
      <c r="E17" s="19">
        <v>12674187</v>
      </c>
      <c r="F17" s="19"/>
      <c r="G17" s="19"/>
      <c r="H17" s="19"/>
      <c r="I17" s="19"/>
      <c r="J17" s="19"/>
      <c r="K17" s="19"/>
      <c r="L17" s="19"/>
      <c r="M17" s="19"/>
      <c r="N17" s="19"/>
      <c r="P17" s="17">
        <v>1</v>
      </c>
      <c r="Q17" s="18" t="s">
        <v>10</v>
      </c>
      <c r="R17" s="19">
        <v>18850035.260000002</v>
      </c>
      <c r="S17" s="19">
        <v>18855968.039999999</v>
      </c>
      <c r="T17" s="19">
        <v>18861900.82</v>
      </c>
      <c r="U17" s="19"/>
      <c r="V17" s="19"/>
      <c r="W17" s="19"/>
      <c r="X17" s="19"/>
      <c r="Y17" s="19"/>
      <c r="Z17" s="19"/>
      <c r="AA17" s="19"/>
      <c r="AB17" s="19"/>
      <c r="AC17" s="19"/>
      <c r="AE17" s="17">
        <v>1</v>
      </c>
      <c r="AF17" s="18" t="s">
        <v>10</v>
      </c>
      <c r="AG17" s="19">
        <f t="shared" ref="AG17:AG21" si="26">+C17-R17</f>
        <v>-6185105.0600000024</v>
      </c>
      <c r="AH17" s="19">
        <f t="shared" ref="AH17:AH21" si="27">+AG17/C17*100</f>
        <v>-48.836471755683284</v>
      </c>
      <c r="AI17" s="19">
        <f t="shared" ref="AI17:AI21" si="28">+D17-S17</f>
        <v>-6186485.3099999987</v>
      </c>
      <c r="AJ17" s="19">
        <f t="shared" ref="AJ17:AJ21" si="29">+AI17/D17*100</f>
        <v>-48.829817616397655</v>
      </c>
      <c r="AK17" s="19">
        <f t="shared" ref="AK17:AK21" si="30">+E17-T17</f>
        <v>-6187713.8200000003</v>
      </c>
      <c r="AL17" s="19">
        <f t="shared" ref="AL17:AL21" si="31">+AK17/E17*100</f>
        <v>-48.821386492088216</v>
      </c>
      <c r="AM17" s="19">
        <f t="shared" ref="AM17:AM21" si="32">+F17-U17</f>
        <v>0</v>
      </c>
      <c r="AN17" s="19" t="e">
        <f t="shared" ref="AN17:AN21" si="33">+AM17/F17*100</f>
        <v>#DIV/0!</v>
      </c>
      <c r="AO17" s="19">
        <f t="shared" ref="AO17:AO21" si="34">+G17-V17</f>
        <v>0</v>
      </c>
      <c r="AP17" s="19" t="e">
        <f t="shared" ref="AP17:AP21" si="35">+AO17/G17*100</f>
        <v>#DIV/0!</v>
      </c>
      <c r="AQ17" s="19">
        <f t="shared" ref="AQ17:AQ21" si="36">+H17-W17</f>
        <v>0</v>
      </c>
      <c r="AR17" s="19" t="e">
        <f t="shared" ref="AR17:AR21" si="37">+AQ17/H17*100</f>
        <v>#DIV/0!</v>
      </c>
      <c r="AS17" s="19">
        <f t="shared" ref="AS17:AS21" si="38">+I17-X17</f>
        <v>0</v>
      </c>
      <c r="AT17" s="19" t="e">
        <f t="shared" ref="AT17:AT21" si="39">+AS17/I17*100</f>
        <v>#DIV/0!</v>
      </c>
      <c r="AU17" s="19">
        <f t="shared" ref="AU17:AU21" si="40">+J17-Y17</f>
        <v>0</v>
      </c>
      <c r="AV17" s="19" t="e">
        <f t="shared" ref="AV17:AV21" si="41">+AU17/J17*100</f>
        <v>#DIV/0!</v>
      </c>
      <c r="AW17" s="19">
        <f t="shared" ref="AW17:AW21" si="42">+K17-Z17</f>
        <v>0</v>
      </c>
      <c r="AX17" s="19" t="e">
        <f t="shared" ref="AX17:AX21" si="43">+AW17/K17*100</f>
        <v>#DIV/0!</v>
      </c>
      <c r="AY17" s="19">
        <f t="shared" ref="AY17:AY21" si="44">+L17-AA17</f>
        <v>0</v>
      </c>
      <c r="AZ17" s="19" t="e">
        <f t="shared" ref="AZ17:AZ21" si="45">+AY17/L17*100</f>
        <v>#DIV/0!</v>
      </c>
      <c r="BA17" s="19">
        <f t="shared" ref="BA17:BA21" si="46">+M17-AB17</f>
        <v>0</v>
      </c>
      <c r="BB17" s="19" t="e">
        <f t="shared" ref="BB17:BB21" si="47">+BA17/M17*100</f>
        <v>#DIV/0!</v>
      </c>
      <c r="BC17" s="19">
        <f t="shared" ref="BC17:BC21" si="48">+N17-AC17</f>
        <v>0</v>
      </c>
      <c r="BD17" s="19" t="e">
        <f t="shared" ref="BD17:BD21" si="49">+BC17/N17*100</f>
        <v>#DIV/0!</v>
      </c>
    </row>
    <row r="18" spans="1:56">
      <c r="A18" s="17">
        <v>2</v>
      </c>
      <c r="B18" s="18" t="s">
        <v>12</v>
      </c>
      <c r="C18" s="19">
        <v>11859162.18</v>
      </c>
      <c r="D18" s="19">
        <v>11884066.609999999</v>
      </c>
      <c r="E18" s="19">
        <v>11909801.189999999</v>
      </c>
      <c r="F18" s="19"/>
      <c r="G18" s="19"/>
      <c r="H18" s="19"/>
      <c r="I18" s="19"/>
      <c r="J18" s="19"/>
      <c r="K18" s="19"/>
      <c r="L18" s="19"/>
      <c r="M18" s="19"/>
      <c r="N18" s="19"/>
      <c r="P18" s="17">
        <v>2</v>
      </c>
      <c r="Q18" s="18" t="s">
        <v>12</v>
      </c>
      <c r="R18" s="19">
        <v>12054928.93</v>
      </c>
      <c r="S18" s="19">
        <v>12075949.59</v>
      </c>
      <c r="T18" s="19">
        <v>12096970.25</v>
      </c>
      <c r="U18" s="19"/>
      <c r="V18" s="19"/>
      <c r="W18" s="19"/>
      <c r="X18" s="19"/>
      <c r="Y18" s="19"/>
      <c r="Z18" s="19"/>
      <c r="AA18" s="19"/>
      <c r="AB18" s="19"/>
      <c r="AC18" s="19"/>
      <c r="AE18" s="17">
        <v>2</v>
      </c>
      <c r="AF18" s="18" t="s">
        <v>12</v>
      </c>
      <c r="AG18" s="19">
        <f t="shared" si="26"/>
        <v>-195766.75</v>
      </c>
      <c r="AH18" s="19">
        <f t="shared" si="27"/>
        <v>-1.6507637472919696</v>
      </c>
      <c r="AI18" s="19">
        <f t="shared" si="28"/>
        <v>-191882.98000000045</v>
      </c>
      <c r="AJ18" s="19">
        <f t="shared" si="29"/>
        <v>-1.614623901876636</v>
      </c>
      <c r="AK18" s="19">
        <f t="shared" si="30"/>
        <v>-187169.06000000052</v>
      </c>
      <c r="AL18" s="19">
        <f t="shared" si="31"/>
        <v>-1.5715548648885593</v>
      </c>
      <c r="AM18" s="19">
        <f t="shared" si="32"/>
        <v>0</v>
      </c>
      <c r="AN18" s="19" t="e">
        <f t="shared" si="33"/>
        <v>#DIV/0!</v>
      </c>
      <c r="AO18" s="19">
        <f t="shared" si="34"/>
        <v>0</v>
      </c>
      <c r="AP18" s="19" t="e">
        <f t="shared" si="35"/>
        <v>#DIV/0!</v>
      </c>
      <c r="AQ18" s="19">
        <f t="shared" si="36"/>
        <v>0</v>
      </c>
      <c r="AR18" s="19" t="e">
        <f t="shared" si="37"/>
        <v>#DIV/0!</v>
      </c>
      <c r="AS18" s="19">
        <f t="shared" si="38"/>
        <v>0</v>
      </c>
      <c r="AT18" s="19" t="e">
        <f t="shared" si="39"/>
        <v>#DIV/0!</v>
      </c>
      <c r="AU18" s="19">
        <f t="shared" si="40"/>
        <v>0</v>
      </c>
      <c r="AV18" s="19" t="e">
        <f t="shared" si="41"/>
        <v>#DIV/0!</v>
      </c>
      <c r="AW18" s="19">
        <f t="shared" si="42"/>
        <v>0</v>
      </c>
      <c r="AX18" s="19" t="e">
        <f t="shared" si="43"/>
        <v>#DIV/0!</v>
      </c>
      <c r="AY18" s="19">
        <f t="shared" si="44"/>
        <v>0</v>
      </c>
      <c r="AZ18" s="19" t="e">
        <f t="shared" si="45"/>
        <v>#DIV/0!</v>
      </c>
      <c r="BA18" s="19">
        <f t="shared" si="46"/>
        <v>0</v>
      </c>
      <c r="BB18" s="19" t="e">
        <f t="shared" si="47"/>
        <v>#DIV/0!</v>
      </c>
      <c r="BC18" s="19">
        <f t="shared" si="48"/>
        <v>0</v>
      </c>
      <c r="BD18" s="19" t="e">
        <f t="shared" si="49"/>
        <v>#DIV/0!</v>
      </c>
    </row>
    <row r="19" spans="1:56">
      <c r="A19" s="17">
        <v>3</v>
      </c>
      <c r="B19" s="18" t="s">
        <v>14</v>
      </c>
      <c r="C19" s="19">
        <v>2070348</v>
      </c>
      <c r="D19" s="19">
        <v>2070348</v>
      </c>
      <c r="E19" s="19">
        <v>2070348</v>
      </c>
      <c r="F19" s="19"/>
      <c r="G19" s="19"/>
      <c r="H19" s="19"/>
      <c r="I19" s="19"/>
      <c r="J19" s="19"/>
      <c r="K19" s="19"/>
      <c r="L19" s="19"/>
      <c r="M19" s="19"/>
      <c r="N19" s="19"/>
      <c r="P19" s="17">
        <v>3</v>
      </c>
      <c r="Q19" s="18" t="s">
        <v>14</v>
      </c>
      <c r="R19" s="19">
        <v>1711968</v>
      </c>
      <c r="S19" s="19">
        <v>1711968</v>
      </c>
      <c r="T19" s="19">
        <v>1711968</v>
      </c>
      <c r="U19" s="19"/>
      <c r="V19" s="19"/>
      <c r="W19" s="19"/>
      <c r="X19" s="19"/>
      <c r="Y19" s="19"/>
      <c r="Z19" s="19"/>
      <c r="AA19" s="19"/>
      <c r="AB19" s="19"/>
      <c r="AC19" s="19"/>
      <c r="AE19" s="17">
        <v>3</v>
      </c>
      <c r="AF19" s="18" t="s">
        <v>14</v>
      </c>
      <c r="AG19" s="19">
        <f t="shared" si="26"/>
        <v>358380</v>
      </c>
      <c r="AH19" s="19">
        <f t="shared" si="27"/>
        <v>17.310133368882912</v>
      </c>
      <c r="AI19" s="19">
        <f t="shared" si="28"/>
        <v>358380</v>
      </c>
      <c r="AJ19" s="19">
        <f t="shared" si="29"/>
        <v>17.310133368882912</v>
      </c>
      <c r="AK19" s="19">
        <f t="shared" si="30"/>
        <v>358380</v>
      </c>
      <c r="AL19" s="19">
        <f t="shared" si="31"/>
        <v>17.310133368882912</v>
      </c>
      <c r="AM19" s="19">
        <f t="shared" si="32"/>
        <v>0</v>
      </c>
      <c r="AN19" s="19" t="e">
        <f t="shared" si="33"/>
        <v>#DIV/0!</v>
      </c>
      <c r="AO19" s="19">
        <f t="shared" si="34"/>
        <v>0</v>
      </c>
      <c r="AP19" s="19" t="e">
        <f t="shared" si="35"/>
        <v>#DIV/0!</v>
      </c>
      <c r="AQ19" s="19">
        <f t="shared" si="36"/>
        <v>0</v>
      </c>
      <c r="AR19" s="19" t="e">
        <f t="shared" si="37"/>
        <v>#DIV/0!</v>
      </c>
      <c r="AS19" s="19">
        <f t="shared" si="38"/>
        <v>0</v>
      </c>
      <c r="AT19" s="19" t="e">
        <f t="shared" si="39"/>
        <v>#DIV/0!</v>
      </c>
      <c r="AU19" s="19">
        <f t="shared" si="40"/>
        <v>0</v>
      </c>
      <c r="AV19" s="19" t="e">
        <f t="shared" si="41"/>
        <v>#DIV/0!</v>
      </c>
      <c r="AW19" s="19">
        <f t="shared" si="42"/>
        <v>0</v>
      </c>
      <c r="AX19" s="19" t="e">
        <f t="shared" si="43"/>
        <v>#DIV/0!</v>
      </c>
      <c r="AY19" s="19">
        <f t="shared" si="44"/>
        <v>0</v>
      </c>
      <c r="AZ19" s="19" t="e">
        <f t="shared" si="45"/>
        <v>#DIV/0!</v>
      </c>
      <c r="BA19" s="19">
        <f t="shared" si="46"/>
        <v>0</v>
      </c>
      <c r="BB19" s="19" t="e">
        <f t="shared" si="47"/>
        <v>#DIV/0!</v>
      </c>
      <c r="BC19" s="19">
        <f t="shared" si="48"/>
        <v>0</v>
      </c>
      <c r="BD19" s="19" t="e">
        <f t="shared" si="49"/>
        <v>#DIV/0!</v>
      </c>
    </row>
    <row r="20" spans="1:56">
      <c r="A20" s="17">
        <v>4</v>
      </c>
      <c r="B20" s="18" t="s">
        <v>16</v>
      </c>
      <c r="C20" s="19">
        <v>2384068</v>
      </c>
      <c r="D20" s="19">
        <v>2384068</v>
      </c>
      <c r="E20" s="19">
        <v>2384068</v>
      </c>
      <c r="F20" s="19"/>
      <c r="G20" s="19"/>
      <c r="H20" s="19"/>
      <c r="I20" s="19"/>
      <c r="J20" s="19"/>
      <c r="K20" s="19"/>
      <c r="L20" s="19"/>
      <c r="M20" s="19"/>
      <c r="N20" s="19"/>
      <c r="P20" s="17">
        <v>4</v>
      </c>
      <c r="Q20" s="18" t="s">
        <v>16</v>
      </c>
      <c r="R20" s="19">
        <v>2887877.95</v>
      </c>
      <c r="S20" s="19">
        <v>2888906.95</v>
      </c>
      <c r="T20" s="19">
        <v>2889083.95</v>
      </c>
      <c r="U20" s="19"/>
      <c r="V20" s="19"/>
      <c r="W20" s="19"/>
      <c r="X20" s="19"/>
      <c r="Y20" s="19"/>
      <c r="Z20" s="19"/>
      <c r="AA20" s="19"/>
      <c r="AB20" s="19"/>
      <c r="AC20" s="19"/>
      <c r="AE20" s="17">
        <v>4</v>
      </c>
      <c r="AF20" s="18" t="s">
        <v>16</v>
      </c>
      <c r="AG20" s="19">
        <f t="shared" si="26"/>
        <v>-503809.95000000019</v>
      </c>
      <c r="AH20" s="19">
        <f t="shared" si="27"/>
        <v>-21.132364932543879</v>
      </c>
      <c r="AI20" s="19">
        <f t="shared" si="28"/>
        <v>-504838.95000000019</v>
      </c>
      <c r="AJ20" s="19">
        <f t="shared" si="29"/>
        <v>-21.175526453104535</v>
      </c>
      <c r="AK20" s="19">
        <f t="shared" si="30"/>
        <v>-505015.95000000019</v>
      </c>
      <c r="AL20" s="19">
        <f t="shared" si="31"/>
        <v>-21.182950737982313</v>
      </c>
      <c r="AM20" s="19">
        <f t="shared" si="32"/>
        <v>0</v>
      </c>
      <c r="AN20" s="19" t="e">
        <f t="shared" si="33"/>
        <v>#DIV/0!</v>
      </c>
      <c r="AO20" s="19">
        <f t="shared" si="34"/>
        <v>0</v>
      </c>
      <c r="AP20" s="19" t="e">
        <f t="shared" si="35"/>
        <v>#DIV/0!</v>
      </c>
      <c r="AQ20" s="19">
        <f t="shared" si="36"/>
        <v>0</v>
      </c>
      <c r="AR20" s="19" t="e">
        <f t="shared" si="37"/>
        <v>#DIV/0!</v>
      </c>
      <c r="AS20" s="19">
        <f t="shared" si="38"/>
        <v>0</v>
      </c>
      <c r="AT20" s="19" t="e">
        <f t="shared" si="39"/>
        <v>#DIV/0!</v>
      </c>
      <c r="AU20" s="19">
        <f t="shared" si="40"/>
        <v>0</v>
      </c>
      <c r="AV20" s="19" t="e">
        <f t="shared" si="41"/>
        <v>#DIV/0!</v>
      </c>
      <c r="AW20" s="19">
        <f t="shared" si="42"/>
        <v>0</v>
      </c>
      <c r="AX20" s="19" t="e">
        <f t="shared" si="43"/>
        <v>#DIV/0!</v>
      </c>
      <c r="AY20" s="19">
        <f t="shared" si="44"/>
        <v>0</v>
      </c>
      <c r="AZ20" s="19" t="e">
        <f t="shared" si="45"/>
        <v>#DIV/0!</v>
      </c>
      <c r="BA20" s="19">
        <f t="shared" si="46"/>
        <v>0</v>
      </c>
      <c r="BB20" s="19" t="e">
        <f t="shared" si="47"/>
        <v>#DIV/0!</v>
      </c>
      <c r="BC20" s="19">
        <f t="shared" si="48"/>
        <v>0</v>
      </c>
      <c r="BD20" s="19" t="e">
        <f t="shared" si="49"/>
        <v>#DIV/0!</v>
      </c>
    </row>
    <row r="21" spans="1:56" ht="25.2" thickBot="1">
      <c r="A21" s="20"/>
      <c r="B21" s="20" t="s">
        <v>17</v>
      </c>
      <c r="C21" s="21">
        <f>SUM(C16:C20)</f>
        <v>28978508.379999999</v>
      </c>
      <c r="D21" s="21">
        <f t="shared" ref="D21:N21" si="50">SUM(D16:D20)</f>
        <v>29007965.34</v>
      </c>
      <c r="E21" s="21">
        <f t="shared" si="50"/>
        <v>29038404.189999998</v>
      </c>
      <c r="F21" s="21">
        <f t="shared" si="50"/>
        <v>0</v>
      </c>
      <c r="G21" s="21">
        <f t="shared" si="50"/>
        <v>0</v>
      </c>
      <c r="H21" s="21">
        <f t="shared" si="50"/>
        <v>0</v>
      </c>
      <c r="I21" s="21">
        <f t="shared" si="50"/>
        <v>0</v>
      </c>
      <c r="J21" s="21">
        <f t="shared" si="50"/>
        <v>0</v>
      </c>
      <c r="K21" s="21">
        <f t="shared" si="50"/>
        <v>0</v>
      </c>
      <c r="L21" s="21">
        <f t="shared" si="50"/>
        <v>0</v>
      </c>
      <c r="M21" s="21">
        <f t="shared" si="50"/>
        <v>0</v>
      </c>
      <c r="N21" s="21">
        <f t="shared" si="50"/>
        <v>0</v>
      </c>
      <c r="P21" s="20"/>
      <c r="Q21" s="20" t="s">
        <v>17</v>
      </c>
      <c r="R21" s="21">
        <f>SUM(R16:R20)</f>
        <v>35504810.140000001</v>
      </c>
      <c r="S21" s="21">
        <f t="shared" ref="S21:AC21" si="51">SUM(S16:S20)</f>
        <v>35532792.579999998</v>
      </c>
      <c r="T21" s="21">
        <f t="shared" si="51"/>
        <v>35559923.020000003</v>
      </c>
      <c r="U21" s="21">
        <f t="shared" si="51"/>
        <v>0</v>
      </c>
      <c r="V21" s="21">
        <f t="shared" si="51"/>
        <v>0</v>
      </c>
      <c r="W21" s="21">
        <f t="shared" si="51"/>
        <v>0</v>
      </c>
      <c r="X21" s="21">
        <f t="shared" si="51"/>
        <v>0</v>
      </c>
      <c r="Y21" s="21">
        <f t="shared" si="51"/>
        <v>0</v>
      </c>
      <c r="Z21" s="21">
        <f t="shared" si="51"/>
        <v>0</v>
      </c>
      <c r="AA21" s="21">
        <f t="shared" si="51"/>
        <v>0</v>
      </c>
      <c r="AB21" s="21">
        <f t="shared" si="51"/>
        <v>0</v>
      </c>
      <c r="AC21" s="21">
        <f t="shared" si="51"/>
        <v>0</v>
      </c>
      <c r="AE21" s="20"/>
      <c r="AF21" s="20" t="s">
        <v>17</v>
      </c>
      <c r="AG21" s="23">
        <f t="shared" si="26"/>
        <v>-6526301.7600000016</v>
      </c>
      <c r="AH21" s="23">
        <f t="shared" si="27"/>
        <v>-22.521179055938703</v>
      </c>
      <c r="AI21" s="23">
        <f t="shared" si="28"/>
        <v>-6524827.2399999984</v>
      </c>
      <c r="AJ21" s="23">
        <f t="shared" si="29"/>
        <v>-22.493226131247155</v>
      </c>
      <c r="AK21" s="23">
        <f t="shared" si="30"/>
        <v>-6521518.8300000057</v>
      </c>
      <c r="AL21" s="23">
        <f t="shared" si="31"/>
        <v>-22.458254893517296</v>
      </c>
      <c r="AM21" s="23">
        <f t="shared" si="32"/>
        <v>0</v>
      </c>
      <c r="AN21" s="23" t="e">
        <f t="shared" si="33"/>
        <v>#DIV/0!</v>
      </c>
      <c r="AO21" s="23">
        <f t="shared" si="34"/>
        <v>0</v>
      </c>
      <c r="AP21" s="23" t="e">
        <f t="shared" si="35"/>
        <v>#DIV/0!</v>
      </c>
      <c r="AQ21" s="23">
        <f t="shared" si="36"/>
        <v>0</v>
      </c>
      <c r="AR21" s="23" t="e">
        <f t="shared" si="37"/>
        <v>#DIV/0!</v>
      </c>
      <c r="AS21" s="23">
        <f t="shared" si="38"/>
        <v>0</v>
      </c>
      <c r="AT21" s="23" t="e">
        <f t="shared" si="39"/>
        <v>#DIV/0!</v>
      </c>
      <c r="AU21" s="23">
        <f t="shared" si="40"/>
        <v>0</v>
      </c>
      <c r="AV21" s="23" t="e">
        <f t="shared" si="41"/>
        <v>#DIV/0!</v>
      </c>
      <c r="AW21" s="23">
        <f t="shared" si="42"/>
        <v>0</v>
      </c>
      <c r="AX21" s="23" t="e">
        <f t="shared" si="43"/>
        <v>#DIV/0!</v>
      </c>
      <c r="AY21" s="23">
        <f t="shared" si="44"/>
        <v>0</v>
      </c>
      <c r="AZ21" s="23" t="e">
        <f t="shared" si="45"/>
        <v>#DIV/0!</v>
      </c>
      <c r="BA21" s="23">
        <f t="shared" si="46"/>
        <v>0</v>
      </c>
      <c r="BB21" s="23" t="e">
        <f t="shared" si="47"/>
        <v>#DIV/0!</v>
      </c>
      <c r="BC21" s="23">
        <f t="shared" si="48"/>
        <v>0</v>
      </c>
      <c r="BD21" s="23" t="e">
        <f t="shared" si="49"/>
        <v>#DIV/0!</v>
      </c>
    </row>
    <row r="22" spans="1:56" ht="25.2" thickTop="1"/>
    <row r="23" spans="1:56">
      <c r="A23" s="37" t="s">
        <v>47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P23" s="37" t="s">
        <v>51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E23" s="37" t="s">
        <v>88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</row>
    <row r="24" spans="1:56">
      <c r="A24" s="37" t="s">
        <v>1953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P24" s="37" t="s">
        <v>1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E24" s="37" t="s">
        <v>1</v>
      </c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</row>
    <row r="25" spans="1:56" s="25" customFormat="1">
      <c r="A25" s="35" t="s">
        <v>2</v>
      </c>
      <c r="B25" s="35" t="s">
        <v>3</v>
      </c>
      <c r="C25" s="38" t="s">
        <v>4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P25" s="35" t="s">
        <v>2</v>
      </c>
      <c r="Q25" s="35" t="s">
        <v>3</v>
      </c>
      <c r="R25" s="38" t="s">
        <v>5</v>
      </c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/>
      <c r="AE25" s="35" t="s">
        <v>2</v>
      </c>
      <c r="AF25" s="35" t="s">
        <v>3</v>
      </c>
      <c r="AG25" s="33">
        <v>25112</v>
      </c>
      <c r="AH25" s="34"/>
      <c r="AI25" s="33">
        <v>25143</v>
      </c>
      <c r="AJ25" s="34"/>
      <c r="AK25" s="33">
        <v>25173</v>
      </c>
      <c r="AL25" s="34"/>
      <c r="AM25" s="33">
        <v>25204</v>
      </c>
      <c r="AN25" s="34"/>
      <c r="AO25" s="33">
        <v>25235</v>
      </c>
      <c r="AP25" s="34"/>
      <c r="AQ25" s="33">
        <v>25263</v>
      </c>
      <c r="AR25" s="34"/>
      <c r="AS25" s="33">
        <v>25294</v>
      </c>
      <c r="AT25" s="34"/>
      <c r="AU25" s="33">
        <v>25324</v>
      </c>
      <c r="AV25" s="34"/>
      <c r="AW25" s="33">
        <v>25355</v>
      </c>
      <c r="AX25" s="34"/>
      <c r="AY25" s="33">
        <v>25385</v>
      </c>
      <c r="AZ25" s="34"/>
      <c r="BA25" s="33">
        <v>25416</v>
      </c>
      <c r="BB25" s="34"/>
      <c r="BC25" s="33">
        <v>25447</v>
      </c>
      <c r="BD25" s="34"/>
    </row>
    <row r="26" spans="1:56" s="25" customFormat="1">
      <c r="A26" s="36"/>
      <c r="B26" s="36"/>
      <c r="C26" s="16">
        <v>25112</v>
      </c>
      <c r="D26" s="16">
        <v>25143</v>
      </c>
      <c r="E26" s="16">
        <v>25173</v>
      </c>
      <c r="F26" s="16">
        <v>25204</v>
      </c>
      <c r="G26" s="16">
        <v>25235</v>
      </c>
      <c r="H26" s="16">
        <v>25263</v>
      </c>
      <c r="I26" s="16">
        <v>25294</v>
      </c>
      <c r="J26" s="16">
        <v>25324</v>
      </c>
      <c r="K26" s="16">
        <v>25355</v>
      </c>
      <c r="L26" s="16">
        <v>25385</v>
      </c>
      <c r="M26" s="16">
        <v>25416</v>
      </c>
      <c r="N26" s="16">
        <v>25447</v>
      </c>
      <c r="P26" s="36"/>
      <c r="Q26" s="36"/>
      <c r="R26" s="16">
        <v>25112</v>
      </c>
      <c r="S26" s="16">
        <v>25143</v>
      </c>
      <c r="T26" s="16">
        <v>25173</v>
      </c>
      <c r="U26" s="16">
        <v>25204</v>
      </c>
      <c r="V26" s="16">
        <v>25235</v>
      </c>
      <c r="W26" s="16">
        <v>25263</v>
      </c>
      <c r="X26" s="16">
        <v>25294</v>
      </c>
      <c r="Y26" s="16">
        <v>25324</v>
      </c>
      <c r="Z26" s="16">
        <v>25355</v>
      </c>
      <c r="AA26" s="16">
        <v>25385</v>
      </c>
      <c r="AB26" s="16">
        <v>25416</v>
      </c>
      <c r="AC26" s="16">
        <v>25447</v>
      </c>
      <c r="AE26" s="36"/>
      <c r="AF26" s="36"/>
      <c r="AG26" s="16" t="s">
        <v>85</v>
      </c>
      <c r="AH26" s="16" t="s">
        <v>86</v>
      </c>
      <c r="AI26" s="16" t="s">
        <v>85</v>
      </c>
      <c r="AJ26" s="16" t="s">
        <v>86</v>
      </c>
      <c r="AK26" s="16" t="s">
        <v>85</v>
      </c>
      <c r="AL26" s="16" t="s">
        <v>86</v>
      </c>
      <c r="AM26" s="16" t="s">
        <v>85</v>
      </c>
      <c r="AN26" s="16" t="s">
        <v>86</v>
      </c>
      <c r="AO26" s="16" t="s">
        <v>85</v>
      </c>
      <c r="AP26" s="16" t="s">
        <v>86</v>
      </c>
      <c r="AQ26" s="16" t="s">
        <v>85</v>
      </c>
      <c r="AR26" s="16" t="s">
        <v>86</v>
      </c>
      <c r="AS26" s="16" t="s">
        <v>85</v>
      </c>
      <c r="AT26" s="16" t="s">
        <v>86</v>
      </c>
      <c r="AU26" s="16" t="s">
        <v>85</v>
      </c>
      <c r="AV26" s="16" t="s">
        <v>86</v>
      </c>
      <c r="AW26" s="16" t="s">
        <v>85</v>
      </c>
      <c r="AX26" s="16" t="s">
        <v>86</v>
      </c>
      <c r="AY26" s="16" t="s">
        <v>85</v>
      </c>
      <c r="AZ26" s="16" t="s">
        <v>86</v>
      </c>
      <c r="BA26" s="16" t="s">
        <v>85</v>
      </c>
      <c r="BB26" s="16" t="s">
        <v>86</v>
      </c>
      <c r="BC26" s="16" t="s">
        <v>85</v>
      </c>
      <c r="BD26" s="16" t="s">
        <v>86</v>
      </c>
    </row>
    <row r="27" spans="1:56">
      <c r="A27" s="17">
        <v>1</v>
      </c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6"/>
      <c r="P27" s="17">
        <v>1</v>
      </c>
      <c r="Q27" s="18" t="s">
        <v>18</v>
      </c>
      <c r="R27" s="19">
        <v>447386</v>
      </c>
      <c r="S27" s="19">
        <v>447386</v>
      </c>
      <c r="T27" s="19">
        <v>447386</v>
      </c>
      <c r="U27" s="19"/>
      <c r="V27" s="19"/>
      <c r="W27" s="19"/>
      <c r="X27" s="19"/>
      <c r="Y27" s="19"/>
      <c r="Z27" s="19"/>
      <c r="AA27" s="19"/>
      <c r="AB27" s="19"/>
      <c r="AC27" s="19"/>
      <c r="AE27" s="17">
        <v>1</v>
      </c>
      <c r="AF27" s="18" t="s">
        <v>18</v>
      </c>
      <c r="AG27" s="19">
        <f t="shared" ref="AG27:AG41" si="52">+C27-R27</f>
        <v>-447386</v>
      </c>
      <c r="AH27" s="19" t="e">
        <f t="shared" ref="AH27:AH41" si="53">+AG27/C27*100</f>
        <v>#DIV/0!</v>
      </c>
      <c r="AI27" s="19">
        <f t="shared" ref="AI27:AI41" si="54">+D27-S27</f>
        <v>-447386</v>
      </c>
      <c r="AJ27" s="19" t="e">
        <f t="shared" ref="AJ27:AJ41" si="55">+AI27/D27*100</f>
        <v>#DIV/0!</v>
      </c>
      <c r="AK27" s="19">
        <f t="shared" ref="AK27:AK41" si="56">+E27-T27</f>
        <v>-447386</v>
      </c>
      <c r="AL27" s="19" t="e">
        <f t="shared" ref="AL27:AL41" si="57">+AK27/E27*100</f>
        <v>#DIV/0!</v>
      </c>
      <c r="AM27" s="19">
        <f t="shared" ref="AM27:AM41" si="58">+F27-U27</f>
        <v>0</v>
      </c>
      <c r="AN27" s="19" t="e">
        <f t="shared" ref="AN27:AN41" si="59">+AM27/F27*100</f>
        <v>#DIV/0!</v>
      </c>
      <c r="AO27" s="19">
        <f t="shared" ref="AO27:AO41" si="60">+G27-V27</f>
        <v>0</v>
      </c>
      <c r="AP27" s="19" t="e">
        <f t="shared" ref="AP27:AP41" si="61">+AO27/G27*100</f>
        <v>#DIV/0!</v>
      </c>
      <c r="AQ27" s="19">
        <f t="shared" ref="AQ27:AQ41" si="62">+H27-W27</f>
        <v>0</v>
      </c>
      <c r="AR27" s="19" t="e">
        <f t="shared" ref="AR27:AR41" si="63">+AQ27/H27*100</f>
        <v>#DIV/0!</v>
      </c>
      <c r="AS27" s="19">
        <f t="shared" ref="AS27:AS41" si="64">+I27-X27</f>
        <v>0</v>
      </c>
      <c r="AT27" s="19" t="e">
        <f t="shared" ref="AT27:AT41" si="65">+AS27/I27*100</f>
        <v>#DIV/0!</v>
      </c>
      <c r="AU27" s="19">
        <f t="shared" ref="AU27:AU41" si="66">+J27-Y27</f>
        <v>0</v>
      </c>
      <c r="AV27" s="19" t="e">
        <f t="shared" ref="AV27:AV41" si="67">+AU27/J27*100</f>
        <v>#DIV/0!</v>
      </c>
      <c r="AW27" s="19">
        <f t="shared" ref="AW27:AW41" si="68">+K27-Z27</f>
        <v>0</v>
      </c>
      <c r="AX27" s="19" t="e">
        <f t="shared" ref="AX27:AX41" si="69">+AW27/K27*100</f>
        <v>#DIV/0!</v>
      </c>
      <c r="AY27" s="19">
        <f t="shared" ref="AY27:AY41" si="70">+L27-AA27</f>
        <v>0</v>
      </c>
      <c r="AZ27" s="19" t="e">
        <f t="shared" ref="AZ27:AZ41" si="71">+AY27/L27*100</f>
        <v>#DIV/0!</v>
      </c>
      <c r="BA27" s="19">
        <f t="shared" ref="BA27:BA41" si="72">+M27-AB27</f>
        <v>0</v>
      </c>
      <c r="BB27" s="19" t="e">
        <f t="shared" ref="BB27:BB41" si="73">+BA27/M27*100</f>
        <v>#DIV/0!</v>
      </c>
      <c r="BC27" s="19">
        <f t="shared" ref="BC27:BC41" si="74">+N27-AC27</f>
        <v>0</v>
      </c>
      <c r="BD27" s="19" t="e">
        <f t="shared" ref="BD27:BD41" si="75">+BC27/N27*100</f>
        <v>#DIV/0!</v>
      </c>
    </row>
    <row r="28" spans="1:56">
      <c r="A28" s="17">
        <v>2</v>
      </c>
      <c r="B28" s="18" t="s">
        <v>20</v>
      </c>
      <c r="C28" s="19">
        <v>2949830</v>
      </c>
      <c r="D28" s="19">
        <v>2949830</v>
      </c>
      <c r="E28" s="19">
        <v>2949830</v>
      </c>
      <c r="F28" s="19"/>
      <c r="G28" s="19"/>
      <c r="H28" s="19"/>
      <c r="I28" s="19"/>
      <c r="J28" s="19"/>
      <c r="K28" s="19"/>
      <c r="L28" s="19"/>
      <c r="M28" s="19"/>
      <c r="N28" s="19"/>
      <c r="O28" s="26"/>
      <c r="P28" s="17">
        <v>2</v>
      </c>
      <c r="Q28" s="18" t="s">
        <v>20</v>
      </c>
      <c r="R28" s="19">
        <v>7647520</v>
      </c>
      <c r="S28" s="19">
        <v>7647520</v>
      </c>
      <c r="T28" s="19">
        <v>7647520</v>
      </c>
      <c r="U28" s="19"/>
      <c r="V28" s="19"/>
      <c r="W28" s="19"/>
      <c r="X28" s="19"/>
      <c r="Y28" s="19"/>
      <c r="Z28" s="19"/>
      <c r="AA28" s="19"/>
      <c r="AB28" s="19"/>
      <c r="AC28" s="19"/>
      <c r="AE28" s="17">
        <v>2</v>
      </c>
      <c r="AF28" s="18" t="s">
        <v>20</v>
      </c>
      <c r="AG28" s="19">
        <f t="shared" si="52"/>
        <v>-4697690</v>
      </c>
      <c r="AH28" s="19">
        <f t="shared" si="53"/>
        <v>-159.25290609967354</v>
      </c>
      <c r="AI28" s="19">
        <f t="shared" si="54"/>
        <v>-4697690</v>
      </c>
      <c r="AJ28" s="19">
        <f t="shared" si="55"/>
        <v>-159.25290609967354</v>
      </c>
      <c r="AK28" s="19">
        <f t="shared" si="56"/>
        <v>-4697690</v>
      </c>
      <c r="AL28" s="19">
        <f t="shared" si="57"/>
        <v>-159.25290609967354</v>
      </c>
      <c r="AM28" s="19">
        <f t="shared" si="58"/>
        <v>0</v>
      </c>
      <c r="AN28" s="19" t="e">
        <f t="shared" si="59"/>
        <v>#DIV/0!</v>
      </c>
      <c r="AO28" s="19">
        <f t="shared" si="60"/>
        <v>0</v>
      </c>
      <c r="AP28" s="19" t="e">
        <f t="shared" si="61"/>
        <v>#DIV/0!</v>
      </c>
      <c r="AQ28" s="19">
        <f t="shared" si="62"/>
        <v>0</v>
      </c>
      <c r="AR28" s="19" t="e">
        <f t="shared" si="63"/>
        <v>#DIV/0!</v>
      </c>
      <c r="AS28" s="19">
        <f t="shared" si="64"/>
        <v>0</v>
      </c>
      <c r="AT28" s="19" t="e">
        <f t="shared" si="65"/>
        <v>#DIV/0!</v>
      </c>
      <c r="AU28" s="19">
        <f t="shared" si="66"/>
        <v>0</v>
      </c>
      <c r="AV28" s="19" t="e">
        <f t="shared" si="67"/>
        <v>#DIV/0!</v>
      </c>
      <c r="AW28" s="19">
        <f t="shared" si="68"/>
        <v>0</v>
      </c>
      <c r="AX28" s="19" t="e">
        <f t="shared" si="69"/>
        <v>#DIV/0!</v>
      </c>
      <c r="AY28" s="19">
        <f t="shared" si="70"/>
        <v>0</v>
      </c>
      <c r="AZ28" s="19" t="e">
        <f t="shared" si="71"/>
        <v>#DIV/0!</v>
      </c>
      <c r="BA28" s="19">
        <f t="shared" si="72"/>
        <v>0</v>
      </c>
      <c r="BB28" s="19" t="e">
        <f t="shared" si="73"/>
        <v>#DIV/0!</v>
      </c>
      <c r="BC28" s="19">
        <f t="shared" si="74"/>
        <v>0</v>
      </c>
      <c r="BD28" s="19" t="e">
        <f t="shared" si="75"/>
        <v>#DIV/0!</v>
      </c>
    </row>
    <row r="29" spans="1:56">
      <c r="A29" s="17">
        <v>3</v>
      </c>
      <c r="B29" s="18" t="s">
        <v>22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26"/>
      <c r="P29" s="17">
        <v>3</v>
      </c>
      <c r="Q29" s="18" t="s">
        <v>22</v>
      </c>
      <c r="R29" s="19">
        <v>102095.5</v>
      </c>
      <c r="S29" s="19">
        <v>102095.5</v>
      </c>
      <c r="T29" s="19">
        <v>102095.5</v>
      </c>
      <c r="U29" s="19"/>
      <c r="V29" s="19"/>
      <c r="W29" s="19"/>
      <c r="X29" s="19"/>
      <c r="Y29" s="19"/>
      <c r="Z29" s="19"/>
      <c r="AA29" s="19"/>
      <c r="AB29" s="19"/>
      <c r="AC29" s="19"/>
      <c r="AE29" s="17">
        <v>3</v>
      </c>
      <c r="AF29" s="18" t="s">
        <v>22</v>
      </c>
      <c r="AG29" s="19">
        <f t="shared" si="52"/>
        <v>-102095.5</v>
      </c>
      <c r="AH29" s="19" t="e">
        <f t="shared" si="53"/>
        <v>#DIV/0!</v>
      </c>
      <c r="AI29" s="19">
        <f t="shared" si="54"/>
        <v>-102095.5</v>
      </c>
      <c r="AJ29" s="19" t="e">
        <f t="shared" si="55"/>
        <v>#DIV/0!</v>
      </c>
      <c r="AK29" s="19">
        <f t="shared" si="56"/>
        <v>-102095.5</v>
      </c>
      <c r="AL29" s="19" t="e">
        <f t="shared" si="57"/>
        <v>#DIV/0!</v>
      </c>
      <c r="AM29" s="19">
        <f t="shared" si="58"/>
        <v>0</v>
      </c>
      <c r="AN29" s="19" t="e">
        <f t="shared" si="59"/>
        <v>#DIV/0!</v>
      </c>
      <c r="AO29" s="19">
        <f t="shared" si="60"/>
        <v>0</v>
      </c>
      <c r="AP29" s="19" t="e">
        <f t="shared" si="61"/>
        <v>#DIV/0!</v>
      </c>
      <c r="AQ29" s="19">
        <f t="shared" si="62"/>
        <v>0</v>
      </c>
      <c r="AR29" s="19" t="e">
        <f t="shared" si="63"/>
        <v>#DIV/0!</v>
      </c>
      <c r="AS29" s="19">
        <f t="shared" si="64"/>
        <v>0</v>
      </c>
      <c r="AT29" s="19" t="e">
        <f t="shared" si="65"/>
        <v>#DIV/0!</v>
      </c>
      <c r="AU29" s="19">
        <f t="shared" si="66"/>
        <v>0</v>
      </c>
      <c r="AV29" s="19" t="e">
        <f t="shared" si="67"/>
        <v>#DIV/0!</v>
      </c>
      <c r="AW29" s="19">
        <f t="shared" si="68"/>
        <v>0</v>
      </c>
      <c r="AX29" s="19" t="e">
        <f t="shared" si="69"/>
        <v>#DIV/0!</v>
      </c>
      <c r="AY29" s="19">
        <f t="shared" si="70"/>
        <v>0</v>
      </c>
      <c r="AZ29" s="19" t="e">
        <f t="shared" si="71"/>
        <v>#DIV/0!</v>
      </c>
      <c r="BA29" s="19">
        <f t="shared" si="72"/>
        <v>0</v>
      </c>
      <c r="BB29" s="19" t="e">
        <f t="shared" si="73"/>
        <v>#DIV/0!</v>
      </c>
      <c r="BC29" s="19">
        <f t="shared" si="74"/>
        <v>0</v>
      </c>
      <c r="BD29" s="19" t="e">
        <f t="shared" si="75"/>
        <v>#DIV/0!</v>
      </c>
    </row>
    <row r="30" spans="1:56">
      <c r="A30" s="17">
        <v>4</v>
      </c>
      <c r="B30" s="18" t="s">
        <v>24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6"/>
      <c r="P30" s="17">
        <v>4</v>
      </c>
      <c r="Q30" s="18" t="s">
        <v>24</v>
      </c>
      <c r="R30" s="19">
        <v>82750</v>
      </c>
      <c r="S30" s="19">
        <v>82750</v>
      </c>
      <c r="T30" s="19">
        <v>82750</v>
      </c>
      <c r="U30" s="19"/>
      <c r="V30" s="19"/>
      <c r="W30" s="19"/>
      <c r="X30" s="19"/>
      <c r="Y30" s="19"/>
      <c r="Z30" s="19"/>
      <c r="AA30" s="19"/>
      <c r="AB30" s="19"/>
      <c r="AC30" s="19"/>
      <c r="AE30" s="17">
        <v>4</v>
      </c>
      <c r="AF30" s="18" t="s">
        <v>24</v>
      </c>
      <c r="AG30" s="19">
        <f t="shared" si="52"/>
        <v>-82750</v>
      </c>
      <c r="AH30" s="19" t="e">
        <f t="shared" si="53"/>
        <v>#DIV/0!</v>
      </c>
      <c r="AI30" s="19">
        <f t="shared" si="54"/>
        <v>-82750</v>
      </c>
      <c r="AJ30" s="19" t="e">
        <f t="shared" si="55"/>
        <v>#DIV/0!</v>
      </c>
      <c r="AK30" s="19">
        <f t="shared" si="56"/>
        <v>-82750</v>
      </c>
      <c r="AL30" s="19" t="e">
        <f t="shared" si="57"/>
        <v>#DIV/0!</v>
      </c>
      <c r="AM30" s="19">
        <f t="shared" si="58"/>
        <v>0</v>
      </c>
      <c r="AN30" s="19" t="e">
        <f t="shared" si="59"/>
        <v>#DIV/0!</v>
      </c>
      <c r="AO30" s="19">
        <f t="shared" si="60"/>
        <v>0</v>
      </c>
      <c r="AP30" s="19" t="e">
        <f t="shared" si="61"/>
        <v>#DIV/0!</v>
      </c>
      <c r="AQ30" s="19">
        <f t="shared" si="62"/>
        <v>0</v>
      </c>
      <c r="AR30" s="19" t="e">
        <f t="shared" si="63"/>
        <v>#DIV/0!</v>
      </c>
      <c r="AS30" s="19">
        <f t="shared" si="64"/>
        <v>0</v>
      </c>
      <c r="AT30" s="19" t="e">
        <f t="shared" si="65"/>
        <v>#DIV/0!</v>
      </c>
      <c r="AU30" s="19">
        <f t="shared" si="66"/>
        <v>0</v>
      </c>
      <c r="AV30" s="19" t="e">
        <f t="shared" si="67"/>
        <v>#DIV/0!</v>
      </c>
      <c r="AW30" s="19">
        <f t="shared" si="68"/>
        <v>0</v>
      </c>
      <c r="AX30" s="19" t="e">
        <f t="shared" si="69"/>
        <v>#DIV/0!</v>
      </c>
      <c r="AY30" s="19">
        <f t="shared" si="70"/>
        <v>0</v>
      </c>
      <c r="AZ30" s="19" t="e">
        <f t="shared" si="71"/>
        <v>#DIV/0!</v>
      </c>
      <c r="BA30" s="19">
        <f t="shared" si="72"/>
        <v>0</v>
      </c>
      <c r="BB30" s="19" t="e">
        <f t="shared" si="73"/>
        <v>#DIV/0!</v>
      </c>
      <c r="BC30" s="19">
        <f t="shared" si="74"/>
        <v>0</v>
      </c>
      <c r="BD30" s="19" t="e">
        <f t="shared" si="75"/>
        <v>#DIV/0!</v>
      </c>
    </row>
    <row r="31" spans="1:56">
      <c r="A31" s="17">
        <v>5</v>
      </c>
      <c r="B31" s="18" t="s">
        <v>26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6"/>
      <c r="P31" s="17">
        <v>5</v>
      </c>
      <c r="Q31" s="18" t="s">
        <v>26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E31" s="17">
        <v>5</v>
      </c>
      <c r="AF31" s="18" t="s">
        <v>26</v>
      </c>
      <c r="AG31" s="19">
        <f t="shared" si="52"/>
        <v>0</v>
      </c>
      <c r="AH31" s="19" t="e">
        <f t="shared" si="53"/>
        <v>#DIV/0!</v>
      </c>
      <c r="AI31" s="19">
        <f t="shared" si="54"/>
        <v>0</v>
      </c>
      <c r="AJ31" s="19" t="e">
        <f t="shared" si="55"/>
        <v>#DIV/0!</v>
      </c>
      <c r="AK31" s="19">
        <f t="shared" si="56"/>
        <v>0</v>
      </c>
      <c r="AL31" s="19" t="e">
        <f t="shared" si="57"/>
        <v>#DIV/0!</v>
      </c>
      <c r="AM31" s="19">
        <f t="shared" si="58"/>
        <v>0</v>
      </c>
      <c r="AN31" s="19" t="e">
        <f t="shared" si="59"/>
        <v>#DIV/0!</v>
      </c>
      <c r="AO31" s="19">
        <f t="shared" si="60"/>
        <v>0</v>
      </c>
      <c r="AP31" s="19" t="e">
        <f t="shared" si="61"/>
        <v>#DIV/0!</v>
      </c>
      <c r="AQ31" s="19">
        <f t="shared" si="62"/>
        <v>0</v>
      </c>
      <c r="AR31" s="19" t="e">
        <f t="shared" si="63"/>
        <v>#DIV/0!</v>
      </c>
      <c r="AS31" s="19">
        <f t="shared" si="64"/>
        <v>0</v>
      </c>
      <c r="AT31" s="19" t="e">
        <f t="shared" si="65"/>
        <v>#DIV/0!</v>
      </c>
      <c r="AU31" s="19">
        <f t="shared" si="66"/>
        <v>0</v>
      </c>
      <c r="AV31" s="19" t="e">
        <f t="shared" si="67"/>
        <v>#DIV/0!</v>
      </c>
      <c r="AW31" s="19">
        <f t="shared" si="68"/>
        <v>0</v>
      </c>
      <c r="AX31" s="19" t="e">
        <f t="shared" si="69"/>
        <v>#DIV/0!</v>
      </c>
      <c r="AY31" s="19">
        <f t="shared" si="70"/>
        <v>0</v>
      </c>
      <c r="AZ31" s="19" t="e">
        <f t="shared" si="71"/>
        <v>#DIV/0!</v>
      </c>
      <c r="BA31" s="19">
        <f t="shared" si="72"/>
        <v>0</v>
      </c>
      <c r="BB31" s="19" t="e">
        <f t="shared" si="73"/>
        <v>#DIV/0!</v>
      </c>
      <c r="BC31" s="19">
        <f t="shared" si="74"/>
        <v>0</v>
      </c>
      <c r="BD31" s="19" t="e">
        <f t="shared" si="75"/>
        <v>#DIV/0!</v>
      </c>
    </row>
    <row r="32" spans="1:56">
      <c r="A32" s="17">
        <v>6</v>
      </c>
      <c r="B32" s="18" t="s">
        <v>28</v>
      </c>
      <c r="C32" s="19">
        <v>9213532</v>
      </c>
      <c r="D32" s="19">
        <v>9213532</v>
      </c>
      <c r="E32" s="19">
        <v>9213532</v>
      </c>
      <c r="F32" s="19"/>
      <c r="G32" s="19"/>
      <c r="H32" s="19"/>
      <c r="I32" s="19"/>
      <c r="J32" s="19"/>
      <c r="K32" s="19"/>
      <c r="L32" s="19"/>
      <c r="M32" s="19"/>
      <c r="N32" s="19"/>
      <c r="O32" s="26"/>
      <c r="P32" s="17">
        <v>6</v>
      </c>
      <c r="Q32" s="18" t="s">
        <v>28</v>
      </c>
      <c r="R32" s="19">
        <v>10445370.01</v>
      </c>
      <c r="S32" s="19">
        <v>10445370.01</v>
      </c>
      <c r="T32" s="19">
        <v>10445370.01</v>
      </c>
      <c r="U32" s="19"/>
      <c r="V32" s="19"/>
      <c r="W32" s="19"/>
      <c r="X32" s="19"/>
      <c r="Y32" s="19"/>
      <c r="Z32" s="19"/>
      <c r="AA32" s="19"/>
      <c r="AB32" s="19"/>
      <c r="AC32" s="19"/>
      <c r="AE32" s="17">
        <v>6</v>
      </c>
      <c r="AF32" s="18" t="s">
        <v>28</v>
      </c>
      <c r="AG32" s="19">
        <f t="shared" si="52"/>
        <v>-1231838.0099999998</v>
      </c>
      <c r="AH32" s="19">
        <f t="shared" si="53"/>
        <v>-13.369878239962695</v>
      </c>
      <c r="AI32" s="19">
        <f t="shared" si="54"/>
        <v>-1231838.0099999998</v>
      </c>
      <c r="AJ32" s="19">
        <f t="shared" si="55"/>
        <v>-13.369878239962695</v>
      </c>
      <c r="AK32" s="19">
        <f t="shared" si="56"/>
        <v>-1231838.0099999998</v>
      </c>
      <c r="AL32" s="19">
        <f t="shared" si="57"/>
        <v>-13.369878239962695</v>
      </c>
      <c r="AM32" s="19">
        <f t="shared" si="58"/>
        <v>0</v>
      </c>
      <c r="AN32" s="19" t="e">
        <f t="shared" si="59"/>
        <v>#DIV/0!</v>
      </c>
      <c r="AO32" s="19">
        <f t="shared" si="60"/>
        <v>0</v>
      </c>
      <c r="AP32" s="19" t="e">
        <f t="shared" si="61"/>
        <v>#DIV/0!</v>
      </c>
      <c r="AQ32" s="19">
        <f t="shared" si="62"/>
        <v>0</v>
      </c>
      <c r="AR32" s="19" t="e">
        <f t="shared" si="63"/>
        <v>#DIV/0!</v>
      </c>
      <c r="AS32" s="19">
        <f t="shared" si="64"/>
        <v>0</v>
      </c>
      <c r="AT32" s="19" t="e">
        <f t="shared" si="65"/>
        <v>#DIV/0!</v>
      </c>
      <c r="AU32" s="19">
        <f t="shared" si="66"/>
        <v>0</v>
      </c>
      <c r="AV32" s="19" t="e">
        <f t="shared" si="67"/>
        <v>#DIV/0!</v>
      </c>
      <c r="AW32" s="19">
        <f t="shared" si="68"/>
        <v>0</v>
      </c>
      <c r="AX32" s="19" t="e">
        <f t="shared" si="69"/>
        <v>#DIV/0!</v>
      </c>
      <c r="AY32" s="19">
        <f t="shared" si="70"/>
        <v>0</v>
      </c>
      <c r="AZ32" s="19" t="e">
        <f t="shared" si="71"/>
        <v>#DIV/0!</v>
      </c>
      <c r="BA32" s="19">
        <f t="shared" si="72"/>
        <v>0</v>
      </c>
      <c r="BB32" s="19" t="e">
        <f t="shared" si="73"/>
        <v>#DIV/0!</v>
      </c>
      <c r="BC32" s="19">
        <f t="shared" si="74"/>
        <v>0</v>
      </c>
      <c r="BD32" s="19" t="e">
        <f t="shared" si="75"/>
        <v>#DIV/0!</v>
      </c>
    </row>
    <row r="33" spans="1:56">
      <c r="A33" s="17">
        <v>7</v>
      </c>
      <c r="B33" s="18" t="s">
        <v>30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6"/>
      <c r="P33" s="17">
        <v>7</v>
      </c>
      <c r="Q33" s="18" t="s">
        <v>30</v>
      </c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E33" s="17">
        <v>7</v>
      </c>
      <c r="AF33" s="18" t="s">
        <v>30</v>
      </c>
      <c r="AG33" s="19">
        <f t="shared" si="52"/>
        <v>0</v>
      </c>
      <c r="AH33" s="19" t="e">
        <f t="shared" si="53"/>
        <v>#DIV/0!</v>
      </c>
      <c r="AI33" s="19">
        <f t="shared" si="54"/>
        <v>0</v>
      </c>
      <c r="AJ33" s="19" t="e">
        <f t="shared" si="55"/>
        <v>#DIV/0!</v>
      </c>
      <c r="AK33" s="19">
        <f t="shared" si="56"/>
        <v>0</v>
      </c>
      <c r="AL33" s="19" t="e">
        <f t="shared" si="57"/>
        <v>#DIV/0!</v>
      </c>
      <c r="AM33" s="19">
        <f t="shared" si="58"/>
        <v>0</v>
      </c>
      <c r="AN33" s="19" t="e">
        <f t="shared" si="59"/>
        <v>#DIV/0!</v>
      </c>
      <c r="AO33" s="19">
        <f t="shared" si="60"/>
        <v>0</v>
      </c>
      <c r="AP33" s="19" t="e">
        <f t="shared" si="61"/>
        <v>#DIV/0!</v>
      </c>
      <c r="AQ33" s="19">
        <f t="shared" si="62"/>
        <v>0</v>
      </c>
      <c r="AR33" s="19" t="e">
        <f t="shared" si="63"/>
        <v>#DIV/0!</v>
      </c>
      <c r="AS33" s="19">
        <f t="shared" si="64"/>
        <v>0</v>
      </c>
      <c r="AT33" s="19" t="e">
        <f t="shared" si="65"/>
        <v>#DIV/0!</v>
      </c>
      <c r="AU33" s="19">
        <f t="shared" si="66"/>
        <v>0</v>
      </c>
      <c r="AV33" s="19" t="e">
        <f t="shared" si="67"/>
        <v>#DIV/0!</v>
      </c>
      <c r="AW33" s="19">
        <f t="shared" si="68"/>
        <v>0</v>
      </c>
      <c r="AX33" s="19" t="e">
        <f t="shared" si="69"/>
        <v>#DIV/0!</v>
      </c>
      <c r="AY33" s="19">
        <f t="shared" si="70"/>
        <v>0</v>
      </c>
      <c r="AZ33" s="19" t="e">
        <f t="shared" si="71"/>
        <v>#DIV/0!</v>
      </c>
      <c r="BA33" s="19">
        <f t="shared" si="72"/>
        <v>0</v>
      </c>
      <c r="BB33" s="19" t="e">
        <f t="shared" si="73"/>
        <v>#DIV/0!</v>
      </c>
      <c r="BC33" s="19">
        <f t="shared" si="74"/>
        <v>0</v>
      </c>
      <c r="BD33" s="19" t="e">
        <f t="shared" si="75"/>
        <v>#DIV/0!</v>
      </c>
    </row>
    <row r="34" spans="1:56">
      <c r="A34" s="17">
        <v>8</v>
      </c>
      <c r="B34" s="18" t="s">
        <v>32</v>
      </c>
      <c r="C34" s="19">
        <v>1080000</v>
      </c>
      <c r="D34" s="19">
        <v>1080000</v>
      </c>
      <c r="E34" s="19">
        <v>1080000</v>
      </c>
      <c r="F34" s="19"/>
      <c r="G34" s="19"/>
      <c r="H34" s="19"/>
      <c r="I34" s="19"/>
      <c r="J34" s="19"/>
      <c r="K34" s="19"/>
      <c r="L34" s="19"/>
      <c r="M34" s="19"/>
      <c r="N34" s="19"/>
      <c r="O34" s="26"/>
      <c r="P34" s="17">
        <v>8</v>
      </c>
      <c r="Q34" s="18" t="s">
        <v>32</v>
      </c>
      <c r="R34" s="19">
        <v>2270890</v>
      </c>
      <c r="S34" s="19">
        <v>2270890</v>
      </c>
      <c r="T34" s="19">
        <v>2270890</v>
      </c>
      <c r="U34" s="19"/>
      <c r="V34" s="19"/>
      <c r="W34" s="19"/>
      <c r="X34" s="19"/>
      <c r="Y34" s="19"/>
      <c r="Z34" s="19"/>
      <c r="AA34" s="19"/>
      <c r="AB34" s="19"/>
      <c r="AC34" s="19"/>
      <c r="AE34" s="17">
        <v>8</v>
      </c>
      <c r="AF34" s="18" t="s">
        <v>32</v>
      </c>
      <c r="AG34" s="19">
        <f t="shared" si="52"/>
        <v>-1190890</v>
      </c>
      <c r="AH34" s="19">
        <f t="shared" si="53"/>
        <v>-110.26759259259261</v>
      </c>
      <c r="AI34" s="19">
        <f t="shared" si="54"/>
        <v>-1190890</v>
      </c>
      <c r="AJ34" s="19">
        <f t="shared" si="55"/>
        <v>-110.26759259259261</v>
      </c>
      <c r="AK34" s="19">
        <f t="shared" si="56"/>
        <v>-1190890</v>
      </c>
      <c r="AL34" s="19">
        <f t="shared" si="57"/>
        <v>-110.26759259259261</v>
      </c>
      <c r="AM34" s="19">
        <f t="shared" si="58"/>
        <v>0</v>
      </c>
      <c r="AN34" s="19" t="e">
        <f t="shared" si="59"/>
        <v>#DIV/0!</v>
      </c>
      <c r="AO34" s="19">
        <f t="shared" si="60"/>
        <v>0</v>
      </c>
      <c r="AP34" s="19" t="e">
        <f t="shared" si="61"/>
        <v>#DIV/0!</v>
      </c>
      <c r="AQ34" s="19">
        <f t="shared" si="62"/>
        <v>0</v>
      </c>
      <c r="AR34" s="19" t="e">
        <f t="shared" si="63"/>
        <v>#DIV/0!</v>
      </c>
      <c r="AS34" s="19">
        <f t="shared" si="64"/>
        <v>0</v>
      </c>
      <c r="AT34" s="19" t="e">
        <f t="shared" si="65"/>
        <v>#DIV/0!</v>
      </c>
      <c r="AU34" s="19">
        <f t="shared" si="66"/>
        <v>0</v>
      </c>
      <c r="AV34" s="19" t="e">
        <f t="shared" si="67"/>
        <v>#DIV/0!</v>
      </c>
      <c r="AW34" s="19">
        <f t="shared" si="68"/>
        <v>0</v>
      </c>
      <c r="AX34" s="19" t="e">
        <f t="shared" si="69"/>
        <v>#DIV/0!</v>
      </c>
      <c r="AY34" s="19">
        <f t="shared" si="70"/>
        <v>0</v>
      </c>
      <c r="AZ34" s="19" t="e">
        <f t="shared" si="71"/>
        <v>#DIV/0!</v>
      </c>
      <c r="BA34" s="19">
        <f t="shared" si="72"/>
        <v>0</v>
      </c>
      <c r="BB34" s="19" t="e">
        <f t="shared" si="73"/>
        <v>#DIV/0!</v>
      </c>
      <c r="BC34" s="19">
        <f t="shared" si="74"/>
        <v>0</v>
      </c>
      <c r="BD34" s="19" t="e">
        <f t="shared" si="75"/>
        <v>#DIV/0!</v>
      </c>
    </row>
    <row r="35" spans="1:56">
      <c r="A35" s="17">
        <v>9</v>
      </c>
      <c r="B35" s="18" t="s">
        <v>34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6"/>
      <c r="P35" s="17">
        <v>9</v>
      </c>
      <c r="Q35" s="18" t="s">
        <v>34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E35" s="17">
        <v>9</v>
      </c>
      <c r="AF35" s="18" t="s">
        <v>34</v>
      </c>
      <c r="AG35" s="19">
        <f t="shared" si="52"/>
        <v>0</v>
      </c>
      <c r="AH35" s="19" t="e">
        <f t="shared" si="53"/>
        <v>#DIV/0!</v>
      </c>
      <c r="AI35" s="19">
        <f t="shared" si="54"/>
        <v>0</v>
      </c>
      <c r="AJ35" s="19" t="e">
        <f t="shared" si="55"/>
        <v>#DIV/0!</v>
      </c>
      <c r="AK35" s="19">
        <f t="shared" si="56"/>
        <v>0</v>
      </c>
      <c r="AL35" s="19" t="e">
        <f t="shared" si="57"/>
        <v>#DIV/0!</v>
      </c>
      <c r="AM35" s="19">
        <f t="shared" si="58"/>
        <v>0</v>
      </c>
      <c r="AN35" s="19" t="e">
        <f t="shared" si="59"/>
        <v>#DIV/0!</v>
      </c>
      <c r="AO35" s="19">
        <f t="shared" si="60"/>
        <v>0</v>
      </c>
      <c r="AP35" s="19" t="e">
        <f t="shared" si="61"/>
        <v>#DIV/0!</v>
      </c>
      <c r="AQ35" s="19">
        <f t="shared" si="62"/>
        <v>0</v>
      </c>
      <c r="AR35" s="19" t="e">
        <f t="shared" si="63"/>
        <v>#DIV/0!</v>
      </c>
      <c r="AS35" s="19">
        <f t="shared" si="64"/>
        <v>0</v>
      </c>
      <c r="AT35" s="19" t="e">
        <f t="shared" si="65"/>
        <v>#DIV/0!</v>
      </c>
      <c r="AU35" s="19">
        <f t="shared" si="66"/>
        <v>0</v>
      </c>
      <c r="AV35" s="19" t="e">
        <f t="shared" si="67"/>
        <v>#DIV/0!</v>
      </c>
      <c r="AW35" s="19">
        <f t="shared" si="68"/>
        <v>0</v>
      </c>
      <c r="AX35" s="19" t="e">
        <f t="shared" si="69"/>
        <v>#DIV/0!</v>
      </c>
      <c r="AY35" s="19">
        <f t="shared" si="70"/>
        <v>0</v>
      </c>
      <c r="AZ35" s="19" t="e">
        <f t="shared" si="71"/>
        <v>#DIV/0!</v>
      </c>
      <c r="BA35" s="19">
        <f t="shared" si="72"/>
        <v>0</v>
      </c>
      <c r="BB35" s="19" t="e">
        <f t="shared" si="73"/>
        <v>#DIV/0!</v>
      </c>
      <c r="BC35" s="19">
        <f t="shared" si="74"/>
        <v>0</v>
      </c>
      <c r="BD35" s="19" t="e">
        <f t="shared" si="75"/>
        <v>#DIV/0!</v>
      </c>
    </row>
    <row r="36" spans="1:56">
      <c r="A36" s="17">
        <v>10</v>
      </c>
      <c r="B36" s="18" t="s">
        <v>36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6"/>
      <c r="P36" s="17">
        <v>10</v>
      </c>
      <c r="Q36" s="18" t="s">
        <v>36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E36" s="17">
        <v>10</v>
      </c>
      <c r="AF36" s="18" t="s">
        <v>36</v>
      </c>
      <c r="AG36" s="19">
        <f t="shared" si="52"/>
        <v>0</v>
      </c>
      <c r="AH36" s="19" t="e">
        <f t="shared" si="53"/>
        <v>#DIV/0!</v>
      </c>
      <c r="AI36" s="19">
        <f t="shared" si="54"/>
        <v>0</v>
      </c>
      <c r="AJ36" s="19" t="e">
        <f t="shared" si="55"/>
        <v>#DIV/0!</v>
      </c>
      <c r="AK36" s="19">
        <f t="shared" si="56"/>
        <v>0</v>
      </c>
      <c r="AL36" s="19" t="e">
        <f t="shared" si="57"/>
        <v>#DIV/0!</v>
      </c>
      <c r="AM36" s="19">
        <f t="shared" si="58"/>
        <v>0</v>
      </c>
      <c r="AN36" s="19" t="e">
        <f t="shared" si="59"/>
        <v>#DIV/0!</v>
      </c>
      <c r="AO36" s="19">
        <f t="shared" si="60"/>
        <v>0</v>
      </c>
      <c r="AP36" s="19" t="e">
        <f t="shared" si="61"/>
        <v>#DIV/0!</v>
      </c>
      <c r="AQ36" s="19">
        <f t="shared" si="62"/>
        <v>0</v>
      </c>
      <c r="AR36" s="19" t="e">
        <f t="shared" si="63"/>
        <v>#DIV/0!</v>
      </c>
      <c r="AS36" s="19">
        <f t="shared" si="64"/>
        <v>0</v>
      </c>
      <c r="AT36" s="19" t="e">
        <f t="shared" si="65"/>
        <v>#DIV/0!</v>
      </c>
      <c r="AU36" s="19">
        <f t="shared" si="66"/>
        <v>0</v>
      </c>
      <c r="AV36" s="19" t="e">
        <f t="shared" si="67"/>
        <v>#DIV/0!</v>
      </c>
      <c r="AW36" s="19">
        <f t="shared" si="68"/>
        <v>0</v>
      </c>
      <c r="AX36" s="19" t="e">
        <f t="shared" si="69"/>
        <v>#DIV/0!</v>
      </c>
      <c r="AY36" s="19">
        <f t="shared" si="70"/>
        <v>0</v>
      </c>
      <c r="AZ36" s="19" t="e">
        <f t="shared" si="71"/>
        <v>#DIV/0!</v>
      </c>
      <c r="BA36" s="19">
        <f t="shared" si="72"/>
        <v>0</v>
      </c>
      <c r="BB36" s="19" t="e">
        <f t="shared" si="73"/>
        <v>#DIV/0!</v>
      </c>
      <c r="BC36" s="19">
        <f t="shared" si="74"/>
        <v>0</v>
      </c>
      <c r="BD36" s="19" t="e">
        <f t="shared" si="75"/>
        <v>#DIV/0!</v>
      </c>
    </row>
    <row r="37" spans="1:56">
      <c r="A37" s="17">
        <v>11</v>
      </c>
      <c r="B37" s="18" t="s">
        <v>38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6"/>
      <c r="P37" s="17">
        <v>11</v>
      </c>
      <c r="Q37" s="18" t="s">
        <v>38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E37" s="17">
        <v>11</v>
      </c>
      <c r="AF37" s="18" t="s">
        <v>38</v>
      </c>
      <c r="AG37" s="19">
        <f t="shared" si="52"/>
        <v>0</v>
      </c>
      <c r="AH37" s="19" t="e">
        <f t="shared" si="53"/>
        <v>#DIV/0!</v>
      </c>
      <c r="AI37" s="19">
        <f t="shared" si="54"/>
        <v>0</v>
      </c>
      <c r="AJ37" s="19" t="e">
        <f t="shared" si="55"/>
        <v>#DIV/0!</v>
      </c>
      <c r="AK37" s="19">
        <f t="shared" si="56"/>
        <v>0</v>
      </c>
      <c r="AL37" s="19" t="e">
        <f t="shared" si="57"/>
        <v>#DIV/0!</v>
      </c>
      <c r="AM37" s="19">
        <f t="shared" si="58"/>
        <v>0</v>
      </c>
      <c r="AN37" s="19" t="e">
        <f t="shared" si="59"/>
        <v>#DIV/0!</v>
      </c>
      <c r="AO37" s="19">
        <f t="shared" si="60"/>
        <v>0</v>
      </c>
      <c r="AP37" s="19" t="e">
        <f t="shared" si="61"/>
        <v>#DIV/0!</v>
      </c>
      <c r="AQ37" s="19">
        <f t="shared" si="62"/>
        <v>0</v>
      </c>
      <c r="AR37" s="19" t="e">
        <f t="shared" si="63"/>
        <v>#DIV/0!</v>
      </c>
      <c r="AS37" s="19">
        <f t="shared" si="64"/>
        <v>0</v>
      </c>
      <c r="AT37" s="19" t="e">
        <f t="shared" si="65"/>
        <v>#DIV/0!</v>
      </c>
      <c r="AU37" s="19">
        <f t="shared" si="66"/>
        <v>0</v>
      </c>
      <c r="AV37" s="19" t="e">
        <f t="shared" si="67"/>
        <v>#DIV/0!</v>
      </c>
      <c r="AW37" s="19">
        <f t="shared" si="68"/>
        <v>0</v>
      </c>
      <c r="AX37" s="19" t="e">
        <f t="shared" si="69"/>
        <v>#DIV/0!</v>
      </c>
      <c r="AY37" s="19">
        <f t="shared" si="70"/>
        <v>0</v>
      </c>
      <c r="AZ37" s="19" t="e">
        <f t="shared" si="71"/>
        <v>#DIV/0!</v>
      </c>
      <c r="BA37" s="19">
        <f t="shared" si="72"/>
        <v>0</v>
      </c>
      <c r="BB37" s="19" t="e">
        <f t="shared" si="73"/>
        <v>#DIV/0!</v>
      </c>
      <c r="BC37" s="19">
        <f t="shared" si="74"/>
        <v>0</v>
      </c>
      <c r="BD37" s="19" t="e">
        <f t="shared" si="75"/>
        <v>#DIV/0!</v>
      </c>
    </row>
    <row r="38" spans="1:56">
      <c r="A38" s="17">
        <v>12</v>
      </c>
      <c r="B38" s="18" t="s">
        <v>40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6"/>
      <c r="P38" s="17">
        <v>12</v>
      </c>
      <c r="Q38" s="18" t="s">
        <v>40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E38" s="17">
        <v>12</v>
      </c>
      <c r="AF38" s="18" t="s">
        <v>40</v>
      </c>
      <c r="AG38" s="19">
        <f t="shared" si="52"/>
        <v>0</v>
      </c>
      <c r="AH38" s="19" t="e">
        <f t="shared" si="53"/>
        <v>#DIV/0!</v>
      </c>
      <c r="AI38" s="19">
        <f t="shared" si="54"/>
        <v>0</v>
      </c>
      <c r="AJ38" s="19" t="e">
        <f t="shared" si="55"/>
        <v>#DIV/0!</v>
      </c>
      <c r="AK38" s="19">
        <f t="shared" si="56"/>
        <v>0</v>
      </c>
      <c r="AL38" s="19" t="e">
        <f t="shared" si="57"/>
        <v>#DIV/0!</v>
      </c>
      <c r="AM38" s="19">
        <f t="shared" si="58"/>
        <v>0</v>
      </c>
      <c r="AN38" s="19" t="e">
        <f t="shared" si="59"/>
        <v>#DIV/0!</v>
      </c>
      <c r="AO38" s="19">
        <f t="shared" si="60"/>
        <v>0</v>
      </c>
      <c r="AP38" s="19" t="e">
        <f t="shared" si="61"/>
        <v>#DIV/0!</v>
      </c>
      <c r="AQ38" s="19">
        <f t="shared" si="62"/>
        <v>0</v>
      </c>
      <c r="AR38" s="19" t="e">
        <f t="shared" si="63"/>
        <v>#DIV/0!</v>
      </c>
      <c r="AS38" s="19">
        <f t="shared" si="64"/>
        <v>0</v>
      </c>
      <c r="AT38" s="19" t="e">
        <f t="shared" si="65"/>
        <v>#DIV/0!</v>
      </c>
      <c r="AU38" s="19">
        <f t="shared" si="66"/>
        <v>0</v>
      </c>
      <c r="AV38" s="19" t="e">
        <f t="shared" si="67"/>
        <v>#DIV/0!</v>
      </c>
      <c r="AW38" s="19">
        <f t="shared" si="68"/>
        <v>0</v>
      </c>
      <c r="AX38" s="19" t="e">
        <f t="shared" si="69"/>
        <v>#DIV/0!</v>
      </c>
      <c r="AY38" s="19">
        <f t="shared" si="70"/>
        <v>0</v>
      </c>
      <c r="AZ38" s="19" t="e">
        <f t="shared" si="71"/>
        <v>#DIV/0!</v>
      </c>
      <c r="BA38" s="19">
        <f t="shared" si="72"/>
        <v>0</v>
      </c>
      <c r="BB38" s="19" t="e">
        <f t="shared" si="73"/>
        <v>#DIV/0!</v>
      </c>
      <c r="BC38" s="19">
        <f t="shared" si="74"/>
        <v>0</v>
      </c>
      <c r="BD38" s="19" t="e">
        <f t="shared" si="75"/>
        <v>#DIV/0!</v>
      </c>
    </row>
    <row r="39" spans="1:56">
      <c r="A39" s="17">
        <v>13</v>
      </c>
      <c r="B39" s="18" t="s">
        <v>42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6"/>
      <c r="P39" s="17">
        <v>13</v>
      </c>
      <c r="Q39" s="18" t="s">
        <v>42</v>
      </c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E39" s="17">
        <v>13</v>
      </c>
      <c r="AF39" s="18" t="s">
        <v>42</v>
      </c>
      <c r="AG39" s="19">
        <f t="shared" si="52"/>
        <v>0</v>
      </c>
      <c r="AH39" s="19" t="e">
        <f t="shared" si="53"/>
        <v>#DIV/0!</v>
      </c>
      <c r="AI39" s="19">
        <f t="shared" si="54"/>
        <v>0</v>
      </c>
      <c r="AJ39" s="19" t="e">
        <f t="shared" si="55"/>
        <v>#DIV/0!</v>
      </c>
      <c r="AK39" s="19">
        <f t="shared" si="56"/>
        <v>0</v>
      </c>
      <c r="AL39" s="19" t="e">
        <f t="shared" si="57"/>
        <v>#DIV/0!</v>
      </c>
      <c r="AM39" s="19">
        <f t="shared" si="58"/>
        <v>0</v>
      </c>
      <c r="AN39" s="19" t="e">
        <f t="shared" si="59"/>
        <v>#DIV/0!</v>
      </c>
      <c r="AO39" s="19">
        <f t="shared" si="60"/>
        <v>0</v>
      </c>
      <c r="AP39" s="19" t="e">
        <f t="shared" si="61"/>
        <v>#DIV/0!</v>
      </c>
      <c r="AQ39" s="19">
        <f t="shared" si="62"/>
        <v>0</v>
      </c>
      <c r="AR39" s="19" t="e">
        <f t="shared" si="63"/>
        <v>#DIV/0!</v>
      </c>
      <c r="AS39" s="19">
        <f t="shared" si="64"/>
        <v>0</v>
      </c>
      <c r="AT39" s="19" t="e">
        <f t="shared" si="65"/>
        <v>#DIV/0!</v>
      </c>
      <c r="AU39" s="19">
        <f t="shared" si="66"/>
        <v>0</v>
      </c>
      <c r="AV39" s="19" t="e">
        <f t="shared" si="67"/>
        <v>#DIV/0!</v>
      </c>
      <c r="AW39" s="19">
        <f t="shared" si="68"/>
        <v>0</v>
      </c>
      <c r="AX39" s="19" t="e">
        <f t="shared" si="69"/>
        <v>#DIV/0!</v>
      </c>
      <c r="AY39" s="19">
        <f t="shared" si="70"/>
        <v>0</v>
      </c>
      <c r="AZ39" s="19" t="e">
        <f t="shared" si="71"/>
        <v>#DIV/0!</v>
      </c>
      <c r="BA39" s="19">
        <f t="shared" si="72"/>
        <v>0</v>
      </c>
      <c r="BB39" s="19" t="e">
        <f t="shared" si="73"/>
        <v>#DIV/0!</v>
      </c>
      <c r="BC39" s="19">
        <f t="shared" si="74"/>
        <v>0</v>
      </c>
      <c r="BD39" s="19" t="e">
        <f t="shared" si="75"/>
        <v>#DIV/0!</v>
      </c>
    </row>
    <row r="40" spans="1:56">
      <c r="A40" s="17">
        <v>14</v>
      </c>
      <c r="B40" s="18" t="s">
        <v>44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26"/>
      <c r="P40" s="17">
        <v>14</v>
      </c>
      <c r="Q40" s="18" t="s">
        <v>44</v>
      </c>
      <c r="R40" s="19">
        <v>321000</v>
      </c>
      <c r="S40" s="19">
        <v>321000</v>
      </c>
      <c r="T40" s="19">
        <v>321000</v>
      </c>
      <c r="U40" s="19"/>
      <c r="V40" s="19"/>
      <c r="W40" s="19"/>
      <c r="X40" s="19"/>
      <c r="Y40" s="19"/>
      <c r="Z40" s="19"/>
      <c r="AA40" s="19"/>
      <c r="AB40" s="19"/>
      <c r="AC40" s="19"/>
      <c r="AE40" s="17">
        <v>14</v>
      </c>
      <c r="AF40" s="18" t="s">
        <v>44</v>
      </c>
      <c r="AG40" s="19">
        <f t="shared" si="52"/>
        <v>-321000</v>
      </c>
      <c r="AH40" s="19" t="e">
        <f t="shared" si="53"/>
        <v>#DIV/0!</v>
      </c>
      <c r="AI40" s="19">
        <f t="shared" si="54"/>
        <v>-321000</v>
      </c>
      <c r="AJ40" s="19" t="e">
        <f t="shared" si="55"/>
        <v>#DIV/0!</v>
      </c>
      <c r="AK40" s="19">
        <f t="shared" si="56"/>
        <v>-321000</v>
      </c>
      <c r="AL40" s="19" t="e">
        <f t="shared" si="57"/>
        <v>#DIV/0!</v>
      </c>
      <c r="AM40" s="19">
        <f t="shared" si="58"/>
        <v>0</v>
      </c>
      <c r="AN40" s="19" t="e">
        <f t="shared" si="59"/>
        <v>#DIV/0!</v>
      </c>
      <c r="AO40" s="19">
        <f t="shared" si="60"/>
        <v>0</v>
      </c>
      <c r="AP40" s="19" t="e">
        <f t="shared" si="61"/>
        <v>#DIV/0!</v>
      </c>
      <c r="AQ40" s="19">
        <f t="shared" si="62"/>
        <v>0</v>
      </c>
      <c r="AR40" s="19" t="e">
        <f t="shared" si="63"/>
        <v>#DIV/0!</v>
      </c>
      <c r="AS40" s="19">
        <f t="shared" si="64"/>
        <v>0</v>
      </c>
      <c r="AT40" s="19" t="e">
        <f t="shared" si="65"/>
        <v>#DIV/0!</v>
      </c>
      <c r="AU40" s="19">
        <f t="shared" si="66"/>
        <v>0</v>
      </c>
      <c r="AV40" s="19" t="e">
        <f t="shared" si="67"/>
        <v>#DIV/0!</v>
      </c>
      <c r="AW40" s="19">
        <f t="shared" si="68"/>
        <v>0</v>
      </c>
      <c r="AX40" s="19" t="e">
        <f t="shared" si="69"/>
        <v>#DIV/0!</v>
      </c>
      <c r="AY40" s="19">
        <f t="shared" si="70"/>
        <v>0</v>
      </c>
      <c r="AZ40" s="19" t="e">
        <f t="shared" si="71"/>
        <v>#DIV/0!</v>
      </c>
      <c r="BA40" s="19">
        <f t="shared" si="72"/>
        <v>0</v>
      </c>
      <c r="BB40" s="19" t="e">
        <f t="shared" si="73"/>
        <v>#DIV/0!</v>
      </c>
      <c r="BC40" s="19">
        <f t="shared" si="74"/>
        <v>0</v>
      </c>
      <c r="BD40" s="19" t="e">
        <f t="shared" si="75"/>
        <v>#DIV/0!</v>
      </c>
    </row>
    <row r="41" spans="1:56" ht="25.2" thickBot="1">
      <c r="A41" s="17"/>
      <c r="B41" s="20" t="s">
        <v>17</v>
      </c>
      <c r="C41" s="27">
        <f>SUM(C27:C40)</f>
        <v>13243362</v>
      </c>
      <c r="D41" s="27">
        <f t="shared" ref="D41:N41" si="76">SUM(D27:D40)</f>
        <v>13243362</v>
      </c>
      <c r="E41" s="27">
        <f t="shared" si="76"/>
        <v>13243362</v>
      </c>
      <c r="F41" s="27">
        <f t="shared" si="76"/>
        <v>0</v>
      </c>
      <c r="G41" s="27">
        <f t="shared" si="76"/>
        <v>0</v>
      </c>
      <c r="H41" s="27">
        <f t="shared" si="76"/>
        <v>0</v>
      </c>
      <c r="I41" s="27">
        <f t="shared" si="76"/>
        <v>0</v>
      </c>
      <c r="J41" s="27">
        <f t="shared" si="76"/>
        <v>0</v>
      </c>
      <c r="K41" s="27">
        <f t="shared" si="76"/>
        <v>0</v>
      </c>
      <c r="L41" s="27">
        <f t="shared" si="76"/>
        <v>0</v>
      </c>
      <c r="M41" s="27">
        <f t="shared" si="76"/>
        <v>0</v>
      </c>
      <c r="N41" s="27">
        <f t="shared" si="76"/>
        <v>0</v>
      </c>
      <c r="P41" s="17"/>
      <c r="Q41" s="20" t="s">
        <v>17</v>
      </c>
      <c r="R41" s="27">
        <f>SUM(R27:R40)</f>
        <v>21317011.509999998</v>
      </c>
      <c r="S41" s="27">
        <f t="shared" ref="S41:AC41" si="77">SUM(S27:S40)</f>
        <v>21317011.509999998</v>
      </c>
      <c r="T41" s="27">
        <f t="shared" si="77"/>
        <v>21317011.509999998</v>
      </c>
      <c r="U41" s="27">
        <f t="shared" si="77"/>
        <v>0</v>
      </c>
      <c r="V41" s="27">
        <f t="shared" si="77"/>
        <v>0</v>
      </c>
      <c r="W41" s="27">
        <f t="shared" si="77"/>
        <v>0</v>
      </c>
      <c r="X41" s="27">
        <f t="shared" si="77"/>
        <v>0</v>
      </c>
      <c r="Y41" s="27">
        <f t="shared" si="77"/>
        <v>0</v>
      </c>
      <c r="Z41" s="27">
        <f t="shared" si="77"/>
        <v>0</v>
      </c>
      <c r="AA41" s="27">
        <f t="shared" si="77"/>
        <v>0</v>
      </c>
      <c r="AB41" s="27">
        <f t="shared" si="77"/>
        <v>0</v>
      </c>
      <c r="AC41" s="27">
        <f t="shared" si="77"/>
        <v>0</v>
      </c>
      <c r="AE41" s="17"/>
      <c r="AF41" s="20" t="s">
        <v>17</v>
      </c>
      <c r="AG41" s="23">
        <f t="shared" si="52"/>
        <v>-8073649.5099999979</v>
      </c>
      <c r="AH41" s="23">
        <f t="shared" si="53"/>
        <v>-60.96374553531043</v>
      </c>
      <c r="AI41" s="23">
        <f t="shared" si="54"/>
        <v>-8073649.5099999979</v>
      </c>
      <c r="AJ41" s="23">
        <f t="shared" si="55"/>
        <v>-60.96374553531043</v>
      </c>
      <c r="AK41" s="23">
        <f t="shared" si="56"/>
        <v>-8073649.5099999979</v>
      </c>
      <c r="AL41" s="23">
        <f t="shared" si="57"/>
        <v>-60.96374553531043</v>
      </c>
      <c r="AM41" s="23">
        <f t="shared" si="58"/>
        <v>0</v>
      </c>
      <c r="AN41" s="23" t="e">
        <f t="shared" si="59"/>
        <v>#DIV/0!</v>
      </c>
      <c r="AO41" s="23">
        <f t="shared" si="60"/>
        <v>0</v>
      </c>
      <c r="AP41" s="23" t="e">
        <f t="shared" si="61"/>
        <v>#DIV/0!</v>
      </c>
      <c r="AQ41" s="23">
        <f t="shared" si="62"/>
        <v>0</v>
      </c>
      <c r="AR41" s="23" t="e">
        <f t="shared" si="63"/>
        <v>#DIV/0!</v>
      </c>
      <c r="AS41" s="23">
        <f t="shared" si="64"/>
        <v>0</v>
      </c>
      <c r="AT41" s="23" t="e">
        <f t="shared" si="65"/>
        <v>#DIV/0!</v>
      </c>
      <c r="AU41" s="23">
        <f t="shared" si="66"/>
        <v>0</v>
      </c>
      <c r="AV41" s="23" t="e">
        <f t="shared" si="67"/>
        <v>#DIV/0!</v>
      </c>
      <c r="AW41" s="23">
        <f t="shared" si="68"/>
        <v>0</v>
      </c>
      <c r="AX41" s="23" t="e">
        <f t="shared" si="69"/>
        <v>#DIV/0!</v>
      </c>
      <c r="AY41" s="23">
        <f t="shared" si="70"/>
        <v>0</v>
      </c>
      <c r="AZ41" s="23" t="e">
        <f t="shared" si="71"/>
        <v>#DIV/0!</v>
      </c>
      <c r="BA41" s="23">
        <f t="shared" si="72"/>
        <v>0</v>
      </c>
      <c r="BB41" s="23" t="e">
        <f t="shared" si="73"/>
        <v>#DIV/0!</v>
      </c>
      <c r="BC41" s="23">
        <f t="shared" si="74"/>
        <v>0</v>
      </c>
      <c r="BD41" s="23" t="e">
        <f t="shared" si="75"/>
        <v>#DIV/0!</v>
      </c>
    </row>
    <row r="42" spans="1:56" ht="25.2" thickTop="1"/>
    <row r="43" spans="1:56">
      <c r="A43" s="37" t="s">
        <v>48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P43" s="37" t="s">
        <v>52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E43" s="37" t="s">
        <v>89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1:56">
      <c r="A44" s="37" t="s">
        <v>1953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P44" s="37" t="s">
        <v>1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E44" s="37" t="s">
        <v>1</v>
      </c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</row>
    <row r="45" spans="1:56" s="15" customFormat="1">
      <c r="A45" s="35" t="s">
        <v>2</v>
      </c>
      <c r="B45" s="35" t="s">
        <v>3</v>
      </c>
      <c r="C45" s="38" t="s">
        <v>4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P45" s="35" t="s">
        <v>2</v>
      </c>
      <c r="Q45" s="35" t="s">
        <v>3</v>
      </c>
      <c r="R45" s="38" t="s">
        <v>5</v>
      </c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40"/>
      <c r="AE45" s="35" t="s">
        <v>2</v>
      </c>
      <c r="AF45" s="35" t="s">
        <v>3</v>
      </c>
      <c r="AG45" s="33">
        <v>25112</v>
      </c>
      <c r="AH45" s="34"/>
      <c r="AI45" s="33">
        <v>25143</v>
      </c>
      <c r="AJ45" s="34"/>
      <c r="AK45" s="33">
        <v>25173</v>
      </c>
      <c r="AL45" s="34"/>
      <c r="AM45" s="33">
        <v>25204</v>
      </c>
      <c r="AN45" s="34"/>
      <c r="AO45" s="33">
        <v>25235</v>
      </c>
      <c r="AP45" s="34"/>
      <c r="AQ45" s="33">
        <v>25263</v>
      </c>
      <c r="AR45" s="34"/>
      <c r="AS45" s="33">
        <v>25294</v>
      </c>
      <c r="AT45" s="34"/>
      <c r="AU45" s="33">
        <v>25324</v>
      </c>
      <c r="AV45" s="34"/>
      <c r="AW45" s="33">
        <v>25355</v>
      </c>
      <c r="AX45" s="34"/>
      <c r="AY45" s="33">
        <v>25385</v>
      </c>
      <c r="AZ45" s="34"/>
      <c r="BA45" s="33">
        <v>25416</v>
      </c>
      <c r="BB45" s="34"/>
      <c r="BC45" s="33">
        <v>25447</v>
      </c>
      <c r="BD45" s="34"/>
    </row>
    <row r="46" spans="1:56" s="15" customFormat="1">
      <c r="A46" s="36"/>
      <c r="B46" s="36"/>
      <c r="C46" s="16">
        <v>25112</v>
      </c>
      <c r="D46" s="16">
        <v>25143</v>
      </c>
      <c r="E46" s="16">
        <v>25173</v>
      </c>
      <c r="F46" s="16">
        <v>25204</v>
      </c>
      <c r="G46" s="16">
        <v>25235</v>
      </c>
      <c r="H46" s="16">
        <v>25263</v>
      </c>
      <c r="I46" s="16">
        <v>25294</v>
      </c>
      <c r="J46" s="16">
        <v>25324</v>
      </c>
      <c r="K46" s="16">
        <v>25355</v>
      </c>
      <c r="L46" s="16">
        <v>25385</v>
      </c>
      <c r="M46" s="16">
        <v>25416</v>
      </c>
      <c r="N46" s="16">
        <v>25447</v>
      </c>
      <c r="P46" s="36"/>
      <c r="Q46" s="36"/>
      <c r="R46" s="16">
        <v>25112</v>
      </c>
      <c r="S46" s="16">
        <v>25143</v>
      </c>
      <c r="T46" s="16">
        <v>25173</v>
      </c>
      <c r="U46" s="16">
        <v>25204</v>
      </c>
      <c r="V46" s="16">
        <v>25235</v>
      </c>
      <c r="W46" s="16">
        <v>25263</v>
      </c>
      <c r="X46" s="16">
        <v>25294</v>
      </c>
      <c r="Y46" s="16">
        <v>25324</v>
      </c>
      <c r="Z46" s="16">
        <v>25355</v>
      </c>
      <c r="AA46" s="16">
        <v>25385</v>
      </c>
      <c r="AB46" s="16">
        <v>25416</v>
      </c>
      <c r="AC46" s="16">
        <v>25447</v>
      </c>
      <c r="AE46" s="36"/>
      <c r="AF46" s="36"/>
      <c r="AG46" s="16" t="s">
        <v>85</v>
      </c>
      <c r="AH46" s="16" t="s">
        <v>86</v>
      </c>
      <c r="AI46" s="16" t="s">
        <v>85</v>
      </c>
      <c r="AJ46" s="16" t="s">
        <v>86</v>
      </c>
      <c r="AK46" s="16" t="s">
        <v>85</v>
      </c>
      <c r="AL46" s="16" t="s">
        <v>86</v>
      </c>
      <c r="AM46" s="16" t="s">
        <v>85</v>
      </c>
      <c r="AN46" s="16" t="s">
        <v>86</v>
      </c>
      <c r="AO46" s="16" t="s">
        <v>85</v>
      </c>
      <c r="AP46" s="16" t="s">
        <v>86</v>
      </c>
      <c r="AQ46" s="16" t="s">
        <v>85</v>
      </c>
      <c r="AR46" s="16" t="s">
        <v>86</v>
      </c>
      <c r="AS46" s="16" t="s">
        <v>85</v>
      </c>
      <c r="AT46" s="16" t="s">
        <v>86</v>
      </c>
      <c r="AU46" s="16" t="s">
        <v>85</v>
      </c>
      <c r="AV46" s="16" t="s">
        <v>86</v>
      </c>
      <c r="AW46" s="16" t="s">
        <v>85</v>
      </c>
      <c r="AX46" s="16" t="s">
        <v>86</v>
      </c>
      <c r="AY46" s="16" t="s">
        <v>85</v>
      </c>
      <c r="AZ46" s="16" t="s">
        <v>86</v>
      </c>
      <c r="BA46" s="16" t="s">
        <v>85</v>
      </c>
      <c r="BB46" s="16" t="s">
        <v>86</v>
      </c>
      <c r="BC46" s="16" t="s">
        <v>85</v>
      </c>
      <c r="BD46" s="16" t="s">
        <v>86</v>
      </c>
    </row>
    <row r="47" spans="1:56">
      <c r="A47" s="17">
        <v>1</v>
      </c>
      <c r="B47" s="18" t="s">
        <v>19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P47" s="17">
        <v>1</v>
      </c>
      <c r="Q47" s="18" t="s">
        <v>19</v>
      </c>
      <c r="R47" s="19">
        <v>447362</v>
      </c>
      <c r="S47" s="19">
        <v>447362</v>
      </c>
      <c r="T47" s="19">
        <v>447362</v>
      </c>
      <c r="U47" s="19"/>
      <c r="V47" s="19"/>
      <c r="W47" s="19"/>
      <c r="X47" s="19"/>
      <c r="Y47" s="19"/>
      <c r="Z47" s="19"/>
      <c r="AA47" s="19"/>
      <c r="AB47" s="19"/>
      <c r="AC47" s="19"/>
      <c r="AE47" s="17">
        <v>1</v>
      </c>
      <c r="AF47" s="18" t="s">
        <v>19</v>
      </c>
      <c r="AG47" s="19">
        <f t="shared" ref="AG47:AG61" si="78">+C47-R47</f>
        <v>-447362</v>
      </c>
      <c r="AH47" s="19" t="e">
        <f t="shared" ref="AH47:AH61" si="79">+AG47/C47*100</f>
        <v>#DIV/0!</v>
      </c>
      <c r="AI47" s="19">
        <f t="shared" ref="AI47:AI61" si="80">+D47-S47</f>
        <v>-447362</v>
      </c>
      <c r="AJ47" s="19" t="e">
        <f t="shared" ref="AJ47:AJ61" si="81">+AI47/D47*100</f>
        <v>#DIV/0!</v>
      </c>
      <c r="AK47" s="19">
        <f t="shared" ref="AK47:AK61" si="82">+E47-T47</f>
        <v>-447362</v>
      </c>
      <c r="AL47" s="19" t="e">
        <f t="shared" ref="AL47:AL61" si="83">+AK47/E47*100</f>
        <v>#DIV/0!</v>
      </c>
      <c r="AM47" s="19">
        <f t="shared" ref="AM47:AM61" si="84">+F47-U47</f>
        <v>0</v>
      </c>
      <c r="AN47" s="19" t="e">
        <f t="shared" ref="AN47:AN61" si="85">+AM47/F47*100</f>
        <v>#DIV/0!</v>
      </c>
      <c r="AO47" s="19">
        <f t="shared" ref="AO47:AO61" si="86">+G47-V47</f>
        <v>0</v>
      </c>
      <c r="AP47" s="19" t="e">
        <f t="shared" ref="AP47:AP61" si="87">+AO47/G47*100</f>
        <v>#DIV/0!</v>
      </c>
      <c r="AQ47" s="19">
        <f t="shared" ref="AQ47:AQ61" si="88">+H47-W47</f>
        <v>0</v>
      </c>
      <c r="AR47" s="19" t="e">
        <f t="shared" ref="AR47:AR61" si="89">+AQ47/H47*100</f>
        <v>#DIV/0!</v>
      </c>
      <c r="AS47" s="19">
        <f t="shared" ref="AS47:AS61" si="90">+I47-X47</f>
        <v>0</v>
      </c>
      <c r="AT47" s="19" t="e">
        <f t="shared" ref="AT47:AT61" si="91">+AS47/I47*100</f>
        <v>#DIV/0!</v>
      </c>
      <c r="AU47" s="19">
        <f t="shared" ref="AU47:AU61" si="92">+J47-Y47</f>
        <v>0</v>
      </c>
      <c r="AV47" s="19" t="e">
        <f t="shared" ref="AV47:AV61" si="93">+AU47/J47*100</f>
        <v>#DIV/0!</v>
      </c>
      <c r="AW47" s="19">
        <f t="shared" ref="AW47:AW61" si="94">+K47-Z47</f>
        <v>0</v>
      </c>
      <c r="AX47" s="19" t="e">
        <f t="shared" ref="AX47:AX61" si="95">+AW47/K47*100</f>
        <v>#DIV/0!</v>
      </c>
      <c r="AY47" s="19">
        <f t="shared" ref="AY47:AY61" si="96">+L47-AA47</f>
        <v>0</v>
      </c>
      <c r="AZ47" s="19" t="e">
        <f t="shared" ref="AZ47:AZ61" si="97">+AY47/L47*100</f>
        <v>#DIV/0!</v>
      </c>
      <c r="BA47" s="19">
        <f t="shared" ref="BA47:BA61" si="98">+M47-AB47</f>
        <v>0</v>
      </c>
      <c r="BB47" s="19" t="e">
        <f t="shared" ref="BB47:BB61" si="99">+BA47/M47*100</f>
        <v>#DIV/0!</v>
      </c>
      <c r="BC47" s="19">
        <f t="shared" ref="BC47:BC61" si="100">+N47-AC47</f>
        <v>0</v>
      </c>
      <c r="BD47" s="19" t="e">
        <f t="shared" ref="BD47:BD61" si="101">+BC47/N47*100</f>
        <v>#DIV/0!</v>
      </c>
    </row>
    <row r="48" spans="1:56">
      <c r="A48" s="17">
        <v>2</v>
      </c>
      <c r="B48" s="18" t="s">
        <v>21</v>
      </c>
      <c r="C48" s="19">
        <v>2949828</v>
      </c>
      <c r="D48" s="19">
        <v>2949828</v>
      </c>
      <c r="E48" s="19">
        <v>2949828</v>
      </c>
      <c r="F48" s="19"/>
      <c r="G48" s="19"/>
      <c r="H48" s="19"/>
      <c r="I48" s="19"/>
      <c r="J48" s="19"/>
      <c r="K48" s="19"/>
      <c r="L48" s="19"/>
      <c r="M48" s="19"/>
      <c r="N48" s="19"/>
      <c r="P48" s="17">
        <v>2</v>
      </c>
      <c r="Q48" s="18" t="s">
        <v>21</v>
      </c>
      <c r="R48" s="19">
        <v>7647515</v>
      </c>
      <c r="S48" s="19">
        <v>7647515</v>
      </c>
      <c r="T48" s="19">
        <v>7647515</v>
      </c>
      <c r="U48" s="19"/>
      <c r="V48" s="19"/>
      <c r="W48" s="19"/>
      <c r="X48" s="19"/>
      <c r="Y48" s="19"/>
      <c r="Z48" s="19"/>
      <c r="AA48" s="19"/>
      <c r="AB48" s="19"/>
      <c r="AC48" s="19"/>
      <c r="AE48" s="17">
        <v>2</v>
      </c>
      <c r="AF48" s="18" t="s">
        <v>21</v>
      </c>
      <c r="AG48" s="19">
        <f t="shared" si="78"/>
        <v>-4697687</v>
      </c>
      <c r="AH48" s="19">
        <f t="shared" si="79"/>
        <v>-159.25291237319598</v>
      </c>
      <c r="AI48" s="19">
        <f t="shared" si="80"/>
        <v>-4697687</v>
      </c>
      <c r="AJ48" s="19">
        <f t="shared" si="81"/>
        <v>-159.25291237319598</v>
      </c>
      <c r="AK48" s="19">
        <f t="shared" si="82"/>
        <v>-4697687</v>
      </c>
      <c r="AL48" s="19">
        <f t="shared" si="83"/>
        <v>-159.25291237319598</v>
      </c>
      <c r="AM48" s="19">
        <f t="shared" si="84"/>
        <v>0</v>
      </c>
      <c r="AN48" s="19" t="e">
        <f t="shared" si="85"/>
        <v>#DIV/0!</v>
      </c>
      <c r="AO48" s="19">
        <f t="shared" si="86"/>
        <v>0</v>
      </c>
      <c r="AP48" s="19" t="e">
        <f t="shared" si="87"/>
        <v>#DIV/0!</v>
      </c>
      <c r="AQ48" s="19">
        <f t="shared" si="88"/>
        <v>0</v>
      </c>
      <c r="AR48" s="19" t="e">
        <f t="shared" si="89"/>
        <v>#DIV/0!</v>
      </c>
      <c r="AS48" s="19">
        <f t="shared" si="90"/>
        <v>0</v>
      </c>
      <c r="AT48" s="19" t="e">
        <f t="shared" si="91"/>
        <v>#DIV/0!</v>
      </c>
      <c r="AU48" s="19">
        <f t="shared" si="92"/>
        <v>0</v>
      </c>
      <c r="AV48" s="19" t="e">
        <f t="shared" si="93"/>
        <v>#DIV/0!</v>
      </c>
      <c r="AW48" s="19">
        <f t="shared" si="94"/>
        <v>0</v>
      </c>
      <c r="AX48" s="19" t="e">
        <f t="shared" si="95"/>
        <v>#DIV/0!</v>
      </c>
      <c r="AY48" s="19">
        <f t="shared" si="96"/>
        <v>0</v>
      </c>
      <c r="AZ48" s="19" t="e">
        <f t="shared" si="97"/>
        <v>#DIV/0!</v>
      </c>
      <c r="BA48" s="19">
        <f t="shared" si="98"/>
        <v>0</v>
      </c>
      <c r="BB48" s="19" t="e">
        <f t="shared" si="99"/>
        <v>#DIV/0!</v>
      </c>
      <c r="BC48" s="19">
        <f t="shared" si="100"/>
        <v>0</v>
      </c>
      <c r="BD48" s="19" t="e">
        <f t="shared" si="101"/>
        <v>#DIV/0!</v>
      </c>
    </row>
    <row r="49" spans="1:56">
      <c r="A49" s="17">
        <v>3</v>
      </c>
      <c r="B49" s="18" t="s">
        <v>23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P49" s="17">
        <v>3</v>
      </c>
      <c r="Q49" s="18" t="s">
        <v>23</v>
      </c>
      <c r="R49" s="19">
        <v>102088.5</v>
      </c>
      <c r="S49" s="19">
        <v>102088.5</v>
      </c>
      <c r="T49" s="19">
        <v>102088.5</v>
      </c>
      <c r="U49" s="19"/>
      <c r="V49" s="19"/>
      <c r="W49" s="19"/>
      <c r="X49" s="19"/>
      <c r="Y49" s="19"/>
      <c r="Z49" s="19"/>
      <c r="AA49" s="19"/>
      <c r="AB49" s="19"/>
      <c r="AC49" s="19"/>
      <c r="AE49" s="17">
        <v>3</v>
      </c>
      <c r="AF49" s="18" t="s">
        <v>23</v>
      </c>
      <c r="AG49" s="19">
        <f t="shared" si="78"/>
        <v>-102088.5</v>
      </c>
      <c r="AH49" s="19" t="e">
        <f t="shared" si="79"/>
        <v>#DIV/0!</v>
      </c>
      <c r="AI49" s="19">
        <f t="shared" si="80"/>
        <v>-102088.5</v>
      </c>
      <c r="AJ49" s="19" t="e">
        <f t="shared" si="81"/>
        <v>#DIV/0!</v>
      </c>
      <c r="AK49" s="19">
        <f t="shared" si="82"/>
        <v>-102088.5</v>
      </c>
      <c r="AL49" s="19" t="e">
        <f t="shared" si="83"/>
        <v>#DIV/0!</v>
      </c>
      <c r="AM49" s="19">
        <f t="shared" si="84"/>
        <v>0</v>
      </c>
      <c r="AN49" s="19" t="e">
        <f t="shared" si="85"/>
        <v>#DIV/0!</v>
      </c>
      <c r="AO49" s="19">
        <f t="shared" si="86"/>
        <v>0</v>
      </c>
      <c r="AP49" s="19" t="e">
        <f t="shared" si="87"/>
        <v>#DIV/0!</v>
      </c>
      <c r="AQ49" s="19">
        <f t="shared" si="88"/>
        <v>0</v>
      </c>
      <c r="AR49" s="19" t="e">
        <f t="shared" si="89"/>
        <v>#DIV/0!</v>
      </c>
      <c r="AS49" s="19">
        <f t="shared" si="90"/>
        <v>0</v>
      </c>
      <c r="AT49" s="19" t="e">
        <f t="shared" si="91"/>
        <v>#DIV/0!</v>
      </c>
      <c r="AU49" s="19">
        <f t="shared" si="92"/>
        <v>0</v>
      </c>
      <c r="AV49" s="19" t="e">
        <f t="shared" si="93"/>
        <v>#DIV/0!</v>
      </c>
      <c r="AW49" s="19">
        <f t="shared" si="94"/>
        <v>0</v>
      </c>
      <c r="AX49" s="19" t="e">
        <f t="shared" si="95"/>
        <v>#DIV/0!</v>
      </c>
      <c r="AY49" s="19">
        <f t="shared" si="96"/>
        <v>0</v>
      </c>
      <c r="AZ49" s="19" t="e">
        <f t="shared" si="97"/>
        <v>#DIV/0!</v>
      </c>
      <c r="BA49" s="19">
        <f t="shared" si="98"/>
        <v>0</v>
      </c>
      <c r="BB49" s="19" t="e">
        <f t="shared" si="99"/>
        <v>#DIV/0!</v>
      </c>
      <c r="BC49" s="19">
        <f t="shared" si="100"/>
        <v>0</v>
      </c>
      <c r="BD49" s="19" t="e">
        <f t="shared" si="101"/>
        <v>#DIV/0!</v>
      </c>
    </row>
    <row r="50" spans="1:56">
      <c r="A50" s="17">
        <v>4</v>
      </c>
      <c r="B50" s="18" t="s">
        <v>25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P50" s="17">
        <v>4</v>
      </c>
      <c r="Q50" s="18" t="s">
        <v>25</v>
      </c>
      <c r="R50" s="19">
        <v>82744</v>
      </c>
      <c r="S50" s="19">
        <v>82744</v>
      </c>
      <c r="T50" s="19">
        <v>82744</v>
      </c>
      <c r="U50" s="19"/>
      <c r="V50" s="19"/>
      <c r="W50" s="19"/>
      <c r="X50" s="19"/>
      <c r="Y50" s="19"/>
      <c r="Z50" s="19"/>
      <c r="AA50" s="19"/>
      <c r="AB50" s="19"/>
      <c r="AC50" s="19"/>
      <c r="AE50" s="17">
        <v>4</v>
      </c>
      <c r="AF50" s="18" t="s">
        <v>25</v>
      </c>
      <c r="AG50" s="19">
        <f t="shared" si="78"/>
        <v>-82744</v>
      </c>
      <c r="AH50" s="19" t="e">
        <f t="shared" si="79"/>
        <v>#DIV/0!</v>
      </c>
      <c r="AI50" s="19">
        <f t="shared" si="80"/>
        <v>-82744</v>
      </c>
      <c r="AJ50" s="19" t="e">
        <f t="shared" si="81"/>
        <v>#DIV/0!</v>
      </c>
      <c r="AK50" s="19">
        <f t="shared" si="82"/>
        <v>-82744</v>
      </c>
      <c r="AL50" s="19" t="e">
        <f t="shared" si="83"/>
        <v>#DIV/0!</v>
      </c>
      <c r="AM50" s="19">
        <f t="shared" si="84"/>
        <v>0</v>
      </c>
      <c r="AN50" s="19" t="e">
        <f t="shared" si="85"/>
        <v>#DIV/0!</v>
      </c>
      <c r="AO50" s="19">
        <f t="shared" si="86"/>
        <v>0</v>
      </c>
      <c r="AP50" s="19" t="e">
        <f t="shared" si="87"/>
        <v>#DIV/0!</v>
      </c>
      <c r="AQ50" s="19">
        <f t="shared" si="88"/>
        <v>0</v>
      </c>
      <c r="AR50" s="19" t="e">
        <f t="shared" si="89"/>
        <v>#DIV/0!</v>
      </c>
      <c r="AS50" s="19">
        <f t="shared" si="90"/>
        <v>0</v>
      </c>
      <c r="AT50" s="19" t="e">
        <f t="shared" si="91"/>
        <v>#DIV/0!</v>
      </c>
      <c r="AU50" s="19">
        <f t="shared" si="92"/>
        <v>0</v>
      </c>
      <c r="AV50" s="19" t="e">
        <f t="shared" si="93"/>
        <v>#DIV/0!</v>
      </c>
      <c r="AW50" s="19">
        <f t="shared" si="94"/>
        <v>0</v>
      </c>
      <c r="AX50" s="19" t="e">
        <f t="shared" si="95"/>
        <v>#DIV/0!</v>
      </c>
      <c r="AY50" s="19">
        <f t="shared" si="96"/>
        <v>0</v>
      </c>
      <c r="AZ50" s="19" t="e">
        <f t="shared" si="97"/>
        <v>#DIV/0!</v>
      </c>
      <c r="BA50" s="19">
        <f t="shared" si="98"/>
        <v>0</v>
      </c>
      <c r="BB50" s="19" t="e">
        <f t="shared" si="99"/>
        <v>#DIV/0!</v>
      </c>
      <c r="BC50" s="19">
        <f t="shared" si="100"/>
        <v>0</v>
      </c>
      <c r="BD50" s="19" t="e">
        <f t="shared" si="101"/>
        <v>#DIV/0!</v>
      </c>
    </row>
    <row r="51" spans="1:56">
      <c r="A51" s="17">
        <v>5</v>
      </c>
      <c r="B51" s="18" t="s">
        <v>27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P51" s="17">
        <v>5</v>
      </c>
      <c r="Q51" s="18" t="s">
        <v>27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E51" s="17">
        <v>5</v>
      </c>
      <c r="AF51" s="18" t="s">
        <v>27</v>
      </c>
      <c r="AG51" s="19">
        <f t="shared" si="78"/>
        <v>0</v>
      </c>
      <c r="AH51" s="19" t="e">
        <f t="shared" si="79"/>
        <v>#DIV/0!</v>
      </c>
      <c r="AI51" s="19">
        <f t="shared" si="80"/>
        <v>0</v>
      </c>
      <c r="AJ51" s="19" t="e">
        <f t="shared" si="81"/>
        <v>#DIV/0!</v>
      </c>
      <c r="AK51" s="19">
        <f t="shared" si="82"/>
        <v>0</v>
      </c>
      <c r="AL51" s="19" t="e">
        <f t="shared" si="83"/>
        <v>#DIV/0!</v>
      </c>
      <c r="AM51" s="19">
        <f t="shared" si="84"/>
        <v>0</v>
      </c>
      <c r="AN51" s="19" t="e">
        <f t="shared" si="85"/>
        <v>#DIV/0!</v>
      </c>
      <c r="AO51" s="19">
        <f t="shared" si="86"/>
        <v>0</v>
      </c>
      <c r="AP51" s="19" t="e">
        <f t="shared" si="87"/>
        <v>#DIV/0!</v>
      </c>
      <c r="AQ51" s="19">
        <f t="shared" si="88"/>
        <v>0</v>
      </c>
      <c r="AR51" s="19" t="e">
        <f t="shared" si="89"/>
        <v>#DIV/0!</v>
      </c>
      <c r="AS51" s="19">
        <f t="shared" si="90"/>
        <v>0</v>
      </c>
      <c r="AT51" s="19" t="e">
        <f t="shared" si="91"/>
        <v>#DIV/0!</v>
      </c>
      <c r="AU51" s="19">
        <f t="shared" si="92"/>
        <v>0</v>
      </c>
      <c r="AV51" s="19" t="e">
        <f t="shared" si="93"/>
        <v>#DIV/0!</v>
      </c>
      <c r="AW51" s="19">
        <f t="shared" si="94"/>
        <v>0</v>
      </c>
      <c r="AX51" s="19" t="e">
        <f t="shared" si="95"/>
        <v>#DIV/0!</v>
      </c>
      <c r="AY51" s="19">
        <f t="shared" si="96"/>
        <v>0</v>
      </c>
      <c r="AZ51" s="19" t="e">
        <f t="shared" si="97"/>
        <v>#DIV/0!</v>
      </c>
      <c r="BA51" s="19">
        <f t="shared" si="98"/>
        <v>0</v>
      </c>
      <c r="BB51" s="19" t="e">
        <f t="shared" si="99"/>
        <v>#DIV/0!</v>
      </c>
      <c r="BC51" s="19">
        <f t="shared" si="100"/>
        <v>0</v>
      </c>
      <c r="BD51" s="19" t="e">
        <f t="shared" si="101"/>
        <v>#DIV/0!</v>
      </c>
    </row>
    <row r="52" spans="1:56">
      <c r="A52" s="17">
        <v>6</v>
      </c>
      <c r="B52" s="18" t="s">
        <v>29</v>
      </c>
      <c r="C52" s="19">
        <v>5385344.5599999996</v>
      </c>
      <c r="D52" s="19">
        <v>5496975.8499999996</v>
      </c>
      <c r="E52" s="19">
        <v>5612328.1200000001</v>
      </c>
      <c r="F52" s="19"/>
      <c r="G52" s="19"/>
      <c r="H52" s="19"/>
      <c r="I52" s="19"/>
      <c r="J52" s="19"/>
      <c r="K52" s="19"/>
      <c r="L52" s="19"/>
      <c r="M52" s="19"/>
      <c r="N52" s="19"/>
      <c r="P52" s="17">
        <v>6</v>
      </c>
      <c r="Q52" s="18" t="s">
        <v>29</v>
      </c>
      <c r="R52" s="19">
        <v>5950743.0199999996</v>
      </c>
      <c r="S52" s="19">
        <v>6016088.6399999997</v>
      </c>
      <c r="T52" s="19">
        <v>6113184.25</v>
      </c>
      <c r="U52" s="19"/>
      <c r="V52" s="19"/>
      <c r="W52" s="19"/>
      <c r="X52" s="19"/>
      <c r="Y52" s="19"/>
      <c r="Z52" s="19"/>
      <c r="AA52" s="19"/>
      <c r="AB52" s="19"/>
      <c r="AC52" s="19"/>
      <c r="AE52" s="17">
        <v>6</v>
      </c>
      <c r="AF52" s="18" t="s">
        <v>29</v>
      </c>
      <c r="AG52" s="19">
        <f t="shared" si="78"/>
        <v>-565398.46</v>
      </c>
      <c r="AH52" s="19">
        <f t="shared" si="79"/>
        <v>-10.498835379996558</v>
      </c>
      <c r="AI52" s="19">
        <f t="shared" si="80"/>
        <v>-519112.79000000004</v>
      </c>
      <c r="AJ52" s="19">
        <f t="shared" si="81"/>
        <v>-9.4436068879582216</v>
      </c>
      <c r="AK52" s="19">
        <f t="shared" si="82"/>
        <v>-500856.12999999989</v>
      </c>
      <c r="AL52" s="19">
        <f t="shared" si="83"/>
        <v>-8.9242132550154576</v>
      </c>
      <c r="AM52" s="19">
        <f t="shared" si="84"/>
        <v>0</v>
      </c>
      <c r="AN52" s="19" t="e">
        <f t="shared" si="85"/>
        <v>#DIV/0!</v>
      </c>
      <c r="AO52" s="19">
        <f t="shared" si="86"/>
        <v>0</v>
      </c>
      <c r="AP52" s="19" t="e">
        <f t="shared" si="87"/>
        <v>#DIV/0!</v>
      </c>
      <c r="AQ52" s="19">
        <f t="shared" si="88"/>
        <v>0</v>
      </c>
      <c r="AR52" s="19" t="e">
        <f t="shared" si="89"/>
        <v>#DIV/0!</v>
      </c>
      <c r="AS52" s="19">
        <f t="shared" si="90"/>
        <v>0</v>
      </c>
      <c r="AT52" s="19" t="e">
        <f t="shared" si="91"/>
        <v>#DIV/0!</v>
      </c>
      <c r="AU52" s="19">
        <f t="shared" si="92"/>
        <v>0</v>
      </c>
      <c r="AV52" s="19" t="e">
        <f t="shared" si="93"/>
        <v>#DIV/0!</v>
      </c>
      <c r="AW52" s="19">
        <f t="shared" si="94"/>
        <v>0</v>
      </c>
      <c r="AX52" s="19" t="e">
        <f t="shared" si="95"/>
        <v>#DIV/0!</v>
      </c>
      <c r="AY52" s="19">
        <f t="shared" si="96"/>
        <v>0</v>
      </c>
      <c r="AZ52" s="19" t="e">
        <f t="shared" si="97"/>
        <v>#DIV/0!</v>
      </c>
      <c r="BA52" s="19">
        <f t="shared" si="98"/>
        <v>0</v>
      </c>
      <c r="BB52" s="19" t="e">
        <f t="shared" si="99"/>
        <v>#DIV/0!</v>
      </c>
      <c r="BC52" s="19">
        <f t="shared" si="100"/>
        <v>0</v>
      </c>
      <c r="BD52" s="19" t="e">
        <f t="shared" si="101"/>
        <v>#DIV/0!</v>
      </c>
    </row>
    <row r="53" spans="1:56">
      <c r="A53" s="17">
        <v>7</v>
      </c>
      <c r="B53" s="18" t="s">
        <v>31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P53" s="17">
        <v>7</v>
      </c>
      <c r="Q53" s="18" t="s">
        <v>31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E53" s="17">
        <v>7</v>
      </c>
      <c r="AF53" s="18" t="s">
        <v>31</v>
      </c>
      <c r="AG53" s="19">
        <f t="shared" si="78"/>
        <v>0</v>
      </c>
      <c r="AH53" s="19" t="e">
        <f t="shared" si="79"/>
        <v>#DIV/0!</v>
      </c>
      <c r="AI53" s="19">
        <f t="shared" si="80"/>
        <v>0</v>
      </c>
      <c r="AJ53" s="19" t="e">
        <f t="shared" si="81"/>
        <v>#DIV/0!</v>
      </c>
      <c r="AK53" s="19">
        <f t="shared" si="82"/>
        <v>0</v>
      </c>
      <c r="AL53" s="19" t="e">
        <f t="shared" si="83"/>
        <v>#DIV/0!</v>
      </c>
      <c r="AM53" s="19">
        <f t="shared" si="84"/>
        <v>0</v>
      </c>
      <c r="AN53" s="19" t="e">
        <f t="shared" si="85"/>
        <v>#DIV/0!</v>
      </c>
      <c r="AO53" s="19">
        <f t="shared" si="86"/>
        <v>0</v>
      </c>
      <c r="AP53" s="19" t="e">
        <f t="shared" si="87"/>
        <v>#DIV/0!</v>
      </c>
      <c r="AQ53" s="19">
        <f t="shared" si="88"/>
        <v>0</v>
      </c>
      <c r="AR53" s="19" t="e">
        <f t="shared" si="89"/>
        <v>#DIV/0!</v>
      </c>
      <c r="AS53" s="19">
        <f t="shared" si="90"/>
        <v>0</v>
      </c>
      <c r="AT53" s="19" t="e">
        <f t="shared" si="91"/>
        <v>#DIV/0!</v>
      </c>
      <c r="AU53" s="19">
        <f t="shared" si="92"/>
        <v>0</v>
      </c>
      <c r="AV53" s="19" t="e">
        <f t="shared" si="93"/>
        <v>#DIV/0!</v>
      </c>
      <c r="AW53" s="19">
        <f t="shared" si="94"/>
        <v>0</v>
      </c>
      <c r="AX53" s="19" t="e">
        <f t="shared" si="95"/>
        <v>#DIV/0!</v>
      </c>
      <c r="AY53" s="19">
        <f t="shared" si="96"/>
        <v>0</v>
      </c>
      <c r="AZ53" s="19" t="e">
        <f t="shared" si="97"/>
        <v>#DIV/0!</v>
      </c>
      <c r="BA53" s="19">
        <f t="shared" si="98"/>
        <v>0</v>
      </c>
      <c r="BB53" s="19" t="e">
        <f t="shared" si="99"/>
        <v>#DIV/0!</v>
      </c>
      <c r="BC53" s="19">
        <f t="shared" si="100"/>
        <v>0</v>
      </c>
      <c r="BD53" s="19" t="e">
        <f t="shared" si="101"/>
        <v>#DIV/0!</v>
      </c>
    </row>
    <row r="54" spans="1:56">
      <c r="A54" s="17">
        <v>8</v>
      </c>
      <c r="B54" s="18" t="s">
        <v>33</v>
      </c>
      <c r="C54" s="19">
        <v>1079998</v>
      </c>
      <c r="D54" s="19">
        <v>1079998</v>
      </c>
      <c r="E54" s="19">
        <v>1079998</v>
      </c>
      <c r="F54" s="19"/>
      <c r="G54" s="19"/>
      <c r="H54" s="19"/>
      <c r="I54" s="19"/>
      <c r="J54" s="19"/>
      <c r="K54" s="19"/>
      <c r="L54" s="19"/>
      <c r="M54" s="19"/>
      <c r="N54" s="19"/>
      <c r="P54" s="17">
        <v>8</v>
      </c>
      <c r="Q54" s="18" t="s">
        <v>33</v>
      </c>
      <c r="R54" s="19">
        <v>2270880</v>
      </c>
      <c r="S54" s="19">
        <v>2270880</v>
      </c>
      <c r="T54" s="19">
        <v>2270880</v>
      </c>
      <c r="U54" s="19"/>
      <c r="V54" s="19"/>
      <c r="W54" s="19"/>
      <c r="X54" s="19"/>
      <c r="Y54" s="19"/>
      <c r="Z54" s="19"/>
      <c r="AA54" s="19"/>
      <c r="AB54" s="19"/>
      <c r="AC54" s="19"/>
      <c r="AE54" s="17">
        <v>8</v>
      </c>
      <c r="AF54" s="18" t="s">
        <v>33</v>
      </c>
      <c r="AG54" s="19">
        <f t="shared" si="78"/>
        <v>-1190882</v>
      </c>
      <c r="AH54" s="19">
        <f t="shared" si="79"/>
        <v>-110.2670560501038</v>
      </c>
      <c r="AI54" s="19">
        <f t="shared" si="80"/>
        <v>-1190882</v>
      </c>
      <c r="AJ54" s="19">
        <f t="shared" si="81"/>
        <v>-110.2670560501038</v>
      </c>
      <c r="AK54" s="19">
        <f t="shared" si="82"/>
        <v>-1190882</v>
      </c>
      <c r="AL54" s="19">
        <f t="shared" si="83"/>
        <v>-110.2670560501038</v>
      </c>
      <c r="AM54" s="19">
        <f t="shared" si="84"/>
        <v>0</v>
      </c>
      <c r="AN54" s="19" t="e">
        <f t="shared" si="85"/>
        <v>#DIV/0!</v>
      </c>
      <c r="AO54" s="19">
        <f t="shared" si="86"/>
        <v>0</v>
      </c>
      <c r="AP54" s="19" t="e">
        <f t="shared" si="87"/>
        <v>#DIV/0!</v>
      </c>
      <c r="AQ54" s="19">
        <f t="shared" si="88"/>
        <v>0</v>
      </c>
      <c r="AR54" s="19" t="e">
        <f t="shared" si="89"/>
        <v>#DIV/0!</v>
      </c>
      <c r="AS54" s="19">
        <f t="shared" si="90"/>
        <v>0</v>
      </c>
      <c r="AT54" s="19" t="e">
        <f t="shared" si="91"/>
        <v>#DIV/0!</v>
      </c>
      <c r="AU54" s="19">
        <f t="shared" si="92"/>
        <v>0</v>
      </c>
      <c r="AV54" s="19" t="e">
        <f t="shared" si="93"/>
        <v>#DIV/0!</v>
      </c>
      <c r="AW54" s="19">
        <f t="shared" si="94"/>
        <v>0</v>
      </c>
      <c r="AX54" s="19" t="e">
        <f t="shared" si="95"/>
        <v>#DIV/0!</v>
      </c>
      <c r="AY54" s="19">
        <f t="shared" si="96"/>
        <v>0</v>
      </c>
      <c r="AZ54" s="19" t="e">
        <f t="shared" si="97"/>
        <v>#DIV/0!</v>
      </c>
      <c r="BA54" s="19">
        <f t="shared" si="98"/>
        <v>0</v>
      </c>
      <c r="BB54" s="19" t="e">
        <f t="shared" si="99"/>
        <v>#DIV/0!</v>
      </c>
      <c r="BC54" s="19">
        <f t="shared" si="100"/>
        <v>0</v>
      </c>
      <c r="BD54" s="19" t="e">
        <f t="shared" si="101"/>
        <v>#DIV/0!</v>
      </c>
    </row>
    <row r="55" spans="1:56">
      <c r="A55" s="17">
        <v>9</v>
      </c>
      <c r="B55" s="18" t="s">
        <v>35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P55" s="17">
        <v>9</v>
      </c>
      <c r="Q55" s="18" t="s">
        <v>35</v>
      </c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E55" s="17">
        <v>9</v>
      </c>
      <c r="AF55" s="18" t="s">
        <v>35</v>
      </c>
      <c r="AG55" s="19">
        <f t="shared" si="78"/>
        <v>0</v>
      </c>
      <c r="AH55" s="19" t="e">
        <f t="shared" si="79"/>
        <v>#DIV/0!</v>
      </c>
      <c r="AI55" s="19">
        <f t="shared" si="80"/>
        <v>0</v>
      </c>
      <c r="AJ55" s="19" t="e">
        <f t="shared" si="81"/>
        <v>#DIV/0!</v>
      </c>
      <c r="AK55" s="19">
        <f t="shared" si="82"/>
        <v>0</v>
      </c>
      <c r="AL55" s="19" t="e">
        <f t="shared" si="83"/>
        <v>#DIV/0!</v>
      </c>
      <c r="AM55" s="19">
        <f t="shared" si="84"/>
        <v>0</v>
      </c>
      <c r="AN55" s="19" t="e">
        <f t="shared" si="85"/>
        <v>#DIV/0!</v>
      </c>
      <c r="AO55" s="19">
        <f t="shared" si="86"/>
        <v>0</v>
      </c>
      <c r="AP55" s="19" t="e">
        <f t="shared" si="87"/>
        <v>#DIV/0!</v>
      </c>
      <c r="AQ55" s="19">
        <f t="shared" si="88"/>
        <v>0</v>
      </c>
      <c r="AR55" s="19" t="e">
        <f t="shared" si="89"/>
        <v>#DIV/0!</v>
      </c>
      <c r="AS55" s="19">
        <f t="shared" si="90"/>
        <v>0</v>
      </c>
      <c r="AT55" s="19" t="e">
        <f t="shared" si="91"/>
        <v>#DIV/0!</v>
      </c>
      <c r="AU55" s="19">
        <f t="shared" si="92"/>
        <v>0</v>
      </c>
      <c r="AV55" s="19" t="e">
        <f t="shared" si="93"/>
        <v>#DIV/0!</v>
      </c>
      <c r="AW55" s="19">
        <f t="shared" si="94"/>
        <v>0</v>
      </c>
      <c r="AX55" s="19" t="e">
        <f t="shared" si="95"/>
        <v>#DIV/0!</v>
      </c>
      <c r="AY55" s="19">
        <f t="shared" si="96"/>
        <v>0</v>
      </c>
      <c r="AZ55" s="19" t="e">
        <f t="shared" si="97"/>
        <v>#DIV/0!</v>
      </c>
      <c r="BA55" s="19">
        <f t="shared" si="98"/>
        <v>0</v>
      </c>
      <c r="BB55" s="19" t="e">
        <f t="shared" si="99"/>
        <v>#DIV/0!</v>
      </c>
      <c r="BC55" s="19">
        <f t="shared" si="100"/>
        <v>0</v>
      </c>
      <c r="BD55" s="19" t="e">
        <f t="shared" si="101"/>
        <v>#DIV/0!</v>
      </c>
    </row>
    <row r="56" spans="1:56">
      <c r="A56" s="17">
        <v>10</v>
      </c>
      <c r="B56" s="18" t="s">
        <v>37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P56" s="17">
        <v>10</v>
      </c>
      <c r="Q56" s="18" t="s">
        <v>37</v>
      </c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E56" s="17">
        <v>10</v>
      </c>
      <c r="AF56" s="18" t="s">
        <v>37</v>
      </c>
      <c r="AG56" s="19">
        <f t="shared" si="78"/>
        <v>0</v>
      </c>
      <c r="AH56" s="19" t="e">
        <f t="shared" si="79"/>
        <v>#DIV/0!</v>
      </c>
      <c r="AI56" s="19">
        <f t="shared" si="80"/>
        <v>0</v>
      </c>
      <c r="AJ56" s="19" t="e">
        <f t="shared" si="81"/>
        <v>#DIV/0!</v>
      </c>
      <c r="AK56" s="19">
        <f t="shared" si="82"/>
        <v>0</v>
      </c>
      <c r="AL56" s="19" t="e">
        <f t="shared" si="83"/>
        <v>#DIV/0!</v>
      </c>
      <c r="AM56" s="19">
        <f t="shared" si="84"/>
        <v>0</v>
      </c>
      <c r="AN56" s="19" t="e">
        <f t="shared" si="85"/>
        <v>#DIV/0!</v>
      </c>
      <c r="AO56" s="19">
        <f t="shared" si="86"/>
        <v>0</v>
      </c>
      <c r="AP56" s="19" t="e">
        <f t="shared" si="87"/>
        <v>#DIV/0!</v>
      </c>
      <c r="AQ56" s="19">
        <f t="shared" si="88"/>
        <v>0</v>
      </c>
      <c r="AR56" s="19" t="e">
        <f t="shared" si="89"/>
        <v>#DIV/0!</v>
      </c>
      <c r="AS56" s="19">
        <f t="shared" si="90"/>
        <v>0</v>
      </c>
      <c r="AT56" s="19" t="e">
        <f t="shared" si="91"/>
        <v>#DIV/0!</v>
      </c>
      <c r="AU56" s="19">
        <f t="shared" si="92"/>
        <v>0</v>
      </c>
      <c r="AV56" s="19" t="e">
        <f t="shared" si="93"/>
        <v>#DIV/0!</v>
      </c>
      <c r="AW56" s="19">
        <f t="shared" si="94"/>
        <v>0</v>
      </c>
      <c r="AX56" s="19" t="e">
        <f t="shared" si="95"/>
        <v>#DIV/0!</v>
      </c>
      <c r="AY56" s="19">
        <f t="shared" si="96"/>
        <v>0</v>
      </c>
      <c r="AZ56" s="19" t="e">
        <f t="shared" si="97"/>
        <v>#DIV/0!</v>
      </c>
      <c r="BA56" s="19">
        <f t="shared" si="98"/>
        <v>0</v>
      </c>
      <c r="BB56" s="19" t="e">
        <f t="shared" si="99"/>
        <v>#DIV/0!</v>
      </c>
      <c r="BC56" s="19">
        <f t="shared" si="100"/>
        <v>0</v>
      </c>
      <c r="BD56" s="19" t="e">
        <f t="shared" si="101"/>
        <v>#DIV/0!</v>
      </c>
    </row>
    <row r="57" spans="1:56">
      <c r="A57" s="17">
        <v>11</v>
      </c>
      <c r="B57" s="18" t="s">
        <v>39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P57" s="17">
        <v>11</v>
      </c>
      <c r="Q57" s="18" t="s">
        <v>39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E57" s="17">
        <v>11</v>
      </c>
      <c r="AF57" s="18" t="s">
        <v>39</v>
      </c>
      <c r="AG57" s="19">
        <f t="shared" si="78"/>
        <v>0</v>
      </c>
      <c r="AH57" s="19" t="e">
        <f t="shared" si="79"/>
        <v>#DIV/0!</v>
      </c>
      <c r="AI57" s="19">
        <f t="shared" si="80"/>
        <v>0</v>
      </c>
      <c r="AJ57" s="19" t="e">
        <f t="shared" si="81"/>
        <v>#DIV/0!</v>
      </c>
      <c r="AK57" s="19">
        <f t="shared" si="82"/>
        <v>0</v>
      </c>
      <c r="AL57" s="19" t="e">
        <f t="shared" si="83"/>
        <v>#DIV/0!</v>
      </c>
      <c r="AM57" s="19">
        <f t="shared" si="84"/>
        <v>0</v>
      </c>
      <c r="AN57" s="19" t="e">
        <f t="shared" si="85"/>
        <v>#DIV/0!</v>
      </c>
      <c r="AO57" s="19">
        <f t="shared" si="86"/>
        <v>0</v>
      </c>
      <c r="AP57" s="19" t="e">
        <f t="shared" si="87"/>
        <v>#DIV/0!</v>
      </c>
      <c r="AQ57" s="19">
        <f t="shared" si="88"/>
        <v>0</v>
      </c>
      <c r="AR57" s="19" t="e">
        <f t="shared" si="89"/>
        <v>#DIV/0!</v>
      </c>
      <c r="AS57" s="19">
        <f t="shared" si="90"/>
        <v>0</v>
      </c>
      <c r="AT57" s="19" t="e">
        <f t="shared" si="91"/>
        <v>#DIV/0!</v>
      </c>
      <c r="AU57" s="19">
        <f t="shared" si="92"/>
        <v>0</v>
      </c>
      <c r="AV57" s="19" t="e">
        <f t="shared" si="93"/>
        <v>#DIV/0!</v>
      </c>
      <c r="AW57" s="19">
        <f t="shared" si="94"/>
        <v>0</v>
      </c>
      <c r="AX57" s="19" t="e">
        <f t="shared" si="95"/>
        <v>#DIV/0!</v>
      </c>
      <c r="AY57" s="19">
        <f t="shared" si="96"/>
        <v>0</v>
      </c>
      <c r="AZ57" s="19" t="e">
        <f t="shared" si="97"/>
        <v>#DIV/0!</v>
      </c>
      <c r="BA57" s="19">
        <f t="shared" si="98"/>
        <v>0</v>
      </c>
      <c r="BB57" s="19" t="e">
        <f t="shared" si="99"/>
        <v>#DIV/0!</v>
      </c>
      <c r="BC57" s="19">
        <f t="shared" si="100"/>
        <v>0</v>
      </c>
      <c r="BD57" s="19" t="e">
        <f t="shared" si="101"/>
        <v>#DIV/0!</v>
      </c>
    </row>
    <row r="58" spans="1:56">
      <c r="A58" s="17">
        <v>12</v>
      </c>
      <c r="B58" s="18" t="s">
        <v>41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P58" s="17">
        <v>12</v>
      </c>
      <c r="Q58" s="18" t="s">
        <v>41</v>
      </c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E58" s="17">
        <v>12</v>
      </c>
      <c r="AF58" s="18" t="s">
        <v>41</v>
      </c>
      <c r="AG58" s="19">
        <f t="shared" si="78"/>
        <v>0</v>
      </c>
      <c r="AH58" s="19" t="e">
        <f t="shared" si="79"/>
        <v>#DIV/0!</v>
      </c>
      <c r="AI58" s="19">
        <f t="shared" si="80"/>
        <v>0</v>
      </c>
      <c r="AJ58" s="19" t="e">
        <f t="shared" si="81"/>
        <v>#DIV/0!</v>
      </c>
      <c r="AK58" s="19">
        <f t="shared" si="82"/>
        <v>0</v>
      </c>
      <c r="AL58" s="19" t="e">
        <f t="shared" si="83"/>
        <v>#DIV/0!</v>
      </c>
      <c r="AM58" s="19">
        <f t="shared" si="84"/>
        <v>0</v>
      </c>
      <c r="AN58" s="19" t="e">
        <f t="shared" si="85"/>
        <v>#DIV/0!</v>
      </c>
      <c r="AO58" s="19">
        <f t="shared" si="86"/>
        <v>0</v>
      </c>
      <c r="AP58" s="19" t="e">
        <f t="shared" si="87"/>
        <v>#DIV/0!</v>
      </c>
      <c r="AQ58" s="19">
        <f t="shared" si="88"/>
        <v>0</v>
      </c>
      <c r="AR58" s="19" t="e">
        <f t="shared" si="89"/>
        <v>#DIV/0!</v>
      </c>
      <c r="AS58" s="19">
        <f t="shared" si="90"/>
        <v>0</v>
      </c>
      <c r="AT58" s="19" t="e">
        <f t="shared" si="91"/>
        <v>#DIV/0!</v>
      </c>
      <c r="AU58" s="19">
        <f t="shared" si="92"/>
        <v>0</v>
      </c>
      <c r="AV58" s="19" t="e">
        <f t="shared" si="93"/>
        <v>#DIV/0!</v>
      </c>
      <c r="AW58" s="19">
        <f t="shared" si="94"/>
        <v>0</v>
      </c>
      <c r="AX58" s="19" t="e">
        <f t="shared" si="95"/>
        <v>#DIV/0!</v>
      </c>
      <c r="AY58" s="19">
        <f t="shared" si="96"/>
        <v>0</v>
      </c>
      <c r="AZ58" s="19" t="e">
        <f t="shared" si="97"/>
        <v>#DIV/0!</v>
      </c>
      <c r="BA58" s="19">
        <f t="shared" si="98"/>
        <v>0</v>
      </c>
      <c r="BB58" s="19" t="e">
        <f t="shared" si="99"/>
        <v>#DIV/0!</v>
      </c>
      <c r="BC58" s="19">
        <f t="shared" si="100"/>
        <v>0</v>
      </c>
      <c r="BD58" s="19" t="e">
        <f t="shared" si="101"/>
        <v>#DIV/0!</v>
      </c>
    </row>
    <row r="59" spans="1:56">
      <c r="A59" s="17">
        <v>13</v>
      </c>
      <c r="B59" s="18" t="s">
        <v>43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P59" s="17">
        <v>13</v>
      </c>
      <c r="Q59" s="18" t="s">
        <v>43</v>
      </c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E59" s="17">
        <v>13</v>
      </c>
      <c r="AF59" s="18" t="s">
        <v>43</v>
      </c>
      <c r="AG59" s="19">
        <f t="shared" si="78"/>
        <v>0</v>
      </c>
      <c r="AH59" s="19" t="e">
        <f t="shared" si="79"/>
        <v>#DIV/0!</v>
      </c>
      <c r="AI59" s="19">
        <f t="shared" si="80"/>
        <v>0</v>
      </c>
      <c r="AJ59" s="19" t="e">
        <f t="shared" si="81"/>
        <v>#DIV/0!</v>
      </c>
      <c r="AK59" s="19">
        <f t="shared" si="82"/>
        <v>0</v>
      </c>
      <c r="AL59" s="19" t="e">
        <f t="shared" si="83"/>
        <v>#DIV/0!</v>
      </c>
      <c r="AM59" s="19">
        <f t="shared" si="84"/>
        <v>0</v>
      </c>
      <c r="AN59" s="19" t="e">
        <f t="shared" si="85"/>
        <v>#DIV/0!</v>
      </c>
      <c r="AO59" s="19">
        <f t="shared" si="86"/>
        <v>0</v>
      </c>
      <c r="AP59" s="19" t="e">
        <f t="shared" si="87"/>
        <v>#DIV/0!</v>
      </c>
      <c r="AQ59" s="19">
        <f t="shared" si="88"/>
        <v>0</v>
      </c>
      <c r="AR59" s="19" t="e">
        <f t="shared" si="89"/>
        <v>#DIV/0!</v>
      </c>
      <c r="AS59" s="19">
        <f t="shared" si="90"/>
        <v>0</v>
      </c>
      <c r="AT59" s="19" t="e">
        <f t="shared" si="91"/>
        <v>#DIV/0!</v>
      </c>
      <c r="AU59" s="19">
        <f t="shared" si="92"/>
        <v>0</v>
      </c>
      <c r="AV59" s="19" t="e">
        <f t="shared" si="93"/>
        <v>#DIV/0!</v>
      </c>
      <c r="AW59" s="19">
        <f t="shared" si="94"/>
        <v>0</v>
      </c>
      <c r="AX59" s="19" t="e">
        <f t="shared" si="95"/>
        <v>#DIV/0!</v>
      </c>
      <c r="AY59" s="19">
        <f t="shared" si="96"/>
        <v>0</v>
      </c>
      <c r="AZ59" s="19" t="e">
        <f t="shared" si="97"/>
        <v>#DIV/0!</v>
      </c>
      <c r="BA59" s="19">
        <f t="shared" si="98"/>
        <v>0</v>
      </c>
      <c r="BB59" s="19" t="e">
        <f t="shared" si="99"/>
        <v>#DIV/0!</v>
      </c>
      <c r="BC59" s="19">
        <f t="shared" si="100"/>
        <v>0</v>
      </c>
      <c r="BD59" s="19" t="e">
        <f t="shared" si="101"/>
        <v>#DIV/0!</v>
      </c>
    </row>
    <row r="60" spans="1:56">
      <c r="A60" s="17">
        <v>14</v>
      </c>
      <c r="B60" s="18" t="s">
        <v>44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P60" s="17">
        <v>14</v>
      </c>
      <c r="Q60" s="18" t="s">
        <v>44</v>
      </c>
      <c r="R60" s="19">
        <v>320999</v>
      </c>
      <c r="S60" s="19">
        <v>320999</v>
      </c>
      <c r="T60" s="19">
        <v>320999</v>
      </c>
      <c r="U60" s="19"/>
      <c r="V60" s="19"/>
      <c r="W60" s="19"/>
      <c r="X60" s="19"/>
      <c r="Y60" s="19"/>
      <c r="Z60" s="19"/>
      <c r="AA60" s="19"/>
      <c r="AB60" s="19"/>
      <c r="AC60" s="19"/>
      <c r="AE60" s="17">
        <v>14</v>
      </c>
      <c r="AF60" s="18" t="s">
        <v>44</v>
      </c>
      <c r="AG60" s="19">
        <f t="shared" si="78"/>
        <v>-320999</v>
      </c>
      <c r="AH60" s="19" t="e">
        <f t="shared" si="79"/>
        <v>#DIV/0!</v>
      </c>
      <c r="AI60" s="19">
        <f t="shared" si="80"/>
        <v>-320999</v>
      </c>
      <c r="AJ60" s="19" t="e">
        <f t="shared" si="81"/>
        <v>#DIV/0!</v>
      </c>
      <c r="AK60" s="19">
        <f t="shared" si="82"/>
        <v>-320999</v>
      </c>
      <c r="AL60" s="19" t="e">
        <f t="shared" si="83"/>
        <v>#DIV/0!</v>
      </c>
      <c r="AM60" s="19">
        <f t="shared" si="84"/>
        <v>0</v>
      </c>
      <c r="AN60" s="19" t="e">
        <f t="shared" si="85"/>
        <v>#DIV/0!</v>
      </c>
      <c r="AO60" s="19">
        <f t="shared" si="86"/>
        <v>0</v>
      </c>
      <c r="AP60" s="19" t="e">
        <f t="shared" si="87"/>
        <v>#DIV/0!</v>
      </c>
      <c r="AQ60" s="19">
        <f t="shared" si="88"/>
        <v>0</v>
      </c>
      <c r="AR60" s="19" t="e">
        <f t="shared" si="89"/>
        <v>#DIV/0!</v>
      </c>
      <c r="AS60" s="19">
        <f t="shared" si="90"/>
        <v>0</v>
      </c>
      <c r="AT60" s="19" t="e">
        <f t="shared" si="91"/>
        <v>#DIV/0!</v>
      </c>
      <c r="AU60" s="19">
        <f t="shared" si="92"/>
        <v>0</v>
      </c>
      <c r="AV60" s="19" t="e">
        <f t="shared" si="93"/>
        <v>#DIV/0!</v>
      </c>
      <c r="AW60" s="19">
        <f t="shared" si="94"/>
        <v>0</v>
      </c>
      <c r="AX60" s="19" t="e">
        <f t="shared" si="95"/>
        <v>#DIV/0!</v>
      </c>
      <c r="AY60" s="19">
        <f t="shared" si="96"/>
        <v>0</v>
      </c>
      <c r="AZ60" s="19" t="e">
        <f t="shared" si="97"/>
        <v>#DIV/0!</v>
      </c>
      <c r="BA60" s="19">
        <f t="shared" si="98"/>
        <v>0</v>
      </c>
      <c r="BB60" s="19" t="e">
        <f t="shared" si="99"/>
        <v>#DIV/0!</v>
      </c>
      <c r="BC60" s="19">
        <f t="shared" si="100"/>
        <v>0</v>
      </c>
      <c r="BD60" s="19" t="e">
        <f t="shared" si="101"/>
        <v>#DIV/0!</v>
      </c>
    </row>
    <row r="61" spans="1:56" ht="25.2" thickBot="1">
      <c r="A61" s="17"/>
      <c r="B61" s="20" t="s">
        <v>17</v>
      </c>
      <c r="C61" s="27">
        <f>SUM(C47:C60)</f>
        <v>9415170.5599999987</v>
      </c>
      <c r="D61" s="27">
        <f t="shared" ref="D61:N61" si="102">SUM(D47:D60)</f>
        <v>9526801.8499999996</v>
      </c>
      <c r="E61" s="27">
        <f t="shared" si="102"/>
        <v>9642154.120000001</v>
      </c>
      <c r="F61" s="27">
        <f t="shared" si="102"/>
        <v>0</v>
      </c>
      <c r="G61" s="27">
        <f t="shared" si="102"/>
        <v>0</v>
      </c>
      <c r="H61" s="27">
        <f t="shared" si="102"/>
        <v>0</v>
      </c>
      <c r="I61" s="27">
        <f t="shared" si="102"/>
        <v>0</v>
      </c>
      <c r="J61" s="27">
        <f t="shared" si="102"/>
        <v>0</v>
      </c>
      <c r="K61" s="27">
        <f t="shared" si="102"/>
        <v>0</v>
      </c>
      <c r="L61" s="27">
        <f t="shared" si="102"/>
        <v>0</v>
      </c>
      <c r="M61" s="27">
        <f t="shared" si="102"/>
        <v>0</v>
      </c>
      <c r="N61" s="27">
        <f t="shared" si="102"/>
        <v>0</v>
      </c>
      <c r="P61" s="17"/>
      <c r="Q61" s="20" t="s">
        <v>17</v>
      </c>
      <c r="R61" s="27">
        <f>SUM(R47:R60)</f>
        <v>16822331.52</v>
      </c>
      <c r="S61" s="27">
        <f t="shared" ref="S61:AC61" si="103">SUM(S47:S60)</f>
        <v>16887677.140000001</v>
      </c>
      <c r="T61" s="27">
        <f t="shared" si="103"/>
        <v>16984772.75</v>
      </c>
      <c r="U61" s="27">
        <f t="shared" si="103"/>
        <v>0</v>
      </c>
      <c r="V61" s="27">
        <f t="shared" si="103"/>
        <v>0</v>
      </c>
      <c r="W61" s="27">
        <f t="shared" si="103"/>
        <v>0</v>
      </c>
      <c r="X61" s="27">
        <f t="shared" si="103"/>
        <v>0</v>
      </c>
      <c r="Y61" s="27">
        <f t="shared" si="103"/>
        <v>0</v>
      </c>
      <c r="Z61" s="27">
        <f t="shared" si="103"/>
        <v>0</v>
      </c>
      <c r="AA61" s="27">
        <f t="shared" si="103"/>
        <v>0</v>
      </c>
      <c r="AB61" s="27">
        <f t="shared" si="103"/>
        <v>0</v>
      </c>
      <c r="AC61" s="27">
        <f t="shared" si="103"/>
        <v>0</v>
      </c>
      <c r="AE61" s="17"/>
      <c r="AF61" s="20" t="s">
        <v>17</v>
      </c>
      <c r="AG61" s="23">
        <f t="shared" si="78"/>
        <v>-7407160.9600000009</v>
      </c>
      <c r="AH61" s="23">
        <f t="shared" si="79"/>
        <v>-78.672615783181328</v>
      </c>
      <c r="AI61" s="23">
        <f t="shared" si="80"/>
        <v>-7360875.290000001</v>
      </c>
      <c r="AJ61" s="23">
        <f t="shared" si="81"/>
        <v>-77.264914353183499</v>
      </c>
      <c r="AK61" s="23">
        <f t="shared" si="82"/>
        <v>-7342618.629999999</v>
      </c>
      <c r="AL61" s="23">
        <f t="shared" si="83"/>
        <v>-76.151226568446489</v>
      </c>
      <c r="AM61" s="23">
        <f t="shared" si="84"/>
        <v>0</v>
      </c>
      <c r="AN61" s="23" t="e">
        <f t="shared" si="85"/>
        <v>#DIV/0!</v>
      </c>
      <c r="AO61" s="23">
        <f t="shared" si="86"/>
        <v>0</v>
      </c>
      <c r="AP61" s="23" t="e">
        <f t="shared" si="87"/>
        <v>#DIV/0!</v>
      </c>
      <c r="AQ61" s="23">
        <f t="shared" si="88"/>
        <v>0</v>
      </c>
      <c r="AR61" s="23" t="e">
        <f t="shared" si="89"/>
        <v>#DIV/0!</v>
      </c>
      <c r="AS61" s="23">
        <f t="shared" si="90"/>
        <v>0</v>
      </c>
      <c r="AT61" s="23" t="e">
        <f t="shared" si="91"/>
        <v>#DIV/0!</v>
      </c>
      <c r="AU61" s="23">
        <f t="shared" si="92"/>
        <v>0</v>
      </c>
      <c r="AV61" s="23" t="e">
        <f t="shared" si="93"/>
        <v>#DIV/0!</v>
      </c>
      <c r="AW61" s="23">
        <f t="shared" si="94"/>
        <v>0</v>
      </c>
      <c r="AX61" s="23" t="e">
        <f t="shared" si="95"/>
        <v>#DIV/0!</v>
      </c>
      <c r="AY61" s="23">
        <f t="shared" si="96"/>
        <v>0</v>
      </c>
      <c r="AZ61" s="23" t="e">
        <f t="shared" si="97"/>
        <v>#DIV/0!</v>
      </c>
      <c r="BA61" s="23">
        <f t="shared" si="98"/>
        <v>0</v>
      </c>
      <c r="BB61" s="23" t="e">
        <f t="shared" si="99"/>
        <v>#DIV/0!</v>
      </c>
      <c r="BC61" s="23">
        <f t="shared" si="100"/>
        <v>0</v>
      </c>
      <c r="BD61" s="23" t="e">
        <f t="shared" si="101"/>
        <v>#DIV/0!</v>
      </c>
    </row>
    <row r="62" spans="1:56" ht="25.2" thickTop="1"/>
    <row r="63" spans="1:56">
      <c r="A63" s="32" t="s">
        <v>1942</v>
      </c>
      <c r="B63" s="32"/>
      <c r="C63" s="32"/>
      <c r="D63" s="32"/>
      <c r="E63" s="32"/>
      <c r="F63" s="32"/>
      <c r="G63" s="32"/>
      <c r="H63" s="32"/>
      <c r="I63" s="32"/>
    </row>
    <row r="64" spans="1:56" customFormat="1" ht="21">
      <c r="A64" s="28" t="s">
        <v>659</v>
      </c>
      <c r="B64" s="28" t="s">
        <v>660</v>
      </c>
      <c r="C64" s="28" t="s">
        <v>661</v>
      </c>
      <c r="D64" s="28" t="s">
        <v>662</v>
      </c>
      <c r="E64" s="28" t="s">
        <v>663</v>
      </c>
      <c r="F64" s="28" t="s">
        <v>664</v>
      </c>
      <c r="G64" s="28" t="s">
        <v>665</v>
      </c>
    </row>
    <row r="65" spans="1:9" customFormat="1" ht="21">
      <c r="A65" s="28" t="s">
        <v>90</v>
      </c>
      <c r="B65" s="28" t="s">
        <v>91</v>
      </c>
      <c r="C65" s="28" t="s">
        <v>92</v>
      </c>
      <c r="D65" s="28" t="s">
        <v>93</v>
      </c>
      <c r="E65" s="29">
        <v>446941</v>
      </c>
      <c r="F65" s="29">
        <v>-446940</v>
      </c>
      <c r="G65" s="29">
        <v>1</v>
      </c>
      <c r="H65" t="s">
        <v>666</v>
      </c>
      <c r="I65" t="s">
        <v>11</v>
      </c>
    </row>
    <row r="66" spans="1:9" customFormat="1" ht="21">
      <c r="A66" s="28" t="s">
        <v>94</v>
      </c>
      <c r="B66" s="28" t="s">
        <v>91</v>
      </c>
      <c r="C66" s="28" t="s">
        <v>92</v>
      </c>
      <c r="D66" s="28" t="s">
        <v>95</v>
      </c>
      <c r="E66" s="29">
        <v>489732</v>
      </c>
      <c r="F66" s="29">
        <v>-489731</v>
      </c>
      <c r="G66" s="29">
        <v>1</v>
      </c>
      <c r="H66" t="s">
        <v>666</v>
      </c>
      <c r="I66" t="s">
        <v>11</v>
      </c>
    </row>
    <row r="67" spans="1:9" customFormat="1" ht="21">
      <c r="A67" s="28" t="s">
        <v>96</v>
      </c>
      <c r="B67" s="28" t="s">
        <v>91</v>
      </c>
      <c r="C67" s="28" t="s">
        <v>92</v>
      </c>
      <c r="D67" s="28" t="s">
        <v>97</v>
      </c>
      <c r="E67" s="29">
        <v>489732</v>
      </c>
      <c r="F67" s="29">
        <v>-489731</v>
      </c>
      <c r="G67" s="29">
        <v>1</v>
      </c>
      <c r="H67" t="s">
        <v>666</v>
      </c>
      <c r="I67" t="s">
        <v>11</v>
      </c>
    </row>
    <row r="68" spans="1:9" customFormat="1" ht="21">
      <c r="A68" s="28" t="s">
        <v>98</v>
      </c>
      <c r="B68" s="28" t="s">
        <v>91</v>
      </c>
      <c r="C68" s="28" t="s">
        <v>92</v>
      </c>
      <c r="D68" s="28" t="s">
        <v>99</v>
      </c>
      <c r="E68" s="29">
        <v>551165</v>
      </c>
      <c r="F68" s="29">
        <v>-551164</v>
      </c>
      <c r="G68" s="29">
        <v>1</v>
      </c>
      <c r="H68" t="s">
        <v>666</v>
      </c>
      <c r="I68" t="s">
        <v>11</v>
      </c>
    </row>
    <row r="69" spans="1:9" customFormat="1" ht="21">
      <c r="A69" s="28" t="s">
        <v>100</v>
      </c>
      <c r="B69" s="28" t="s">
        <v>91</v>
      </c>
      <c r="C69" s="28" t="s">
        <v>92</v>
      </c>
      <c r="D69" s="28" t="s">
        <v>101</v>
      </c>
      <c r="E69" s="29">
        <v>3896714</v>
      </c>
      <c r="F69" s="29">
        <v>-3896713</v>
      </c>
      <c r="G69" s="29">
        <v>1</v>
      </c>
      <c r="H69" t="s">
        <v>666</v>
      </c>
      <c r="I69" t="s">
        <v>11</v>
      </c>
    </row>
    <row r="70" spans="1:9" customFormat="1" ht="21">
      <c r="A70" s="28" t="s">
        <v>102</v>
      </c>
      <c r="B70" s="28" t="s">
        <v>91</v>
      </c>
      <c r="C70" s="28" t="s">
        <v>92</v>
      </c>
      <c r="D70" s="28" t="s">
        <v>103</v>
      </c>
      <c r="E70" s="29">
        <v>1111946</v>
      </c>
      <c r="F70" s="29">
        <v>-1111945</v>
      </c>
      <c r="G70" s="29">
        <v>1</v>
      </c>
      <c r="H70" t="s">
        <v>666</v>
      </c>
      <c r="I70" t="s">
        <v>11</v>
      </c>
    </row>
    <row r="71" spans="1:9" customFormat="1" ht="21">
      <c r="A71" s="28" t="s">
        <v>104</v>
      </c>
      <c r="B71" s="28" t="s">
        <v>91</v>
      </c>
      <c r="C71" s="28" t="s">
        <v>92</v>
      </c>
      <c r="D71" s="28" t="s">
        <v>105</v>
      </c>
      <c r="E71" s="29">
        <v>733910</v>
      </c>
      <c r="F71" s="29">
        <v>-733909</v>
      </c>
      <c r="G71" s="29">
        <v>1</v>
      </c>
      <c r="H71" t="s">
        <v>666</v>
      </c>
      <c r="I71" t="s">
        <v>11</v>
      </c>
    </row>
    <row r="72" spans="1:9" customFormat="1" ht="21">
      <c r="A72" s="28" t="s">
        <v>106</v>
      </c>
      <c r="B72" s="28" t="s">
        <v>91</v>
      </c>
      <c r="C72" s="28" t="s">
        <v>92</v>
      </c>
      <c r="D72" s="28" t="s">
        <v>107</v>
      </c>
      <c r="E72" s="29">
        <v>1470628.67</v>
      </c>
      <c r="F72" s="29">
        <v>-306943.14</v>
      </c>
      <c r="G72" s="29">
        <v>1163685.53</v>
      </c>
      <c r="H72" t="s">
        <v>666</v>
      </c>
      <c r="I72" t="s">
        <v>11</v>
      </c>
    </row>
    <row r="73" spans="1:9" customFormat="1" ht="21">
      <c r="A73" s="28" t="s">
        <v>106</v>
      </c>
      <c r="B73" s="28" t="s">
        <v>108</v>
      </c>
      <c r="C73" s="28" t="s">
        <v>92</v>
      </c>
      <c r="D73" s="28" t="s">
        <v>107</v>
      </c>
      <c r="E73" s="29">
        <v>3659471.33</v>
      </c>
      <c r="F73" s="29">
        <v>-3659470.33</v>
      </c>
      <c r="G73" s="29">
        <v>1</v>
      </c>
      <c r="H73" t="s">
        <v>666</v>
      </c>
      <c r="I73" t="s">
        <v>11</v>
      </c>
    </row>
    <row r="74" spans="1:9" customFormat="1" ht="21">
      <c r="A74" s="28" t="s">
        <v>109</v>
      </c>
      <c r="B74" s="28" t="s">
        <v>91</v>
      </c>
      <c r="C74" s="28" t="s">
        <v>92</v>
      </c>
      <c r="D74" s="28" t="s">
        <v>110</v>
      </c>
      <c r="E74" s="29">
        <v>880316.5</v>
      </c>
      <c r="F74" s="29">
        <v>-146317.44</v>
      </c>
      <c r="G74" s="29">
        <v>733999.06</v>
      </c>
      <c r="H74" t="s">
        <v>666</v>
      </c>
      <c r="I74" t="s">
        <v>11</v>
      </c>
    </row>
    <row r="75" spans="1:9" customFormat="1" ht="21">
      <c r="A75" s="28" t="s">
        <v>109</v>
      </c>
      <c r="B75" s="28" t="s">
        <v>108</v>
      </c>
      <c r="C75" s="28" t="s">
        <v>92</v>
      </c>
      <c r="D75" s="28" t="s">
        <v>110</v>
      </c>
      <c r="E75" s="29">
        <v>227194.99</v>
      </c>
      <c r="F75" s="29">
        <v>-227193.99</v>
      </c>
      <c r="G75" s="29">
        <v>1</v>
      </c>
      <c r="H75" t="s">
        <v>666</v>
      </c>
      <c r="I75" t="s">
        <v>11</v>
      </c>
    </row>
    <row r="76" spans="1:9" customFormat="1" ht="21">
      <c r="A76" s="28" t="s">
        <v>456</v>
      </c>
      <c r="B76" s="28" t="s">
        <v>91</v>
      </c>
      <c r="C76" s="28" t="s">
        <v>92</v>
      </c>
      <c r="D76" s="28" t="s">
        <v>457</v>
      </c>
      <c r="E76" s="29">
        <v>7752731</v>
      </c>
      <c r="F76" s="29">
        <v>-7752730</v>
      </c>
      <c r="G76" s="29">
        <v>1</v>
      </c>
      <c r="H76" t="s">
        <v>666</v>
      </c>
      <c r="I76" t="s">
        <v>9</v>
      </c>
    </row>
    <row r="77" spans="1:9" customFormat="1" ht="21">
      <c r="A77" s="28" t="s">
        <v>458</v>
      </c>
      <c r="B77" s="28" t="s">
        <v>91</v>
      </c>
      <c r="C77" s="28" t="s">
        <v>92</v>
      </c>
      <c r="D77" s="28" t="s">
        <v>459</v>
      </c>
      <c r="E77" s="29">
        <v>4344576</v>
      </c>
      <c r="F77" s="29">
        <v>-4344575</v>
      </c>
      <c r="G77" s="29">
        <v>1</v>
      </c>
      <c r="H77" t="s">
        <v>666</v>
      </c>
      <c r="I77" t="s">
        <v>9</v>
      </c>
    </row>
    <row r="78" spans="1:9" customFormat="1" ht="21">
      <c r="A78" s="28" t="s">
        <v>460</v>
      </c>
      <c r="B78" s="28" t="s">
        <v>91</v>
      </c>
      <c r="C78" s="28" t="s">
        <v>92</v>
      </c>
      <c r="D78" s="28" t="s">
        <v>461</v>
      </c>
      <c r="E78" s="29">
        <v>795700</v>
      </c>
      <c r="F78" s="29">
        <v>-65223.27</v>
      </c>
      <c r="G78" s="29">
        <v>730476.73</v>
      </c>
      <c r="H78" t="s">
        <v>666</v>
      </c>
      <c r="I78" t="s">
        <v>9</v>
      </c>
    </row>
    <row r="79" spans="1:9" customFormat="1" ht="21">
      <c r="A79" s="28" t="s">
        <v>460</v>
      </c>
      <c r="B79" s="28" t="s">
        <v>108</v>
      </c>
      <c r="C79" s="28" t="s">
        <v>92</v>
      </c>
      <c r="D79" s="28" t="s">
        <v>461</v>
      </c>
      <c r="E79" s="29">
        <v>294300</v>
      </c>
      <c r="F79" s="29">
        <v>-294299</v>
      </c>
      <c r="G79" s="29">
        <v>1</v>
      </c>
      <c r="H79" t="s">
        <v>666</v>
      </c>
      <c r="I79" t="s">
        <v>9</v>
      </c>
    </row>
    <row r="80" spans="1:9" customFormat="1" ht="21">
      <c r="A80" s="28" t="s">
        <v>462</v>
      </c>
      <c r="B80" s="28" t="s">
        <v>91</v>
      </c>
      <c r="C80" s="28" t="s">
        <v>92</v>
      </c>
      <c r="D80" s="28" t="s">
        <v>463</v>
      </c>
      <c r="E80" s="29">
        <v>67785.509999999995</v>
      </c>
      <c r="F80" s="29">
        <v>-17632.62</v>
      </c>
      <c r="G80" s="29">
        <v>50152.89</v>
      </c>
      <c r="H80" t="s">
        <v>666</v>
      </c>
      <c r="I80" t="s">
        <v>9</v>
      </c>
    </row>
    <row r="81" spans="1:9" customFormat="1" ht="21">
      <c r="A81" s="28" t="s">
        <v>462</v>
      </c>
      <c r="B81" s="28" t="s">
        <v>108</v>
      </c>
      <c r="C81" s="28" t="s">
        <v>92</v>
      </c>
      <c r="D81" s="28" t="s">
        <v>463</v>
      </c>
      <c r="E81" s="29">
        <v>227194.99</v>
      </c>
      <c r="F81" s="29">
        <v>-227193.99</v>
      </c>
      <c r="G81" s="29">
        <v>1</v>
      </c>
      <c r="H81" t="s">
        <v>666</v>
      </c>
      <c r="I81" t="s">
        <v>9</v>
      </c>
    </row>
    <row r="82" spans="1:9" customFormat="1" ht="21">
      <c r="A82" s="28" t="s">
        <v>611</v>
      </c>
      <c r="B82" s="28" t="s">
        <v>91</v>
      </c>
      <c r="C82" s="28" t="s">
        <v>92</v>
      </c>
      <c r="D82" s="28" t="s">
        <v>612</v>
      </c>
      <c r="E82" s="29">
        <v>653006</v>
      </c>
      <c r="F82" s="29">
        <v>-653005</v>
      </c>
      <c r="G82" s="29">
        <v>1</v>
      </c>
      <c r="H82" t="s">
        <v>666</v>
      </c>
      <c r="I82" t="s">
        <v>13</v>
      </c>
    </row>
    <row r="83" spans="1:9" customFormat="1" ht="21">
      <c r="A83" s="28" t="s">
        <v>613</v>
      </c>
      <c r="B83" s="28" t="s">
        <v>91</v>
      </c>
      <c r="C83" s="28" t="s">
        <v>92</v>
      </c>
      <c r="D83" s="28" t="s">
        <v>614</v>
      </c>
      <c r="E83" s="29">
        <v>689835</v>
      </c>
      <c r="F83" s="29">
        <v>-689834</v>
      </c>
      <c r="G83" s="29">
        <v>1</v>
      </c>
      <c r="H83" t="s">
        <v>666</v>
      </c>
      <c r="I83" t="s">
        <v>13</v>
      </c>
    </row>
    <row r="84" spans="1:9" customFormat="1" ht="21">
      <c r="A84" s="28" t="s">
        <v>615</v>
      </c>
      <c r="B84" s="28" t="s">
        <v>91</v>
      </c>
      <c r="C84" s="28" t="s">
        <v>92</v>
      </c>
      <c r="D84" s="28" t="s">
        <v>616</v>
      </c>
      <c r="E84" s="29">
        <v>727510</v>
      </c>
      <c r="F84" s="29">
        <v>-727509</v>
      </c>
      <c r="G84" s="29">
        <v>1</v>
      </c>
      <c r="H84" t="s">
        <v>666</v>
      </c>
      <c r="I84" t="s">
        <v>13</v>
      </c>
    </row>
    <row r="85" spans="1:9" customFormat="1" ht="21">
      <c r="A85" s="28" t="s">
        <v>667</v>
      </c>
      <c r="B85" s="28" t="s">
        <v>91</v>
      </c>
      <c r="C85" s="28" t="s">
        <v>92</v>
      </c>
      <c r="D85" s="28" t="s">
        <v>668</v>
      </c>
      <c r="E85" s="29">
        <v>409076</v>
      </c>
      <c r="F85" s="29">
        <v>-409075</v>
      </c>
      <c r="G85" s="29">
        <v>1</v>
      </c>
      <c r="H85" t="s">
        <v>666</v>
      </c>
      <c r="I85" t="s">
        <v>15</v>
      </c>
    </row>
    <row r="86" spans="1:9" customFormat="1" ht="21">
      <c r="A86" s="28" t="s">
        <v>669</v>
      </c>
      <c r="B86" s="28" t="s">
        <v>91</v>
      </c>
      <c r="C86" s="28" t="s">
        <v>92</v>
      </c>
      <c r="D86" s="28" t="s">
        <v>670</v>
      </c>
      <c r="E86" s="29">
        <v>1900000</v>
      </c>
      <c r="F86" s="29">
        <v>-1899999</v>
      </c>
      <c r="G86" s="29">
        <v>1</v>
      </c>
      <c r="H86" t="s">
        <v>666</v>
      </c>
      <c r="I86" t="s">
        <v>15</v>
      </c>
    </row>
    <row r="87" spans="1:9" customFormat="1" ht="21">
      <c r="A87" s="28" t="s">
        <v>671</v>
      </c>
      <c r="B87" s="28" t="s">
        <v>91</v>
      </c>
      <c r="C87" s="28" t="s">
        <v>92</v>
      </c>
      <c r="D87" s="28" t="s">
        <v>672</v>
      </c>
      <c r="E87" s="29">
        <v>74995</v>
      </c>
      <c r="F87" s="29">
        <v>-74994</v>
      </c>
      <c r="G87" s="29">
        <v>1</v>
      </c>
      <c r="H87" t="s">
        <v>666</v>
      </c>
      <c r="I87" t="s">
        <v>15</v>
      </c>
    </row>
    <row r="88" spans="1:9" customFormat="1" ht="21">
      <c r="A88" s="28" t="s">
        <v>673</v>
      </c>
      <c r="B88" s="28" t="s">
        <v>91</v>
      </c>
      <c r="C88" s="28" t="s">
        <v>605</v>
      </c>
      <c r="D88" s="28" t="s">
        <v>674</v>
      </c>
      <c r="E88" s="29">
        <v>1999830</v>
      </c>
      <c r="F88" s="29">
        <v>-1999829</v>
      </c>
      <c r="G88" s="29">
        <v>1</v>
      </c>
      <c r="H88" t="s">
        <v>666</v>
      </c>
      <c r="I88" t="s">
        <v>675</v>
      </c>
    </row>
    <row r="89" spans="1:9" customFormat="1" ht="21">
      <c r="A89" s="28" t="s">
        <v>676</v>
      </c>
      <c r="B89" s="28" t="s">
        <v>91</v>
      </c>
      <c r="C89" s="28" t="s">
        <v>605</v>
      </c>
      <c r="D89" s="28" t="s">
        <v>677</v>
      </c>
      <c r="E89" s="29">
        <v>950000</v>
      </c>
      <c r="F89" s="29">
        <v>-949999</v>
      </c>
      <c r="G89" s="29">
        <v>1</v>
      </c>
      <c r="H89" t="s">
        <v>666</v>
      </c>
      <c r="I89" t="s">
        <v>675</v>
      </c>
    </row>
    <row r="90" spans="1:9" customFormat="1" ht="21">
      <c r="A90" s="28" t="s">
        <v>678</v>
      </c>
      <c r="B90" s="28" t="s">
        <v>91</v>
      </c>
      <c r="C90" s="28" t="s">
        <v>679</v>
      </c>
      <c r="D90" s="28" t="s">
        <v>680</v>
      </c>
      <c r="E90" s="29">
        <v>449663</v>
      </c>
      <c r="F90" s="29">
        <v>-103237.7</v>
      </c>
      <c r="G90" s="29">
        <v>346425.3</v>
      </c>
      <c r="H90" t="s">
        <v>666</v>
      </c>
      <c r="I90" t="s">
        <v>681</v>
      </c>
    </row>
    <row r="91" spans="1:9" customFormat="1" ht="21">
      <c r="A91" s="28" t="s">
        <v>682</v>
      </c>
      <c r="B91" s="28" t="s">
        <v>91</v>
      </c>
      <c r="C91" s="28" t="s">
        <v>679</v>
      </c>
      <c r="D91" s="28" t="s">
        <v>683</v>
      </c>
      <c r="E91" s="29">
        <v>49870</v>
      </c>
      <c r="F91" s="29">
        <v>-11449.61</v>
      </c>
      <c r="G91" s="29">
        <v>38420.39</v>
      </c>
      <c r="H91" t="s">
        <v>666</v>
      </c>
      <c r="I91" t="s">
        <v>681</v>
      </c>
    </row>
    <row r="92" spans="1:9" customFormat="1" ht="21">
      <c r="A92" s="28" t="s">
        <v>684</v>
      </c>
      <c r="B92" s="28" t="s">
        <v>91</v>
      </c>
      <c r="C92" s="28" t="s">
        <v>679</v>
      </c>
      <c r="D92" s="28" t="s">
        <v>683</v>
      </c>
      <c r="E92" s="29">
        <v>49870</v>
      </c>
      <c r="F92" s="29">
        <v>-11449.61</v>
      </c>
      <c r="G92" s="29">
        <v>38420.39</v>
      </c>
      <c r="H92" t="s">
        <v>666</v>
      </c>
      <c r="I92" t="s">
        <v>681</v>
      </c>
    </row>
    <row r="93" spans="1:9" customFormat="1" ht="21">
      <c r="A93" s="28" t="s">
        <v>685</v>
      </c>
      <c r="B93" s="28" t="s">
        <v>91</v>
      </c>
      <c r="C93" s="28" t="s">
        <v>686</v>
      </c>
      <c r="D93" s="28" t="s">
        <v>687</v>
      </c>
      <c r="E93" s="29">
        <v>349650</v>
      </c>
      <c r="F93" s="29">
        <v>-91004.800000000003</v>
      </c>
      <c r="G93" s="29">
        <v>258645.2</v>
      </c>
      <c r="H93" t="s">
        <v>666</v>
      </c>
      <c r="I93" t="s">
        <v>681</v>
      </c>
    </row>
    <row r="94" spans="1:9" customFormat="1" ht="21">
      <c r="A94" s="28" t="s">
        <v>688</v>
      </c>
      <c r="B94" s="28" t="s">
        <v>91</v>
      </c>
      <c r="C94" s="28" t="s">
        <v>605</v>
      </c>
      <c r="D94" s="28" t="s">
        <v>689</v>
      </c>
      <c r="E94" s="29">
        <v>889000</v>
      </c>
      <c r="F94" s="29">
        <v>-888999</v>
      </c>
      <c r="G94" s="29">
        <v>1</v>
      </c>
      <c r="H94" t="s">
        <v>666</v>
      </c>
      <c r="I94" t="s">
        <v>681</v>
      </c>
    </row>
    <row r="95" spans="1:9" customFormat="1" ht="21">
      <c r="A95" s="28" t="s">
        <v>690</v>
      </c>
      <c r="B95" s="28" t="s">
        <v>91</v>
      </c>
      <c r="C95" s="28" t="s">
        <v>605</v>
      </c>
      <c r="D95" s="28" t="s">
        <v>691</v>
      </c>
      <c r="E95" s="29">
        <v>428000</v>
      </c>
      <c r="F95" s="29">
        <v>-427999</v>
      </c>
      <c r="G95" s="29">
        <v>1</v>
      </c>
      <c r="H95" t="s">
        <v>666</v>
      </c>
      <c r="I95" t="s">
        <v>681</v>
      </c>
    </row>
    <row r="96" spans="1:9" customFormat="1" ht="21">
      <c r="A96" s="28" t="s">
        <v>692</v>
      </c>
      <c r="B96" s="28" t="s">
        <v>91</v>
      </c>
      <c r="C96" s="28" t="s">
        <v>605</v>
      </c>
      <c r="D96" s="28" t="s">
        <v>693</v>
      </c>
      <c r="E96" s="29">
        <v>367500</v>
      </c>
      <c r="F96" s="29">
        <v>-367499</v>
      </c>
      <c r="G96" s="29">
        <v>1</v>
      </c>
      <c r="H96" t="s">
        <v>666</v>
      </c>
      <c r="I96" t="s">
        <v>681</v>
      </c>
    </row>
    <row r="97" spans="1:9" customFormat="1" ht="21">
      <c r="A97" s="28" t="s">
        <v>694</v>
      </c>
      <c r="B97" s="28" t="s">
        <v>91</v>
      </c>
      <c r="C97" s="28" t="s">
        <v>605</v>
      </c>
      <c r="D97" s="28" t="s">
        <v>695</v>
      </c>
      <c r="E97" s="29">
        <v>195000</v>
      </c>
      <c r="F97" s="29">
        <v>-194999</v>
      </c>
      <c r="G97" s="29">
        <v>1</v>
      </c>
      <c r="H97" t="s">
        <v>666</v>
      </c>
      <c r="I97" t="s">
        <v>681</v>
      </c>
    </row>
    <row r="98" spans="1:9" customFormat="1" ht="21">
      <c r="A98" s="28" t="s">
        <v>696</v>
      </c>
      <c r="B98" s="28" t="s">
        <v>91</v>
      </c>
      <c r="C98" s="28" t="s">
        <v>605</v>
      </c>
      <c r="D98" s="28" t="s">
        <v>697</v>
      </c>
      <c r="E98" s="29">
        <v>147000</v>
      </c>
      <c r="F98" s="29">
        <v>-146999</v>
      </c>
      <c r="G98" s="29">
        <v>1</v>
      </c>
      <c r="H98" t="s">
        <v>666</v>
      </c>
      <c r="I98" t="s">
        <v>681</v>
      </c>
    </row>
    <row r="99" spans="1:9" customFormat="1" ht="21">
      <c r="A99" s="28" t="s">
        <v>698</v>
      </c>
      <c r="B99" s="28" t="s">
        <v>91</v>
      </c>
      <c r="C99" s="28" t="s">
        <v>605</v>
      </c>
      <c r="D99" s="28" t="s">
        <v>697</v>
      </c>
      <c r="E99" s="29">
        <v>82692</v>
      </c>
      <c r="F99" s="29">
        <v>-79445.83</v>
      </c>
      <c r="G99" s="29">
        <v>3246.17</v>
      </c>
      <c r="H99" t="s">
        <v>666</v>
      </c>
      <c r="I99" t="s">
        <v>681</v>
      </c>
    </row>
    <row r="100" spans="1:9" customFormat="1" ht="21">
      <c r="A100" s="28" t="s">
        <v>699</v>
      </c>
      <c r="B100" s="28" t="s">
        <v>91</v>
      </c>
      <c r="C100" s="28" t="s">
        <v>605</v>
      </c>
      <c r="D100" s="28" t="s">
        <v>697</v>
      </c>
      <c r="E100" s="29">
        <v>82692</v>
      </c>
      <c r="F100" s="29">
        <v>-79445.83</v>
      </c>
      <c r="G100" s="29">
        <v>3246.17</v>
      </c>
      <c r="H100" t="s">
        <v>666</v>
      </c>
      <c r="I100" t="s">
        <v>681</v>
      </c>
    </row>
    <row r="101" spans="1:9" customFormat="1" ht="21">
      <c r="A101" s="28" t="s">
        <v>700</v>
      </c>
      <c r="B101" s="28" t="s">
        <v>91</v>
      </c>
      <c r="C101" s="28" t="s">
        <v>605</v>
      </c>
      <c r="D101" s="28" t="s">
        <v>701</v>
      </c>
      <c r="E101" s="29">
        <v>31500</v>
      </c>
      <c r="F101" s="29">
        <v>-29868.080000000002</v>
      </c>
      <c r="G101" s="29">
        <v>1631.92</v>
      </c>
      <c r="H101" t="s">
        <v>666</v>
      </c>
      <c r="I101" t="s">
        <v>681</v>
      </c>
    </row>
    <row r="102" spans="1:9" customFormat="1" ht="21">
      <c r="A102" s="28" t="s">
        <v>702</v>
      </c>
      <c r="B102" s="28" t="s">
        <v>91</v>
      </c>
      <c r="C102" s="28" t="s">
        <v>605</v>
      </c>
      <c r="D102" s="28" t="s">
        <v>701</v>
      </c>
      <c r="E102" s="29">
        <v>31500</v>
      </c>
      <c r="F102" s="29">
        <v>-29868.080000000002</v>
      </c>
      <c r="G102" s="29">
        <v>1631.92</v>
      </c>
      <c r="H102" t="s">
        <v>666</v>
      </c>
      <c r="I102" t="s">
        <v>681</v>
      </c>
    </row>
    <row r="103" spans="1:9" customFormat="1" ht="21">
      <c r="A103" s="28" t="s">
        <v>703</v>
      </c>
      <c r="B103" s="28" t="s">
        <v>91</v>
      </c>
      <c r="C103" s="28" t="s">
        <v>605</v>
      </c>
      <c r="D103" s="28" t="s">
        <v>701</v>
      </c>
      <c r="E103" s="29">
        <v>31500</v>
      </c>
      <c r="F103" s="29">
        <v>-29868.080000000002</v>
      </c>
      <c r="G103" s="29">
        <v>1631.92</v>
      </c>
      <c r="H103" t="s">
        <v>666</v>
      </c>
      <c r="I103" t="s">
        <v>681</v>
      </c>
    </row>
    <row r="104" spans="1:9" customFormat="1" ht="21">
      <c r="A104" s="28" t="s">
        <v>704</v>
      </c>
      <c r="B104" s="28" t="s">
        <v>91</v>
      </c>
      <c r="C104" s="28" t="s">
        <v>605</v>
      </c>
      <c r="D104" s="28" t="s">
        <v>701</v>
      </c>
      <c r="E104" s="29">
        <v>31500</v>
      </c>
      <c r="F104" s="29">
        <v>-29868.080000000002</v>
      </c>
      <c r="G104" s="29">
        <v>1631.92</v>
      </c>
      <c r="H104" t="s">
        <v>666</v>
      </c>
      <c r="I104" t="s">
        <v>681</v>
      </c>
    </row>
    <row r="105" spans="1:9" customFormat="1" ht="21">
      <c r="A105" s="28" t="s">
        <v>705</v>
      </c>
      <c r="B105" s="28" t="s">
        <v>91</v>
      </c>
      <c r="C105" s="28" t="s">
        <v>605</v>
      </c>
      <c r="D105" s="28" t="s">
        <v>701</v>
      </c>
      <c r="E105" s="29">
        <v>31500</v>
      </c>
      <c r="F105" s="29">
        <v>-29868.080000000002</v>
      </c>
      <c r="G105" s="29">
        <v>1631.92</v>
      </c>
      <c r="H105" t="s">
        <v>666</v>
      </c>
      <c r="I105" t="s">
        <v>681</v>
      </c>
    </row>
    <row r="106" spans="1:9" customFormat="1" ht="21">
      <c r="A106" s="28" t="s">
        <v>706</v>
      </c>
      <c r="B106" s="28" t="s">
        <v>91</v>
      </c>
      <c r="C106" s="28" t="s">
        <v>605</v>
      </c>
      <c r="D106" s="28" t="s">
        <v>707</v>
      </c>
      <c r="E106" s="29">
        <v>81180</v>
      </c>
      <c r="F106" s="29">
        <v>-75466.2</v>
      </c>
      <c r="G106" s="29">
        <v>5713.8</v>
      </c>
      <c r="H106" t="s">
        <v>666</v>
      </c>
      <c r="I106" t="s">
        <v>681</v>
      </c>
    </row>
    <row r="107" spans="1:9" customFormat="1" ht="21">
      <c r="A107" s="28" t="s">
        <v>708</v>
      </c>
      <c r="B107" s="28" t="s">
        <v>91</v>
      </c>
      <c r="C107" s="28" t="s">
        <v>605</v>
      </c>
      <c r="D107" s="28" t="s">
        <v>707</v>
      </c>
      <c r="E107" s="29">
        <v>81180</v>
      </c>
      <c r="F107" s="29">
        <v>-75466.2</v>
      </c>
      <c r="G107" s="29">
        <v>5713.8</v>
      </c>
      <c r="H107" t="s">
        <v>666</v>
      </c>
      <c r="I107" t="s">
        <v>681</v>
      </c>
    </row>
    <row r="108" spans="1:9" customFormat="1" ht="21">
      <c r="A108" s="28" t="s">
        <v>709</v>
      </c>
      <c r="B108" s="28" t="s">
        <v>91</v>
      </c>
      <c r="C108" s="28" t="s">
        <v>605</v>
      </c>
      <c r="D108" s="28" t="s">
        <v>710</v>
      </c>
      <c r="E108" s="29">
        <v>1019000</v>
      </c>
      <c r="F108" s="29">
        <v>-935667.83</v>
      </c>
      <c r="G108" s="29">
        <v>83332.17</v>
      </c>
      <c r="H108" t="s">
        <v>666</v>
      </c>
      <c r="I108" t="s">
        <v>681</v>
      </c>
    </row>
    <row r="109" spans="1:9" customFormat="1" ht="21">
      <c r="A109" s="28" t="s">
        <v>711</v>
      </c>
      <c r="B109" s="28" t="s">
        <v>91</v>
      </c>
      <c r="C109" s="28" t="s">
        <v>605</v>
      </c>
      <c r="D109" s="28" t="s">
        <v>712</v>
      </c>
      <c r="E109" s="29">
        <v>56235</v>
      </c>
      <c r="F109" s="29">
        <v>-51605.32</v>
      </c>
      <c r="G109" s="29">
        <v>4629.68</v>
      </c>
      <c r="H109" t="s">
        <v>666</v>
      </c>
      <c r="I109" t="s">
        <v>681</v>
      </c>
    </row>
    <row r="110" spans="1:9" customFormat="1" ht="21">
      <c r="A110" s="28" t="s">
        <v>713</v>
      </c>
      <c r="B110" s="28" t="s">
        <v>91</v>
      </c>
      <c r="C110" s="28" t="s">
        <v>605</v>
      </c>
      <c r="D110" s="28" t="s">
        <v>697</v>
      </c>
      <c r="E110" s="29">
        <v>148500</v>
      </c>
      <c r="F110" s="29">
        <v>-115031.36</v>
      </c>
      <c r="G110" s="29">
        <v>33468.639999999999</v>
      </c>
      <c r="H110" t="s">
        <v>666</v>
      </c>
      <c r="I110" t="s">
        <v>681</v>
      </c>
    </row>
    <row r="111" spans="1:9" customFormat="1" ht="21">
      <c r="A111" s="28" t="s">
        <v>714</v>
      </c>
      <c r="B111" s="28" t="s">
        <v>91</v>
      </c>
      <c r="C111" s="28" t="s">
        <v>605</v>
      </c>
      <c r="D111" s="28" t="s">
        <v>710</v>
      </c>
      <c r="E111" s="29">
        <v>1299000</v>
      </c>
      <c r="F111" s="29">
        <v>-997931.81</v>
      </c>
      <c r="G111" s="29">
        <v>301068.19</v>
      </c>
      <c r="H111" t="s">
        <v>666</v>
      </c>
      <c r="I111" t="s">
        <v>681</v>
      </c>
    </row>
    <row r="112" spans="1:9" customFormat="1" ht="21">
      <c r="A112" s="28" t="s">
        <v>715</v>
      </c>
      <c r="B112" s="28" t="s">
        <v>91</v>
      </c>
      <c r="C112" s="28" t="s">
        <v>605</v>
      </c>
      <c r="D112" s="28" t="s">
        <v>716</v>
      </c>
      <c r="E112" s="29">
        <v>798000</v>
      </c>
      <c r="F112" s="29">
        <v>-522634.77</v>
      </c>
      <c r="G112" s="29">
        <v>275365.23</v>
      </c>
      <c r="H112" t="s">
        <v>666</v>
      </c>
      <c r="I112" t="s">
        <v>681</v>
      </c>
    </row>
    <row r="113" spans="1:9" customFormat="1" ht="21">
      <c r="A113" s="28" t="s">
        <v>717</v>
      </c>
      <c r="B113" s="28" t="s">
        <v>91</v>
      </c>
      <c r="C113" s="28" t="s">
        <v>605</v>
      </c>
      <c r="D113" s="28" t="s">
        <v>718</v>
      </c>
      <c r="E113" s="29">
        <v>300000</v>
      </c>
      <c r="F113" s="29">
        <v>-124322.69</v>
      </c>
      <c r="G113" s="29">
        <v>175677.31</v>
      </c>
      <c r="H113" t="s">
        <v>666</v>
      </c>
      <c r="I113" t="s">
        <v>681</v>
      </c>
    </row>
    <row r="114" spans="1:9" customFormat="1" ht="21">
      <c r="A114" s="28" t="s">
        <v>719</v>
      </c>
      <c r="B114" s="28" t="s">
        <v>91</v>
      </c>
      <c r="C114" s="28" t="s">
        <v>605</v>
      </c>
      <c r="D114" s="28" t="s">
        <v>720</v>
      </c>
      <c r="E114" s="29">
        <v>495000</v>
      </c>
      <c r="F114" s="29">
        <v>-197592.12</v>
      </c>
      <c r="G114" s="29">
        <v>297407.88</v>
      </c>
      <c r="H114" t="s">
        <v>666</v>
      </c>
      <c r="I114" t="s">
        <v>681</v>
      </c>
    </row>
    <row r="115" spans="1:9" customFormat="1" ht="21">
      <c r="A115" s="28" t="s">
        <v>721</v>
      </c>
      <c r="B115" s="28" t="s">
        <v>91</v>
      </c>
      <c r="C115" s="28" t="s">
        <v>605</v>
      </c>
      <c r="D115" s="28" t="s">
        <v>722</v>
      </c>
      <c r="E115" s="29">
        <v>120000</v>
      </c>
      <c r="F115" s="29">
        <v>-50811.040000000001</v>
      </c>
      <c r="G115" s="29">
        <v>69188.960000000006</v>
      </c>
      <c r="H115" t="s">
        <v>666</v>
      </c>
      <c r="I115" t="s">
        <v>681</v>
      </c>
    </row>
    <row r="116" spans="1:9" customFormat="1" ht="21">
      <c r="A116" s="28" t="s">
        <v>723</v>
      </c>
      <c r="B116" s="28" t="s">
        <v>91</v>
      </c>
      <c r="C116" s="28" t="s">
        <v>605</v>
      </c>
      <c r="D116" s="28" t="s">
        <v>724</v>
      </c>
      <c r="E116" s="29">
        <v>927500</v>
      </c>
      <c r="F116" s="29">
        <v>-363318.59</v>
      </c>
      <c r="G116" s="29">
        <v>564181.41</v>
      </c>
      <c r="H116" t="s">
        <v>666</v>
      </c>
      <c r="I116" t="s">
        <v>681</v>
      </c>
    </row>
    <row r="117" spans="1:9" customFormat="1" ht="21">
      <c r="A117" s="28" t="s">
        <v>725</v>
      </c>
      <c r="B117" s="28" t="s">
        <v>91</v>
      </c>
      <c r="C117" s="28" t="s">
        <v>605</v>
      </c>
      <c r="D117" s="28" t="s">
        <v>726</v>
      </c>
      <c r="E117" s="29">
        <v>639500</v>
      </c>
      <c r="F117" s="29">
        <v>-215231.39</v>
      </c>
      <c r="G117" s="29">
        <v>424268.61</v>
      </c>
      <c r="H117" t="s">
        <v>666</v>
      </c>
      <c r="I117" t="s">
        <v>681</v>
      </c>
    </row>
    <row r="118" spans="1:9" customFormat="1" ht="21">
      <c r="A118" s="28" t="s">
        <v>727</v>
      </c>
      <c r="B118" s="28" t="s">
        <v>91</v>
      </c>
      <c r="C118" s="28" t="s">
        <v>605</v>
      </c>
      <c r="D118" s="28" t="s">
        <v>728</v>
      </c>
      <c r="E118" s="29">
        <v>532500</v>
      </c>
      <c r="F118" s="29">
        <v>-532499</v>
      </c>
      <c r="G118" s="29">
        <v>1</v>
      </c>
      <c r="H118" t="s">
        <v>666</v>
      </c>
      <c r="I118" t="s">
        <v>32</v>
      </c>
    </row>
    <row r="119" spans="1:9" customFormat="1" ht="21">
      <c r="A119" s="28" t="s">
        <v>729</v>
      </c>
      <c r="B119" s="28" t="s">
        <v>91</v>
      </c>
      <c r="C119" s="28" t="s">
        <v>605</v>
      </c>
      <c r="D119" s="28" t="s">
        <v>730</v>
      </c>
      <c r="E119" s="29">
        <v>547500</v>
      </c>
      <c r="F119" s="29">
        <v>-547499</v>
      </c>
      <c r="G119" s="29">
        <v>1</v>
      </c>
      <c r="H119" t="s">
        <v>666</v>
      </c>
      <c r="I119" t="s">
        <v>32</v>
      </c>
    </row>
  </sheetData>
  <mergeCells count="105">
    <mergeCell ref="A3:A4"/>
    <mergeCell ref="B3:B4"/>
    <mergeCell ref="C3:N3"/>
    <mergeCell ref="P3:P4"/>
    <mergeCell ref="Q3:Q4"/>
    <mergeCell ref="R3:AC3"/>
    <mergeCell ref="A1:N1"/>
    <mergeCell ref="P1:AC1"/>
    <mergeCell ref="AE1:BD1"/>
    <mergeCell ref="A2:N2"/>
    <mergeCell ref="P2:AC2"/>
    <mergeCell ref="AE2:BD2"/>
    <mergeCell ref="C14:N14"/>
    <mergeCell ref="P14:P15"/>
    <mergeCell ref="Q14:Q15"/>
    <mergeCell ref="R14:AC14"/>
    <mergeCell ref="BA3:BB3"/>
    <mergeCell ref="BC3:BD3"/>
    <mergeCell ref="A12:N12"/>
    <mergeCell ref="P12:AC12"/>
    <mergeCell ref="AE12:BD12"/>
    <mergeCell ref="A13:N13"/>
    <mergeCell ref="P13:AC13"/>
    <mergeCell ref="AE13:BD13"/>
    <mergeCell ref="AO3:AP3"/>
    <mergeCell ref="AQ3:AR3"/>
    <mergeCell ref="AS3:AT3"/>
    <mergeCell ref="AU3:AV3"/>
    <mergeCell ref="AW3:AX3"/>
    <mergeCell ref="AY3:AZ3"/>
    <mergeCell ref="AE3:AE4"/>
    <mergeCell ref="AF3:AF4"/>
    <mergeCell ref="AG3:AH3"/>
    <mergeCell ref="AI3:AJ3"/>
    <mergeCell ref="AK3:AL3"/>
    <mergeCell ref="AM3:AN3"/>
    <mergeCell ref="Q25:Q26"/>
    <mergeCell ref="R25:AC25"/>
    <mergeCell ref="BA14:BB14"/>
    <mergeCell ref="BC14:BD14"/>
    <mergeCell ref="A23:N23"/>
    <mergeCell ref="P23:AC23"/>
    <mergeCell ref="AE23:BD23"/>
    <mergeCell ref="A24:N24"/>
    <mergeCell ref="P24:AC24"/>
    <mergeCell ref="AE24:BD24"/>
    <mergeCell ref="AO14:AP14"/>
    <mergeCell ref="AQ14:AR14"/>
    <mergeCell ref="AS14:AT14"/>
    <mergeCell ref="AU14:AV14"/>
    <mergeCell ref="AW14:AX14"/>
    <mergeCell ref="AY14:AZ14"/>
    <mergeCell ref="AE14:AE15"/>
    <mergeCell ref="AF14:AF15"/>
    <mergeCell ref="AG14:AH14"/>
    <mergeCell ref="AI14:AJ14"/>
    <mergeCell ref="AK14:AL14"/>
    <mergeCell ref="AM14:AN14"/>
    <mergeCell ref="A14:A15"/>
    <mergeCell ref="B14:B15"/>
    <mergeCell ref="BA25:BB25"/>
    <mergeCell ref="BC25:BD25"/>
    <mergeCell ref="A43:N43"/>
    <mergeCell ref="P43:AC43"/>
    <mergeCell ref="AE43:BD43"/>
    <mergeCell ref="A44:N44"/>
    <mergeCell ref="P44:AC44"/>
    <mergeCell ref="AE44:BD44"/>
    <mergeCell ref="AO25:AP25"/>
    <mergeCell ref="AQ25:AR25"/>
    <mergeCell ref="AS25:AT25"/>
    <mergeCell ref="AU25:AV25"/>
    <mergeCell ref="AW25:AX25"/>
    <mergeCell ref="AY25:AZ25"/>
    <mergeCell ref="AE25:AE26"/>
    <mergeCell ref="AF25:AF26"/>
    <mergeCell ref="AG25:AH25"/>
    <mergeCell ref="AI25:AJ25"/>
    <mergeCell ref="AK25:AL25"/>
    <mergeCell ref="AM25:AN25"/>
    <mergeCell ref="A25:A26"/>
    <mergeCell ref="B25:B26"/>
    <mergeCell ref="C25:N25"/>
    <mergeCell ref="P25:P26"/>
    <mergeCell ref="BA45:BB45"/>
    <mergeCell ref="BC45:BD45"/>
    <mergeCell ref="A63:I63"/>
    <mergeCell ref="AO45:AP45"/>
    <mergeCell ref="AQ45:AR45"/>
    <mergeCell ref="AS45:AT45"/>
    <mergeCell ref="AU45:AV45"/>
    <mergeCell ref="AW45:AX45"/>
    <mergeCell ref="AY45:AZ45"/>
    <mergeCell ref="AE45:AE46"/>
    <mergeCell ref="AF45:AF46"/>
    <mergeCell ref="AG45:AH45"/>
    <mergeCell ref="AI45:AJ45"/>
    <mergeCell ref="AK45:AL45"/>
    <mergeCell ref="AM45:AN45"/>
    <mergeCell ref="A45:A46"/>
    <mergeCell ref="B45:B46"/>
    <mergeCell ref="C45:N45"/>
    <mergeCell ref="P45:P46"/>
    <mergeCell ref="Q45:Q46"/>
    <mergeCell ref="R45:AC4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2CAF-7C4D-49DF-9BD2-3D10E9A820FE}">
  <dimension ref="A1:BD107"/>
  <sheetViews>
    <sheetView topLeftCell="A58" workbookViewId="0">
      <selection activeCell="E53" sqref="E53"/>
    </sheetView>
  </sheetViews>
  <sheetFormatPr defaultColWidth="18.75" defaultRowHeight="24.6"/>
  <cols>
    <col min="1" max="1" width="6.75" style="24" bestFit="1" customWidth="1"/>
    <col min="2" max="2" width="53" style="13" bestFit="1" customWidth="1"/>
    <col min="3" max="15" width="18.75" style="13"/>
    <col min="16" max="16" width="6.75" style="24" bestFit="1" customWidth="1"/>
    <col min="17" max="17" width="53" style="13" bestFit="1" customWidth="1"/>
    <col min="18" max="30" width="18.75" style="13"/>
    <col min="31" max="31" width="6.75" style="24" bestFit="1" customWidth="1"/>
    <col min="32" max="32" width="53" style="13" bestFit="1" customWidth="1"/>
    <col min="33" max="16384" width="18.75" style="13"/>
  </cols>
  <sheetData>
    <row r="1" spans="1:56">
      <c r="A1" s="37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2"/>
      <c r="P1" s="37" t="s">
        <v>49</v>
      </c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E1" s="37" t="s">
        <v>0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</row>
    <row r="2" spans="1:56">
      <c r="A2" s="37" t="s">
        <v>1954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2"/>
      <c r="P2" s="37" t="s">
        <v>1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E2" s="37" t="s">
        <v>1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</row>
    <row r="3" spans="1:56" s="15" customFormat="1">
      <c r="A3" s="35" t="s">
        <v>2</v>
      </c>
      <c r="B3" s="35" t="s">
        <v>3</v>
      </c>
      <c r="C3" s="38" t="s">
        <v>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  <c r="O3" s="14"/>
      <c r="P3" s="35" t="s">
        <v>2</v>
      </c>
      <c r="Q3" s="35" t="s">
        <v>3</v>
      </c>
      <c r="R3" s="38" t="s">
        <v>5</v>
      </c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E3" s="35" t="s">
        <v>2</v>
      </c>
      <c r="AF3" s="35" t="s">
        <v>3</v>
      </c>
      <c r="AG3" s="33">
        <v>25112</v>
      </c>
      <c r="AH3" s="34"/>
      <c r="AI3" s="33">
        <v>25143</v>
      </c>
      <c r="AJ3" s="34"/>
      <c r="AK3" s="33">
        <v>25173</v>
      </c>
      <c r="AL3" s="34"/>
      <c r="AM3" s="33">
        <v>25204</v>
      </c>
      <c r="AN3" s="34"/>
      <c r="AO3" s="33">
        <v>25235</v>
      </c>
      <c r="AP3" s="34"/>
      <c r="AQ3" s="33">
        <v>25263</v>
      </c>
      <c r="AR3" s="34"/>
      <c r="AS3" s="33">
        <v>25294</v>
      </c>
      <c r="AT3" s="34"/>
      <c r="AU3" s="33">
        <v>25324</v>
      </c>
      <c r="AV3" s="34"/>
      <c r="AW3" s="33">
        <v>25355</v>
      </c>
      <c r="AX3" s="34"/>
      <c r="AY3" s="33">
        <v>25385</v>
      </c>
      <c r="AZ3" s="34"/>
      <c r="BA3" s="33">
        <v>25416</v>
      </c>
      <c r="BB3" s="34"/>
      <c r="BC3" s="33">
        <v>25447</v>
      </c>
      <c r="BD3" s="34"/>
    </row>
    <row r="4" spans="1:56" s="15" customFormat="1">
      <c r="A4" s="36"/>
      <c r="B4" s="36"/>
      <c r="C4" s="16">
        <v>25112</v>
      </c>
      <c r="D4" s="16">
        <v>25143</v>
      </c>
      <c r="E4" s="16">
        <v>25173</v>
      </c>
      <c r="F4" s="16">
        <v>25204</v>
      </c>
      <c r="G4" s="16">
        <v>25235</v>
      </c>
      <c r="H4" s="16">
        <v>25263</v>
      </c>
      <c r="I4" s="16">
        <v>25294</v>
      </c>
      <c r="J4" s="16">
        <v>25324</v>
      </c>
      <c r="K4" s="16">
        <v>25355</v>
      </c>
      <c r="L4" s="16">
        <v>25385</v>
      </c>
      <c r="M4" s="16">
        <v>25416</v>
      </c>
      <c r="N4" s="16">
        <v>25447</v>
      </c>
      <c r="P4" s="36"/>
      <c r="Q4" s="36"/>
      <c r="R4" s="16">
        <v>25112</v>
      </c>
      <c r="S4" s="16">
        <v>25143</v>
      </c>
      <c r="T4" s="16">
        <v>25173</v>
      </c>
      <c r="U4" s="16">
        <v>25204</v>
      </c>
      <c r="V4" s="16">
        <v>25235</v>
      </c>
      <c r="W4" s="16">
        <v>25263</v>
      </c>
      <c r="X4" s="16">
        <v>25294</v>
      </c>
      <c r="Y4" s="16">
        <v>25324</v>
      </c>
      <c r="Z4" s="16">
        <v>25355</v>
      </c>
      <c r="AA4" s="16">
        <v>25385</v>
      </c>
      <c r="AB4" s="16">
        <v>25416</v>
      </c>
      <c r="AC4" s="16">
        <v>25447</v>
      </c>
      <c r="AE4" s="36"/>
      <c r="AF4" s="36"/>
      <c r="AG4" s="16" t="s">
        <v>85</v>
      </c>
      <c r="AH4" s="16" t="s">
        <v>86</v>
      </c>
      <c r="AI4" s="16" t="s">
        <v>85</v>
      </c>
      <c r="AJ4" s="16" t="s">
        <v>86</v>
      </c>
      <c r="AK4" s="16" t="s">
        <v>85</v>
      </c>
      <c r="AL4" s="16" t="s">
        <v>86</v>
      </c>
      <c r="AM4" s="16" t="s">
        <v>85</v>
      </c>
      <c r="AN4" s="16" t="s">
        <v>86</v>
      </c>
      <c r="AO4" s="16" t="s">
        <v>85</v>
      </c>
      <c r="AP4" s="16" t="s">
        <v>86</v>
      </c>
      <c r="AQ4" s="16" t="s">
        <v>85</v>
      </c>
      <c r="AR4" s="16" t="s">
        <v>86</v>
      </c>
      <c r="AS4" s="16" t="s">
        <v>85</v>
      </c>
      <c r="AT4" s="16" t="s">
        <v>86</v>
      </c>
      <c r="AU4" s="16" t="s">
        <v>85</v>
      </c>
      <c r="AV4" s="16" t="s">
        <v>86</v>
      </c>
      <c r="AW4" s="16" t="s">
        <v>85</v>
      </c>
      <c r="AX4" s="16" t="s">
        <v>86</v>
      </c>
      <c r="AY4" s="16" t="s">
        <v>85</v>
      </c>
      <c r="AZ4" s="16" t="s">
        <v>86</v>
      </c>
      <c r="BA4" s="16" t="s">
        <v>85</v>
      </c>
      <c r="BB4" s="16" t="s">
        <v>86</v>
      </c>
      <c r="BC4" s="16" t="s">
        <v>85</v>
      </c>
      <c r="BD4" s="16" t="s">
        <v>86</v>
      </c>
    </row>
    <row r="5" spans="1:56">
      <c r="A5" s="17">
        <v>1</v>
      </c>
      <c r="B5" s="18" t="s">
        <v>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P5" s="17">
        <v>1</v>
      </c>
      <c r="Q5" s="18" t="s">
        <v>8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E5" s="17">
        <v>1</v>
      </c>
      <c r="AF5" s="18" t="s">
        <v>8</v>
      </c>
      <c r="AG5" s="19">
        <f>+C5-R5</f>
        <v>0</v>
      </c>
      <c r="AH5" s="19" t="e">
        <f>+AG5/C5*100</f>
        <v>#DIV/0!</v>
      </c>
      <c r="AI5" s="19">
        <f>+D5-S5</f>
        <v>0</v>
      </c>
      <c r="AJ5" s="19" t="e">
        <f>+AI5/D5*100</f>
        <v>#DIV/0!</v>
      </c>
      <c r="AK5" s="19">
        <f>+E5-T5</f>
        <v>0</v>
      </c>
      <c r="AL5" s="19" t="e">
        <f>+AK5/E5*100</f>
        <v>#DIV/0!</v>
      </c>
      <c r="AM5" s="19">
        <f>+F5-U5</f>
        <v>0</v>
      </c>
      <c r="AN5" s="19" t="e">
        <f>+AM5/F5*100</f>
        <v>#DIV/0!</v>
      </c>
      <c r="AO5" s="19">
        <f>+G5-V5</f>
        <v>0</v>
      </c>
      <c r="AP5" s="19" t="e">
        <f>+AO5/G5*100</f>
        <v>#DIV/0!</v>
      </c>
      <c r="AQ5" s="19">
        <f>+H5-W5</f>
        <v>0</v>
      </c>
      <c r="AR5" s="19" t="e">
        <f>+AQ5/H5*100</f>
        <v>#DIV/0!</v>
      </c>
      <c r="AS5" s="19">
        <f>+I5-X5</f>
        <v>0</v>
      </c>
      <c r="AT5" s="19" t="e">
        <f>+AS5/I5*100</f>
        <v>#DIV/0!</v>
      </c>
      <c r="AU5" s="19">
        <f>+J5-Y5</f>
        <v>0</v>
      </c>
      <c r="AV5" s="19" t="e">
        <f>+AU5/J5*100</f>
        <v>#DIV/0!</v>
      </c>
      <c r="AW5" s="19">
        <f>+K5-Z5</f>
        <v>0</v>
      </c>
      <c r="AX5" s="19" t="e">
        <f>+AW5/K5*100</f>
        <v>#DIV/0!</v>
      </c>
      <c r="AY5" s="19">
        <f>+L5-AA5</f>
        <v>0</v>
      </c>
      <c r="AZ5" s="19" t="e">
        <f>+AY5/L5*100</f>
        <v>#DIV/0!</v>
      </c>
      <c r="BA5" s="19">
        <f>+M5-AB5</f>
        <v>0</v>
      </c>
      <c r="BB5" s="19" t="e">
        <f>+BA5/M5*100</f>
        <v>#DIV/0!</v>
      </c>
      <c r="BC5" s="19">
        <f>+N5-AC5</f>
        <v>0</v>
      </c>
      <c r="BD5" s="19" t="e">
        <f>+BC5/N5*100</f>
        <v>#DIV/0!</v>
      </c>
    </row>
    <row r="6" spans="1:56">
      <c r="A6" s="17">
        <v>2</v>
      </c>
      <c r="B6" s="18" t="s">
        <v>9</v>
      </c>
      <c r="C6" s="19">
        <v>19003230</v>
      </c>
      <c r="D6" s="19">
        <v>19003230</v>
      </c>
      <c r="E6" s="19">
        <v>19003230</v>
      </c>
      <c r="F6" s="19"/>
      <c r="G6" s="19"/>
      <c r="H6" s="19"/>
      <c r="I6" s="19"/>
      <c r="J6" s="19"/>
      <c r="K6" s="19"/>
      <c r="L6" s="19"/>
      <c r="M6" s="19"/>
      <c r="N6" s="19"/>
      <c r="P6" s="17">
        <v>2</v>
      </c>
      <c r="Q6" s="18" t="s">
        <v>9</v>
      </c>
      <c r="R6" s="19">
        <v>20082730</v>
      </c>
      <c r="S6" s="19">
        <v>20082730</v>
      </c>
      <c r="T6" s="19">
        <v>20082730</v>
      </c>
      <c r="U6" s="19"/>
      <c r="V6" s="19"/>
      <c r="W6" s="19"/>
      <c r="X6" s="19"/>
      <c r="Y6" s="19"/>
      <c r="Z6" s="19"/>
      <c r="AA6" s="19"/>
      <c r="AB6" s="19"/>
      <c r="AC6" s="19"/>
      <c r="AE6" s="17">
        <v>2</v>
      </c>
      <c r="AF6" s="18" t="s">
        <v>9</v>
      </c>
      <c r="AG6" s="19">
        <f t="shared" ref="AG6:AG10" si="0">+C6-R6</f>
        <v>-1079500</v>
      </c>
      <c r="AH6" s="19">
        <f t="shared" ref="AH6:AH10" si="1">+AG6/C6*100</f>
        <v>-5.680613243117091</v>
      </c>
      <c r="AI6" s="19">
        <f t="shared" ref="AI6:AI10" si="2">+D6-S6</f>
        <v>-1079500</v>
      </c>
      <c r="AJ6" s="19">
        <f t="shared" ref="AJ6:AJ10" si="3">+AI6/D6*100</f>
        <v>-5.680613243117091</v>
      </c>
      <c r="AK6" s="19">
        <f t="shared" ref="AK6:AK10" si="4">+E6-T6</f>
        <v>-1079500</v>
      </c>
      <c r="AL6" s="19">
        <f t="shared" ref="AL6:AL10" si="5">+AK6/E6*100</f>
        <v>-5.680613243117091</v>
      </c>
      <c r="AM6" s="19">
        <f t="shared" ref="AM6:AM10" si="6">+F6-U6</f>
        <v>0</v>
      </c>
      <c r="AN6" s="19" t="e">
        <f t="shared" ref="AN6:AN10" si="7">+AM6/F6*100</f>
        <v>#DIV/0!</v>
      </c>
      <c r="AO6" s="19">
        <f t="shared" ref="AO6:AO10" si="8">+G6-V6</f>
        <v>0</v>
      </c>
      <c r="AP6" s="19" t="e">
        <f t="shared" ref="AP6:AP10" si="9">+AO6/G6*100</f>
        <v>#DIV/0!</v>
      </c>
      <c r="AQ6" s="19">
        <f t="shared" ref="AQ6:AQ10" si="10">+H6-W6</f>
        <v>0</v>
      </c>
      <c r="AR6" s="19" t="e">
        <f t="shared" ref="AR6:AR10" si="11">+AQ6/H6*100</f>
        <v>#DIV/0!</v>
      </c>
      <c r="AS6" s="19">
        <f t="shared" ref="AS6:AS10" si="12">+I6-X6</f>
        <v>0</v>
      </c>
      <c r="AT6" s="19" t="e">
        <f t="shared" ref="AT6:AT10" si="13">+AS6/I6*100</f>
        <v>#DIV/0!</v>
      </c>
      <c r="AU6" s="19">
        <f t="shared" ref="AU6:AU10" si="14">+J6-Y6</f>
        <v>0</v>
      </c>
      <c r="AV6" s="19" t="e">
        <f t="shared" ref="AV6:AV10" si="15">+AU6/J6*100</f>
        <v>#DIV/0!</v>
      </c>
      <c r="AW6" s="19">
        <f t="shared" ref="AW6:AW10" si="16">+K6-Z6</f>
        <v>0</v>
      </c>
      <c r="AX6" s="19" t="e">
        <f t="shared" ref="AX6:AX10" si="17">+AW6/K6*100</f>
        <v>#DIV/0!</v>
      </c>
      <c r="AY6" s="19">
        <f t="shared" ref="AY6:AY10" si="18">+L6-AA6</f>
        <v>0</v>
      </c>
      <c r="AZ6" s="19" t="e">
        <f t="shared" ref="AZ6:AZ10" si="19">+AY6/L6*100</f>
        <v>#DIV/0!</v>
      </c>
      <c r="BA6" s="19">
        <f t="shared" ref="BA6:BA10" si="20">+M6-AB6</f>
        <v>0</v>
      </c>
      <c r="BB6" s="19" t="e">
        <f t="shared" ref="BB6:BB10" si="21">+BA6/M6*100</f>
        <v>#DIV/0!</v>
      </c>
      <c r="BC6" s="19">
        <f t="shared" ref="BC6:BC10" si="22">+N6-AC6</f>
        <v>0</v>
      </c>
      <c r="BD6" s="19" t="e">
        <f t="shared" ref="BD6:BD10" si="23">+BC6/N6*100</f>
        <v>#DIV/0!</v>
      </c>
    </row>
    <row r="7" spans="1:56">
      <c r="A7" s="17">
        <v>3</v>
      </c>
      <c r="B7" s="18" t="s">
        <v>11</v>
      </c>
      <c r="C7" s="19">
        <v>19174983</v>
      </c>
      <c r="D7" s="19">
        <v>19174983</v>
      </c>
      <c r="E7" s="19">
        <v>19174983</v>
      </c>
      <c r="F7" s="19"/>
      <c r="G7" s="19"/>
      <c r="H7" s="19"/>
      <c r="I7" s="19"/>
      <c r="J7" s="19"/>
      <c r="K7" s="19"/>
      <c r="L7" s="19"/>
      <c r="M7" s="19"/>
      <c r="N7" s="19"/>
      <c r="P7" s="17">
        <v>3</v>
      </c>
      <c r="Q7" s="18" t="s">
        <v>11</v>
      </c>
      <c r="R7" s="19">
        <v>19174983</v>
      </c>
      <c r="S7" s="19">
        <v>19174983</v>
      </c>
      <c r="T7" s="19">
        <v>19174983</v>
      </c>
      <c r="U7" s="19"/>
      <c r="V7" s="19"/>
      <c r="W7" s="19"/>
      <c r="X7" s="19"/>
      <c r="Y7" s="19"/>
      <c r="Z7" s="19"/>
      <c r="AA7" s="19"/>
      <c r="AB7" s="19"/>
      <c r="AC7" s="19"/>
      <c r="AE7" s="17">
        <v>3</v>
      </c>
      <c r="AF7" s="18" t="s">
        <v>11</v>
      </c>
      <c r="AG7" s="19">
        <f t="shared" si="0"/>
        <v>0</v>
      </c>
      <c r="AH7" s="19">
        <f t="shared" si="1"/>
        <v>0</v>
      </c>
      <c r="AI7" s="19">
        <f t="shared" si="2"/>
        <v>0</v>
      </c>
      <c r="AJ7" s="19">
        <f t="shared" si="3"/>
        <v>0</v>
      </c>
      <c r="AK7" s="19">
        <f t="shared" si="4"/>
        <v>0</v>
      </c>
      <c r="AL7" s="19">
        <f t="shared" si="5"/>
        <v>0</v>
      </c>
      <c r="AM7" s="19">
        <f t="shared" si="6"/>
        <v>0</v>
      </c>
      <c r="AN7" s="19" t="e">
        <f t="shared" si="7"/>
        <v>#DIV/0!</v>
      </c>
      <c r="AO7" s="19">
        <f t="shared" si="8"/>
        <v>0</v>
      </c>
      <c r="AP7" s="19" t="e">
        <f t="shared" si="9"/>
        <v>#DIV/0!</v>
      </c>
      <c r="AQ7" s="19">
        <f t="shared" si="10"/>
        <v>0</v>
      </c>
      <c r="AR7" s="19" t="e">
        <f t="shared" si="11"/>
        <v>#DIV/0!</v>
      </c>
      <c r="AS7" s="19">
        <f t="shared" si="12"/>
        <v>0</v>
      </c>
      <c r="AT7" s="19" t="e">
        <f t="shared" si="13"/>
        <v>#DIV/0!</v>
      </c>
      <c r="AU7" s="19">
        <f t="shared" si="14"/>
        <v>0</v>
      </c>
      <c r="AV7" s="19" t="e">
        <f t="shared" si="15"/>
        <v>#DIV/0!</v>
      </c>
      <c r="AW7" s="19">
        <f t="shared" si="16"/>
        <v>0</v>
      </c>
      <c r="AX7" s="19" t="e">
        <f t="shared" si="17"/>
        <v>#DIV/0!</v>
      </c>
      <c r="AY7" s="19">
        <f t="shared" si="18"/>
        <v>0</v>
      </c>
      <c r="AZ7" s="19" t="e">
        <f t="shared" si="19"/>
        <v>#DIV/0!</v>
      </c>
      <c r="BA7" s="19">
        <f t="shared" si="20"/>
        <v>0</v>
      </c>
      <c r="BB7" s="19" t="e">
        <f t="shared" si="21"/>
        <v>#DIV/0!</v>
      </c>
      <c r="BC7" s="19">
        <f t="shared" si="22"/>
        <v>0</v>
      </c>
      <c r="BD7" s="19" t="e">
        <f t="shared" si="23"/>
        <v>#DIV/0!</v>
      </c>
    </row>
    <row r="8" spans="1:56">
      <c r="A8" s="17">
        <v>4</v>
      </c>
      <c r="B8" s="18" t="s">
        <v>13</v>
      </c>
      <c r="C8" s="19">
        <v>1079500</v>
      </c>
      <c r="D8" s="19">
        <v>1079500</v>
      </c>
      <c r="E8" s="19">
        <v>1079500</v>
      </c>
      <c r="F8" s="19"/>
      <c r="G8" s="19"/>
      <c r="H8" s="19"/>
      <c r="I8" s="19"/>
      <c r="J8" s="19"/>
      <c r="K8" s="19"/>
      <c r="L8" s="19"/>
      <c r="M8" s="19"/>
      <c r="N8" s="19"/>
      <c r="P8" s="17">
        <v>4</v>
      </c>
      <c r="Q8" s="18" t="s">
        <v>13</v>
      </c>
      <c r="R8" s="19">
        <v>9547638</v>
      </c>
      <c r="S8" s="19">
        <v>9547638</v>
      </c>
      <c r="T8" s="19">
        <v>9547638</v>
      </c>
      <c r="U8" s="19"/>
      <c r="V8" s="19"/>
      <c r="W8" s="19"/>
      <c r="X8" s="19"/>
      <c r="Y8" s="19"/>
      <c r="Z8" s="19"/>
      <c r="AA8" s="19"/>
      <c r="AB8" s="19"/>
      <c r="AC8" s="19"/>
      <c r="AE8" s="17">
        <v>4</v>
      </c>
      <c r="AF8" s="18" t="s">
        <v>13</v>
      </c>
      <c r="AG8" s="19">
        <f t="shared" si="0"/>
        <v>-8468138</v>
      </c>
      <c r="AH8" s="19">
        <f t="shared" si="1"/>
        <v>-784.45002315886984</v>
      </c>
      <c r="AI8" s="19">
        <f t="shared" si="2"/>
        <v>-8468138</v>
      </c>
      <c r="AJ8" s="19">
        <f t="shared" si="3"/>
        <v>-784.45002315886984</v>
      </c>
      <c r="AK8" s="19">
        <f t="shared" si="4"/>
        <v>-8468138</v>
      </c>
      <c r="AL8" s="19">
        <f t="shared" si="5"/>
        <v>-784.45002315886984</v>
      </c>
      <c r="AM8" s="19">
        <f t="shared" si="6"/>
        <v>0</v>
      </c>
      <c r="AN8" s="19" t="e">
        <f t="shared" si="7"/>
        <v>#DIV/0!</v>
      </c>
      <c r="AO8" s="19">
        <f t="shared" si="8"/>
        <v>0</v>
      </c>
      <c r="AP8" s="19" t="e">
        <f t="shared" si="9"/>
        <v>#DIV/0!</v>
      </c>
      <c r="AQ8" s="19">
        <f t="shared" si="10"/>
        <v>0</v>
      </c>
      <c r="AR8" s="19" t="e">
        <f t="shared" si="11"/>
        <v>#DIV/0!</v>
      </c>
      <c r="AS8" s="19">
        <f t="shared" si="12"/>
        <v>0</v>
      </c>
      <c r="AT8" s="19" t="e">
        <f t="shared" si="13"/>
        <v>#DIV/0!</v>
      </c>
      <c r="AU8" s="19">
        <f t="shared" si="14"/>
        <v>0</v>
      </c>
      <c r="AV8" s="19" t="e">
        <f t="shared" si="15"/>
        <v>#DIV/0!</v>
      </c>
      <c r="AW8" s="19">
        <f t="shared" si="16"/>
        <v>0</v>
      </c>
      <c r="AX8" s="19" t="e">
        <f t="shared" si="17"/>
        <v>#DIV/0!</v>
      </c>
      <c r="AY8" s="19">
        <f t="shared" si="18"/>
        <v>0</v>
      </c>
      <c r="AZ8" s="19" t="e">
        <f t="shared" si="19"/>
        <v>#DIV/0!</v>
      </c>
      <c r="BA8" s="19">
        <f t="shared" si="20"/>
        <v>0</v>
      </c>
      <c r="BB8" s="19" t="e">
        <f t="shared" si="21"/>
        <v>#DIV/0!</v>
      </c>
      <c r="BC8" s="19">
        <f t="shared" si="22"/>
        <v>0</v>
      </c>
      <c r="BD8" s="19" t="e">
        <f t="shared" si="23"/>
        <v>#DIV/0!</v>
      </c>
    </row>
    <row r="9" spans="1:56">
      <c r="A9" s="17">
        <v>5</v>
      </c>
      <c r="B9" s="18" t="s">
        <v>15</v>
      </c>
      <c r="C9" s="19">
        <v>4719500</v>
      </c>
      <c r="D9" s="19">
        <v>4719500</v>
      </c>
      <c r="E9" s="19">
        <v>4719500</v>
      </c>
      <c r="F9" s="19"/>
      <c r="G9" s="19"/>
      <c r="H9" s="19"/>
      <c r="I9" s="19"/>
      <c r="J9" s="19"/>
      <c r="K9" s="19"/>
      <c r="L9" s="19"/>
      <c r="M9" s="19"/>
      <c r="N9" s="19"/>
      <c r="P9" s="17">
        <v>5</v>
      </c>
      <c r="Q9" s="18" t="s">
        <v>15</v>
      </c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E9" s="17">
        <v>5</v>
      </c>
      <c r="AF9" s="18" t="s">
        <v>15</v>
      </c>
      <c r="AG9" s="19">
        <f t="shared" si="0"/>
        <v>4719500</v>
      </c>
      <c r="AH9" s="19">
        <f t="shared" si="1"/>
        <v>100</v>
      </c>
      <c r="AI9" s="19">
        <f t="shared" si="2"/>
        <v>4719500</v>
      </c>
      <c r="AJ9" s="19">
        <f t="shared" si="3"/>
        <v>100</v>
      </c>
      <c r="AK9" s="19">
        <f t="shared" si="4"/>
        <v>4719500</v>
      </c>
      <c r="AL9" s="19">
        <f t="shared" si="5"/>
        <v>100</v>
      </c>
      <c r="AM9" s="19">
        <f t="shared" si="6"/>
        <v>0</v>
      </c>
      <c r="AN9" s="19" t="e">
        <f t="shared" si="7"/>
        <v>#DIV/0!</v>
      </c>
      <c r="AO9" s="19">
        <f t="shared" si="8"/>
        <v>0</v>
      </c>
      <c r="AP9" s="19" t="e">
        <f t="shared" si="9"/>
        <v>#DIV/0!</v>
      </c>
      <c r="AQ9" s="19">
        <f t="shared" si="10"/>
        <v>0</v>
      </c>
      <c r="AR9" s="19" t="e">
        <f t="shared" si="11"/>
        <v>#DIV/0!</v>
      </c>
      <c r="AS9" s="19">
        <f t="shared" si="12"/>
        <v>0</v>
      </c>
      <c r="AT9" s="19" t="e">
        <f t="shared" si="13"/>
        <v>#DIV/0!</v>
      </c>
      <c r="AU9" s="19">
        <f t="shared" si="14"/>
        <v>0</v>
      </c>
      <c r="AV9" s="19" t="e">
        <f t="shared" si="15"/>
        <v>#DIV/0!</v>
      </c>
      <c r="AW9" s="19">
        <f t="shared" si="16"/>
        <v>0</v>
      </c>
      <c r="AX9" s="19" t="e">
        <f t="shared" si="17"/>
        <v>#DIV/0!</v>
      </c>
      <c r="AY9" s="19">
        <f t="shared" si="18"/>
        <v>0</v>
      </c>
      <c r="AZ9" s="19" t="e">
        <f t="shared" si="19"/>
        <v>#DIV/0!</v>
      </c>
      <c r="BA9" s="19">
        <f t="shared" si="20"/>
        <v>0</v>
      </c>
      <c r="BB9" s="19" t="e">
        <f t="shared" si="21"/>
        <v>#DIV/0!</v>
      </c>
      <c r="BC9" s="19">
        <f t="shared" si="22"/>
        <v>0</v>
      </c>
      <c r="BD9" s="19" t="e">
        <f t="shared" si="23"/>
        <v>#DIV/0!</v>
      </c>
    </row>
    <row r="10" spans="1:56" s="22" customFormat="1" ht="25.2" thickBot="1">
      <c r="A10" s="20"/>
      <c r="B10" s="20" t="s">
        <v>17</v>
      </c>
      <c r="C10" s="21">
        <f>SUM(C5:C9)</f>
        <v>43977213</v>
      </c>
      <c r="D10" s="21">
        <f t="shared" ref="D10:N10" si="24">SUM(D5:D9)</f>
        <v>43977213</v>
      </c>
      <c r="E10" s="21">
        <f t="shared" si="24"/>
        <v>43977213</v>
      </c>
      <c r="F10" s="21">
        <f t="shared" si="24"/>
        <v>0</v>
      </c>
      <c r="G10" s="21">
        <f t="shared" si="24"/>
        <v>0</v>
      </c>
      <c r="H10" s="21">
        <f t="shared" si="24"/>
        <v>0</v>
      </c>
      <c r="I10" s="21">
        <f t="shared" si="24"/>
        <v>0</v>
      </c>
      <c r="J10" s="21">
        <f t="shared" si="24"/>
        <v>0</v>
      </c>
      <c r="K10" s="21">
        <f t="shared" si="24"/>
        <v>0</v>
      </c>
      <c r="L10" s="21">
        <f t="shared" si="24"/>
        <v>0</v>
      </c>
      <c r="M10" s="21">
        <f t="shared" si="24"/>
        <v>0</v>
      </c>
      <c r="N10" s="21">
        <f t="shared" si="24"/>
        <v>0</v>
      </c>
      <c r="P10" s="20"/>
      <c r="Q10" s="20" t="s">
        <v>17</v>
      </c>
      <c r="R10" s="21">
        <f>SUM(R5:R9)</f>
        <v>48805351</v>
      </c>
      <c r="S10" s="21">
        <f t="shared" ref="S10:AC10" si="25">SUM(S5:S9)</f>
        <v>48805351</v>
      </c>
      <c r="T10" s="21">
        <f t="shared" si="25"/>
        <v>48805351</v>
      </c>
      <c r="U10" s="21">
        <f t="shared" si="25"/>
        <v>0</v>
      </c>
      <c r="V10" s="21">
        <f t="shared" si="25"/>
        <v>0</v>
      </c>
      <c r="W10" s="21">
        <f t="shared" si="25"/>
        <v>0</v>
      </c>
      <c r="X10" s="21">
        <f t="shared" si="25"/>
        <v>0</v>
      </c>
      <c r="Y10" s="21">
        <f t="shared" si="25"/>
        <v>0</v>
      </c>
      <c r="Z10" s="21">
        <f t="shared" si="25"/>
        <v>0</v>
      </c>
      <c r="AA10" s="21">
        <f t="shared" si="25"/>
        <v>0</v>
      </c>
      <c r="AB10" s="21">
        <f t="shared" si="25"/>
        <v>0</v>
      </c>
      <c r="AC10" s="21">
        <f t="shared" si="25"/>
        <v>0</v>
      </c>
      <c r="AE10" s="20"/>
      <c r="AF10" s="20" t="s">
        <v>17</v>
      </c>
      <c r="AG10" s="23">
        <f t="shared" si="0"/>
        <v>-4828138</v>
      </c>
      <c r="AH10" s="23">
        <f t="shared" si="1"/>
        <v>-10.978726641908846</v>
      </c>
      <c r="AI10" s="23">
        <f t="shared" si="2"/>
        <v>-4828138</v>
      </c>
      <c r="AJ10" s="23">
        <f t="shared" si="3"/>
        <v>-10.978726641908846</v>
      </c>
      <c r="AK10" s="23">
        <f t="shared" si="4"/>
        <v>-4828138</v>
      </c>
      <c r="AL10" s="23">
        <f t="shared" si="5"/>
        <v>-10.978726641908846</v>
      </c>
      <c r="AM10" s="23">
        <f t="shared" si="6"/>
        <v>0</v>
      </c>
      <c r="AN10" s="23" t="e">
        <f t="shared" si="7"/>
        <v>#DIV/0!</v>
      </c>
      <c r="AO10" s="23">
        <f t="shared" si="8"/>
        <v>0</v>
      </c>
      <c r="AP10" s="23" t="e">
        <f t="shared" si="9"/>
        <v>#DIV/0!</v>
      </c>
      <c r="AQ10" s="23">
        <f t="shared" si="10"/>
        <v>0</v>
      </c>
      <c r="AR10" s="23" t="e">
        <f t="shared" si="11"/>
        <v>#DIV/0!</v>
      </c>
      <c r="AS10" s="23">
        <f t="shared" si="12"/>
        <v>0</v>
      </c>
      <c r="AT10" s="23" t="e">
        <f t="shared" si="13"/>
        <v>#DIV/0!</v>
      </c>
      <c r="AU10" s="23">
        <f t="shared" si="14"/>
        <v>0</v>
      </c>
      <c r="AV10" s="23" t="e">
        <f t="shared" si="15"/>
        <v>#DIV/0!</v>
      </c>
      <c r="AW10" s="23">
        <f t="shared" si="16"/>
        <v>0</v>
      </c>
      <c r="AX10" s="23" t="e">
        <f t="shared" si="17"/>
        <v>#DIV/0!</v>
      </c>
      <c r="AY10" s="23">
        <f t="shared" si="18"/>
        <v>0</v>
      </c>
      <c r="AZ10" s="23" t="e">
        <f t="shared" si="19"/>
        <v>#DIV/0!</v>
      </c>
      <c r="BA10" s="23">
        <f t="shared" si="20"/>
        <v>0</v>
      </c>
      <c r="BB10" s="23" t="e">
        <f t="shared" si="21"/>
        <v>#DIV/0!</v>
      </c>
      <c r="BC10" s="23">
        <f t="shared" si="22"/>
        <v>0</v>
      </c>
      <c r="BD10" s="23" t="e">
        <f t="shared" si="23"/>
        <v>#DIV/0!</v>
      </c>
    </row>
    <row r="11" spans="1:56" ht="25.2" thickTop="1"/>
    <row r="12" spans="1:56">
      <c r="A12" s="37" t="s">
        <v>46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P12" s="37" t="s">
        <v>50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E12" s="37" t="s">
        <v>87</v>
      </c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</row>
    <row r="13" spans="1:56">
      <c r="A13" s="37" t="s">
        <v>1954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P13" s="37" t="s">
        <v>1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E13" s="37" t="s">
        <v>1</v>
      </c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</row>
    <row r="14" spans="1:56" s="15" customFormat="1">
      <c r="A14" s="35" t="s">
        <v>2</v>
      </c>
      <c r="B14" s="35" t="s">
        <v>3</v>
      </c>
      <c r="C14" s="38" t="s">
        <v>4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0"/>
      <c r="P14" s="35" t="s">
        <v>2</v>
      </c>
      <c r="Q14" s="35" t="s">
        <v>3</v>
      </c>
      <c r="R14" s="38" t="s">
        <v>5</v>
      </c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40"/>
      <c r="AE14" s="35" t="s">
        <v>2</v>
      </c>
      <c r="AF14" s="35" t="s">
        <v>3</v>
      </c>
      <c r="AG14" s="33">
        <v>25112</v>
      </c>
      <c r="AH14" s="34"/>
      <c r="AI14" s="33">
        <v>25143</v>
      </c>
      <c r="AJ14" s="34"/>
      <c r="AK14" s="33">
        <v>25173</v>
      </c>
      <c r="AL14" s="34"/>
      <c r="AM14" s="33">
        <v>25204</v>
      </c>
      <c r="AN14" s="34"/>
      <c r="AO14" s="33">
        <v>25235</v>
      </c>
      <c r="AP14" s="34"/>
      <c r="AQ14" s="33">
        <v>25263</v>
      </c>
      <c r="AR14" s="34"/>
      <c r="AS14" s="33">
        <v>25294</v>
      </c>
      <c r="AT14" s="34"/>
      <c r="AU14" s="33">
        <v>25324</v>
      </c>
      <c r="AV14" s="34"/>
      <c r="AW14" s="33">
        <v>25355</v>
      </c>
      <c r="AX14" s="34"/>
      <c r="AY14" s="33">
        <v>25385</v>
      </c>
      <c r="AZ14" s="34"/>
      <c r="BA14" s="33">
        <v>25416</v>
      </c>
      <c r="BB14" s="34"/>
      <c r="BC14" s="33">
        <v>25447</v>
      </c>
      <c r="BD14" s="34"/>
    </row>
    <row r="15" spans="1:56" s="15" customFormat="1">
      <c r="A15" s="36"/>
      <c r="B15" s="36"/>
      <c r="C15" s="16">
        <v>25112</v>
      </c>
      <c r="D15" s="16">
        <v>25143</v>
      </c>
      <c r="E15" s="16">
        <v>25173</v>
      </c>
      <c r="F15" s="16">
        <v>25204</v>
      </c>
      <c r="G15" s="16">
        <v>25235</v>
      </c>
      <c r="H15" s="16">
        <v>25263</v>
      </c>
      <c r="I15" s="16">
        <v>25294</v>
      </c>
      <c r="J15" s="16">
        <v>25324</v>
      </c>
      <c r="K15" s="16">
        <v>25355</v>
      </c>
      <c r="L15" s="16">
        <v>25385</v>
      </c>
      <c r="M15" s="16">
        <v>25416</v>
      </c>
      <c r="N15" s="16">
        <v>25447</v>
      </c>
      <c r="P15" s="36"/>
      <c r="Q15" s="36"/>
      <c r="R15" s="16">
        <v>25112</v>
      </c>
      <c r="S15" s="16">
        <v>25143</v>
      </c>
      <c r="T15" s="16">
        <v>25173</v>
      </c>
      <c r="U15" s="16">
        <v>25204</v>
      </c>
      <c r="V15" s="16">
        <v>25235</v>
      </c>
      <c r="W15" s="16">
        <v>25263</v>
      </c>
      <c r="X15" s="16">
        <v>25294</v>
      </c>
      <c r="Y15" s="16">
        <v>25324</v>
      </c>
      <c r="Z15" s="16">
        <v>25355</v>
      </c>
      <c r="AA15" s="16">
        <v>25385</v>
      </c>
      <c r="AB15" s="16">
        <v>25416</v>
      </c>
      <c r="AC15" s="16">
        <v>25447</v>
      </c>
      <c r="AE15" s="36"/>
      <c r="AF15" s="36"/>
      <c r="AG15" s="16" t="s">
        <v>85</v>
      </c>
      <c r="AH15" s="16" t="s">
        <v>86</v>
      </c>
      <c r="AI15" s="16" t="s">
        <v>85</v>
      </c>
      <c r="AJ15" s="16" t="s">
        <v>86</v>
      </c>
      <c r="AK15" s="16" t="s">
        <v>85</v>
      </c>
      <c r="AL15" s="16" t="s">
        <v>86</v>
      </c>
      <c r="AM15" s="16" t="s">
        <v>85</v>
      </c>
      <c r="AN15" s="16" t="s">
        <v>86</v>
      </c>
      <c r="AO15" s="16" t="s">
        <v>85</v>
      </c>
      <c r="AP15" s="16" t="s">
        <v>86</v>
      </c>
      <c r="AQ15" s="16" t="s">
        <v>85</v>
      </c>
      <c r="AR15" s="16" t="s">
        <v>86</v>
      </c>
      <c r="AS15" s="16" t="s">
        <v>85</v>
      </c>
      <c r="AT15" s="16" t="s">
        <v>86</v>
      </c>
      <c r="AU15" s="16" t="s">
        <v>85</v>
      </c>
      <c r="AV15" s="16" t="s">
        <v>86</v>
      </c>
      <c r="AW15" s="16" t="s">
        <v>85</v>
      </c>
      <c r="AX15" s="16" t="s">
        <v>86</v>
      </c>
      <c r="AY15" s="16" t="s">
        <v>85</v>
      </c>
      <c r="AZ15" s="16" t="s">
        <v>86</v>
      </c>
      <c r="BA15" s="16" t="s">
        <v>85</v>
      </c>
      <c r="BB15" s="16" t="s">
        <v>86</v>
      </c>
      <c r="BC15" s="16" t="s">
        <v>85</v>
      </c>
      <c r="BD15" s="16" t="s">
        <v>86</v>
      </c>
    </row>
    <row r="16" spans="1:56">
      <c r="A16" s="17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P16" s="17"/>
      <c r="Q16" s="18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E16" s="17"/>
      <c r="AF16" s="18"/>
      <c r="AG16" s="19"/>
      <c r="AH16" s="19"/>
      <c r="AI16" s="19"/>
      <c r="AJ16" s="19"/>
      <c r="AK16" s="19"/>
      <c r="AL16" s="19"/>
      <c r="AM16" s="19"/>
      <c r="AN16" s="19"/>
      <c r="AO16" s="18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</row>
    <row r="17" spans="1:56">
      <c r="A17" s="17">
        <v>1</v>
      </c>
      <c r="B17" s="18" t="s">
        <v>10</v>
      </c>
      <c r="C17" s="19">
        <v>13027291.300000001</v>
      </c>
      <c r="D17" s="19">
        <v>13064258.619999999</v>
      </c>
      <c r="E17" s="19">
        <v>13102458.199999999</v>
      </c>
      <c r="F17" s="19"/>
      <c r="G17" s="19"/>
      <c r="H17" s="19"/>
      <c r="I17" s="19"/>
      <c r="J17" s="19"/>
      <c r="K17" s="19"/>
      <c r="L17" s="19"/>
      <c r="M17" s="19"/>
      <c r="N17" s="19"/>
      <c r="P17" s="17">
        <v>1</v>
      </c>
      <c r="Q17" s="18" t="s">
        <v>10</v>
      </c>
      <c r="R17" s="19">
        <v>14334330</v>
      </c>
      <c r="S17" s="19">
        <v>14368144.1</v>
      </c>
      <c r="T17" s="19">
        <v>14401958.199999999</v>
      </c>
      <c r="U17" s="19"/>
      <c r="V17" s="19"/>
      <c r="W17" s="19"/>
      <c r="X17" s="19"/>
      <c r="Y17" s="19"/>
      <c r="Z17" s="19"/>
      <c r="AA17" s="19"/>
      <c r="AB17" s="19"/>
      <c r="AC17" s="19"/>
      <c r="AE17" s="17">
        <v>1</v>
      </c>
      <c r="AF17" s="18" t="s">
        <v>10</v>
      </c>
      <c r="AG17" s="19">
        <f t="shared" ref="AG17:AG21" si="26">+C17-R17</f>
        <v>-1307038.6999999993</v>
      </c>
      <c r="AH17" s="19">
        <f t="shared" ref="AH17:AH21" si="27">+AG17/C17*100</f>
        <v>-10.033081090310764</v>
      </c>
      <c r="AI17" s="19">
        <f t="shared" ref="AI17:AI21" si="28">+D17-S17</f>
        <v>-1303885.4800000004</v>
      </c>
      <c r="AJ17" s="19">
        <f t="shared" ref="AJ17:AJ21" si="29">+AI17/D17*100</f>
        <v>-9.9805547174631837</v>
      </c>
      <c r="AK17" s="19">
        <f t="shared" ref="AK17:AK21" si="30">+E17-T17</f>
        <v>-1299500</v>
      </c>
      <c r="AL17" s="19">
        <f t="shared" ref="AL17:AL21" si="31">+AK17/E17*100</f>
        <v>-9.917986229484784</v>
      </c>
      <c r="AM17" s="19">
        <f t="shared" ref="AM17:AM21" si="32">+F17-U17</f>
        <v>0</v>
      </c>
      <c r="AN17" s="19" t="e">
        <f t="shared" ref="AN17:AN21" si="33">+AM17/F17*100</f>
        <v>#DIV/0!</v>
      </c>
      <c r="AO17" s="19">
        <f t="shared" ref="AO17:AO21" si="34">+G17-V17</f>
        <v>0</v>
      </c>
      <c r="AP17" s="19" t="e">
        <f t="shared" ref="AP17:AP21" si="35">+AO17/G17*100</f>
        <v>#DIV/0!</v>
      </c>
      <c r="AQ17" s="19">
        <f t="shared" ref="AQ17:AQ21" si="36">+H17-W17</f>
        <v>0</v>
      </c>
      <c r="AR17" s="19" t="e">
        <f t="shared" ref="AR17:AR21" si="37">+AQ17/H17*100</f>
        <v>#DIV/0!</v>
      </c>
      <c r="AS17" s="19">
        <f t="shared" ref="AS17:AS21" si="38">+I17-X17</f>
        <v>0</v>
      </c>
      <c r="AT17" s="19" t="e">
        <f t="shared" ref="AT17:AT21" si="39">+AS17/I17*100</f>
        <v>#DIV/0!</v>
      </c>
      <c r="AU17" s="19">
        <f t="shared" ref="AU17:AU21" si="40">+J17-Y17</f>
        <v>0</v>
      </c>
      <c r="AV17" s="19" t="e">
        <f t="shared" ref="AV17:AV21" si="41">+AU17/J17*100</f>
        <v>#DIV/0!</v>
      </c>
      <c r="AW17" s="19">
        <f t="shared" ref="AW17:AW21" si="42">+K17-Z17</f>
        <v>0</v>
      </c>
      <c r="AX17" s="19" t="e">
        <f t="shared" ref="AX17:AX21" si="43">+AW17/K17*100</f>
        <v>#DIV/0!</v>
      </c>
      <c r="AY17" s="19">
        <f t="shared" ref="AY17:AY21" si="44">+L17-AA17</f>
        <v>0</v>
      </c>
      <c r="AZ17" s="19" t="e">
        <f t="shared" ref="AZ17:AZ21" si="45">+AY17/L17*100</f>
        <v>#DIV/0!</v>
      </c>
      <c r="BA17" s="19">
        <f t="shared" ref="BA17:BA21" si="46">+M17-AB17</f>
        <v>0</v>
      </c>
      <c r="BB17" s="19" t="e">
        <f t="shared" ref="BB17:BB21" si="47">+BA17/M17*100</f>
        <v>#DIV/0!</v>
      </c>
      <c r="BC17" s="19">
        <f t="shared" ref="BC17:BC21" si="48">+N17-AC17</f>
        <v>0</v>
      </c>
      <c r="BD17" s="19" t="e">
        <f t="shared" ref="BD17:BD21" si="49">+BC17/N17*100</f>
        <v>#DIV/0!</v>
      </c>
    </row>
    <row r="18" spans="1:56">
      <c r="A18" s="17">
        <v>2</v>
      </c>
      <c r="B18" s="18" t="s">
        <v>12</v>
      </c>
      <c r="C18" s="19">
        <v>11739470.91</v>
      </c>
      <c r="D18" s="19">
        <v>11791128.859999999</v>
      </c>
      <c r="E18" s="19">
        <v>11844508.75</v>
      </c>
      <c r="F18" s="19"/>
      <c r="G18" s="19"/>
      <c r="H18" s="19"/>
      <c r="I18" s="19"/>
      <c r="J18" s="19"/>
      <c r="K18" s="19"/>
      <c r="L18" s="19"/>
      <c r="M18" s="19"/>
      <c r="N18" s="19"/>
      <c r="P18" s="17">
        <v>2</v>
      </c>
      <c r="Q18" s="18" t="s">
        <v>12</v>
      </c>
      <c r="R18" s="19">
        <v>12482431.300000001</v>
      </c>
      <c r="S18" s="19">
        <v>12530017.960000001</v>
      </c>
      <c r="T18" s="19">
        <v>12577604.619999999</v>
      </c>
      <c r="U18" s="19"/>
      <c r="V18" s="19"/>
      <c r="W18" s="19"/>
      <c r="X18" s="19"/>
      <c r="Y18" s="19"/>
      <c r="Z18" s="19"/>
      <c r="AA18" s="19"/>
      <c r="AB18" s="19"/>
      <c r="AC18" s="19"/>
      <c r="AE18" s="17">
        <v>2</v>
      </c>
      <c r="AF18" s="18" t="s">
        <v>12</v>
      </c>
      <c r="AG18" s="19">
        <f t="shared" si="26"/>
        <v>-742960.3900000006</v>
      </c>
      <c r="AH18" s="19">
        <f t="shared" si="27"/>
        <v>-6.328738285531478</v>
      </c>
      <c r="AI18" s="19">
        <f t="shared" si="28"/>
        <v>-738889.10000000149</v>
      </c>
      <c r="AJ18" s="19">
        <f t="shared" si="29"/>
        <v>-6.266483122804253</v>
      </c>
      <c r="AK18" s="19">
        <f t="shared" si="30"/>
        <v>-733095.86999999918</v>
      </c>
      <c r="AL18" s="19">
        <f t="shared" si="31"/>
        <v>-6.1893311531387845</v>
      </c>
      <c r="AM18" s="19">
        <f t="shared" si="32"/>
        <v>0</v>
      </c>
      <c r="AN18" s="19" t="e">
        <f t="shared" si="33"/>
        <v>#DIV/0!</v>
      </c>
      <c r="AO18" s="19">
        <f t="shared" si="34"/>
        <v>0</v>
      </c>
      <c r="AP18" s="19" t="e">
        <f t="shared" si="35"/>
        <v>#DIV/0!</v>
      </c>
      <c r="AQ18" s="19">
        <f t="shared" si="36"/>
        <v>0</v>
      </c>
      <c r="AR18" s="19" t="e">
        <f t="shared" si="37"/>
        <v>#DIV/0!</v>
      </c>
      <c r="AS18" s="19">
        <f t="shared" si="38"/>
        <v>0</v>
      </c>
      <c r="AT18" s="19" t="e">
        <f t="shared" si="39"/>
        <v>#DIV/0!</v>
      </c>
      <c r="AU18" s="19">
        <f t="shared" si="40"/>
        <v>0</v>
      </c>
      <c r="AV18" s="19" t="e">
        <f t="shared" si="41"/>
        <v>#DIV/0!</v>
      </c>
      <c r="AW18" s="19">
        <f t="shared" si="42"/>
        <v>0</v>
      </c>
      <c r="AX18" s="19" t="e">
        <f t="shared" si="43"/>
        <v>#DIV/0!</v>
      </c>
      <c r="AY18" s="19">
        <f t="shared" si="44"/>
        <v>0</v>
      </c>
      <c r="AZ18" s="19" t="e">
        <f t="shared" si="45"/>
        <v>#DIV/0!</v>
      </c>
      <c r="BA18" s="19">
        <f t="shared" si="46"/>
        <v>0</v>
      </c>
      <c r="BB18" s="19" t="e">
        <f t="shared" si="47"/>
        <v>#DIV/0!</v>
      </c>
      <c r="BC18" s="19">
        <f t="shared" si="48"/>
        <v>0</v>
      </c>
      <c r="BD18" s="19" t="e">
        <f t="shared" si="49"/>
        <v>#DIV/0!</v>
      </c>
    </row>
    <row r="19" spans="1:56">
      <c r="A19" s="17">
        <v>3</v>
      </c>
      <c r="B19" s="18" t="s">
        <v>14</v>
      </c>
      <c r="C19" s="19">
        <v>1079499</v>
      </c>
      <c r="D19" s="19">
        <v>1079499</v>
      </c>
      <c r="E19" s="19">
        <v>1079499</v>
      </c>
      <c r="F19" s="19"/>
      <c r="G19" s="19"/>
      <c r="H19" s="19"/>
      <c r="I19" s="19"/>
      <c r="J19" s="19"/>
      <c r="K19" s="19"/>
      <c r="L19" s="19"/>
      <c r="M19" s="19"/>
      <c r="N19" s="19"/>
      <c r="P19" s="17">
        <v>3</v>
      </c>
      <c r="Q19" s="18" t="s">
        <v>14</v>
      </c>
      <c r="R19" s="19">
        <v>6649350.9900000002</v>
      </c>
      <c r="S19" s="19">
        <v>6678636.5300000003</v>
      </c>
      <c r="T19" s="19">
        <v>6707922.0700000003</v>
      </c>
      <c r="U19" s="19"/>
      <c r="V19" s="19"/>
      <c r="W19" s="19"/>
      <c r="X19" s="19"/>
      <c r="Y19" s="19"/>
      <c r="Z19" s="19"/>
      <c r="AA19" s="19"/>
      <c r="AB19" s="19"/>
      <c r="AC19" s="19"/>
      <c r="AE19" s="17">
        <v>3</v>
      </c>
      <c r="AF19" s="18" t="s">
        <v>14</v>
      </c>
      <c r="AG19" s="19">
        <f t="shared" si="26"/>
        <v>-5569851.9900000002</v>
      </c>
      <c r="AH19" s="19">
        <f t="shared" si="27"/>
        <v>-515.96638718516647</v>
      </c>
      <c r="AI19" s="19">
        <f t="shared" si="28"/>
        <v>-5599137.5300000003</v>
      </c>
      <c r="AJ19" s="19">
        <f t="shared" si="29"/>
        <v>-518.67926973531246</v>
      </c>
      <c r="AK19" s="19">
        <f t="shared" si="30"/>
        <v>-5628423.0700000003</v>
      </c>
      <c r="AL19" s="19">
        <f t="shared" si="31"/>
        <v>-521.39215228545834</v>
      </c>
      <c r="AM19" s="19">
        <f t="shared" si="32"/>
        <v>0</v>
      </c>
      <c r="AN19" s="19" t="e">
        <f t="shared" si="33"/>
        <v>#DIV/0!</v>
      </c>
      <c r="AO19" s="19">
        <f t="shared" si="34"/>
        <v>0</v>
      </c>
      <c r="AP19" s="19" t="e">
        <f t="shared" si="35"/>
        <v>#DIV/0!</v>
      </c>
      <c r="AQ19" s="19">
        <f t="shared" si="36"/>
        <v>0</v>
      </c>
      <c r="AR19" s="19" t="e">
        <f t="shared" si="37"/>
        <v>#DIV/0!</v>
      </c>
      <c r="AS19" s="19">
        <f t="shared" si="38"/>
        <v>0</v>
      </c>
      <c r="AT19" s="19" t="e">
        <f t="shared" si="39"/>
        <v>#DIV/0!</v>
      </c>
      <c r="AU19" s="19">
        <f t="shared" si="40"/>
        <v>0</v>
      </c>
      <c r="AV19" s="19" t="e">
        <f t="shared" si="41"/>
        <v>#DIV/0!</v>
      </c>
      <c r="AW19" s="19">
        <f t="shared" si="42"/>
        <v>0</v>
      </c>
      <c r="AX19" s="19" t="e">
        <f t="shared" si="43"/>
        <v>#DIV/0!</v>
      </c>
      <c r="AY19" s="19">
        <f t="shared" si="44"/>
        <v>0</v>
      </c>
      <c r="AZ19" s="19" t="e">
        <f t="shared" si="45"/>
        <v>#DIV/0!</v>
      </c>
      <c r="BA19" s="19">
        <f t="shared" si="46"/>
        <v>0</v>
      </c>
      <c r="BB19" s="19" t="e">
        <f t="shared" si="47"/>
        <v>#DIV/0!</v>
      </c>
      <c r="BC19" s="19">
        <f t="shared" si="48"/>
        <v>0</v>
      </c>
      <c r="BD19" s="19" t="e">
        <f t="shared" si="49"/>
        <v>#DIV/0!</v>
      </c>
    </row>
    <row r="20" spans="1:56">
      <c r="A20" s="17">
        <v>4</v>
      </c>
      <c r="B20" s="18" t="s">
        <v>16</v>
      </c>
      <c r="C20" s="19">
        <v>1833354.35</v>
      </c>
      <c r="D20" s="19">
        <v>1859216.54</v>
      </c>
      <c r="E20" s="19">
        <v>1885940.81</v>
      </c>
      <c r="F20" s="19"/>
      <c r="G20" s="19"/>
      <c r="H20" s="19"/>
      <c r="I20" s="19"/>
      <c r="J20" s="19"/>
      <c r="K20" s="19"/>
      <c r="L20" s="19"/>
      <c r="M20" s="19"/>
      <c r="N20" s="19"/>
      <c r="P20" s="17">
        <v>4</v>
      </c>
      <c r="Q20" s="18" t="s">
        <v>16</v>
      </c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E20" s="17">
        <v>4</v>
      </c>
      <c r="AF20" s="18" t="s">
        <v>16</v>
      </c>
      <c r="AG20" s="19">
        <f t="shared" si="26"/>
        <v>1833354.35</v>
      </c>
      <c r="AH20" s="19">
        <f t="shared" si="27"/>
        <v>100</v>
      </c>
      <c r="AI20" s="19">
        <f t="shared" si="28"/>
        <v>1859216.54</v>
      </c>
      <c r="AJ20" s="19">
        <f t="shared" si="29"/>
        <v>100</v>
      </c>
      <c r="AK20" s="19">
        <f t="shared" si="30"/>
        <v>1885940.81</v>
      </c>
      <c r="AL20" s="19">
        <f t="shared" si="31"/>
        <v>100</v>
      </c>
      <c r="AM20" s="19">
        <f t="shared" si="32"/>
        <v>0</v>
      </c>
      <c r="AN20" s="19" t="e">
        <f t="shared" si="33"/>
        <v>#DIV/0!</v>
      </c>
      <c r="AO20" s="19">
        <f t="shared" si="34"/>
        <v>0</v>
      </c>
      <c r="AP20" s="19" t="e">
        <f t="shared" si="35"/>
        <v>#DIV/0!</v>
      </c>
      <c r="AQ20" s="19">
        <f t="shared" si="36"/>
        <v>0</v>
      </c>
      <c r="AR20" s="19" t="e">
        <f t="shared" si="37"/>
        <v>#DIV/0!</v>
      </c>
      <c r="AS20" s="19">
        <f t="shared" si="38"/>
        <v>0</v>
      </c>
      <c r="AT20" s="19" t="e">
        <f t="shared" si="39"/>
        <v>#DIV/0!</v>
      </c>
      <c r="AU20" s="19">
        <f t="shared" si="40"/>
        <v>0</v>
      </c>
      <c r="AV20" s="19" t="e">
        <f t="shared" si="41"/>
        <v>#DIV/0!</v>
      </c>
      <c r="AW20" s="19">
        <f t="shared" si="42"/>
        <v>0</v>
      </c>
      <c r="AX20" s="19" t="e">
        <f t="shared" si="43"/>
        <v>#DIV/0!</v>
      </c>
      <c r="AY20" s="19">
        <f t="shared" si="44"/>
        <v>0</v>
      </c>
      <c r="AZ20" s="19" t="e">
        <f t="shared" si="45"/>
        <v>#DIV/0!</v>
      </c>
      <c r="BA20" s="19">
        <f t="shared" si="46"/>
        <v>0</v>
      </c>
      <c r="BB20" s="19" t="e">
        <f t="shared" si="47"/>
        <v>#DIV/0!</v>
      </c>
      <c r="BC20" s="19">
        <f t="shared" si="48"/>
        <v>0</v>
      </c>
      <c r="BD20" s="19" t="e">
        <f t="shared" si="49"/>
        <v>#DIV/0!</v>
      </c>
    </row>
    <row r="21" spans="1:56" ht="25.2" thickBot="1">
      <c r="A21" s="20"/>
      <c r="B21" s="20" t="s">
        <v>17</v>
      </c>
      <c r="C21" s="21">
        <f>SUM(C16:C20)</f>
        <v>27679615.560000002</v>
      </c>
      <c r="D21" s="21">
        <f t="shared" ref="D21:N21" si="50">SUM(D16:D20)</f>
        <v>27794103.019999996</v>
      </c>
      <c r="E21" s="21">
        <f t="shared" si="50"/>
        <v>27912406.759999998</v>
      </c>
      <c r="F21" s="21">
        <f t="shared" si="50"/>
        <v>0</v>
      </c>
      <c r="G21" s="21">
        <f t="shared" si="50"/>
        <v>0</v>
      </c>
      <c r="H21" s="21">
        <f t="shared" si="50"/>
        <v>0</v>
      </c>
      <c r="I21" s="21">
        <f t="shared" si="50"/>
        <v>0</v>
      </c>
      <c r="J21" s="21">
        <f t="shared" si="50"/>
        <v>0</v>
      </c>
      <c r="K21" s="21">
        <f t="shared" si="50"/>
        <v>0</v>
      </c>
      <c r="L21" s="21">
        <f t="shared" si="50"/>
        <v>0</v>
      </c>
      <c r="M21" s="21">
        <f t="shared" si="50"/>
        <v>0</v>
      </c>
      <c r="N21" s="21">
        <f t="shared" si="50"/>
        <v>0</v>
      </c>
      <c r="P21" s="20"/>
      <c r="Q21" s="20" t="s">
        <v>17</v>
      </c>
      <c r="R21" s="21">
        <f>SUM(R16:R20)</f>
        <v>33466112.289999999</v>
      </c>
      <c r="S21" s="21">
        <f t="shared" ref="S21:AC21" si="51">SUM(S16:S20)</f>
        <v>33576798.590000004</v>
      </c>
      <c r="T21" s="21">
        <f t="shared" si="51"/>
        <v>33687484.890000001</v>
      </c>
      <c r="U21" s="21">
        <f t="shared" si="51"/>
        <v>0</v>
      </c>
      <c r="V21" s="21">
        <f t="shared" si="51"/>
        <v>0</v>
      </c>
      <c r="W21" s="21">
        <f t="shared" si="51"/>
        <v>0</v>
      </c>
      <c r="X21" s="21">
        <f t="shared" si="51"/>
        <v>0</v>
      </c>
      <c r="Y21" s="21">
        <f t="shared" si="51"/>
        <v>0</v>
      </c>
      <c r="Z21" s="21">
        <f t="shared" si="51"/>
        <v>0</v>
      </c>
      <c r="AA21" s="21">
        <f t="shared" si="51"/>
        <v>0</v>
      </c>
      <c r="AB21" s="21">
        <f t="shared" si="51"/>
        <v>0</v>
      </c>
      <c r="AC21" s="21">
        <f t="shared" si="51"/>
        <v>0</v>
      </c>
      <c r="AE21" s="20"/>
      <c r="AF21" s="20" t="s">
        <v>17</v>
      </c>
      <c r="AG21" s="23">
        <f t="shared" si="26"/>
        <v>-5786496.7299999967</v>
      </c>
      <c r="AH21" s="23">
        <f t="shared" si="27"/>
        <v>-20.905264083082503</v>
      </c>
      <c r="AI21" s="23">
        <f t="shared" si="28"/>
        <v>-5782695.5700000077</v>
      </c>
      <c r="AJ21" s="23">
        <f t="shared" si="29"/>
        <v>-20.805476492041901</v>
      </c>
      <c r="AK21" s="23">
        <f t="shared" si="30"/>
        <v>-5775078.1300000027</v>
      </c>
      <c r="AL21" s="23">
        <f t="shared" si="31"/>
        <v>-20.690004196542468</v>
      </c>
      <c r="AM21" s="23">
        <f t="shared" si="32"/>
        <v>0</v>
      </c>
      <c r="AN21" s="23" t="e">
        <f t="shared" si="33"/>
        <v>#DIV/0!</v>
      </c>
      <c r="AO21" s="23">
        <f t="shared" si="34"/>
        <v>0</v>
      </c>
      <c r="AP21" s="23" t="e">
        <f t="shared" si="35"/>
        <v>#DIV/0!</v>
      </c>
      <c r="AQ21" s="23">
        <f t="shared" si="36"/>
        <v>0</v>
      </c>
      <c r="AR21" s="23" t="e">
        <f t="shared" si="37"/>
        <v>#DIV/0!</v>
      </c>
      <c r="AS21" s="23">
        <f t="shared" si="38"/>
        <v>0</v>
      </c>
      <c r="AT21" s="23" t="e">
        <f t="shared" si="39"/>
        <v>#DIV/0!</v>
      </c>
      <c r="AU21" s="23">
        <f t="shared" si="40"/>
        <v>0</v>
      </c>
      <c r="AV21" s="23" t="e">
        <f t="shared" si="41"/>
        <v>#DIV/0!</v>
      </c>
      <c r="AW21" s="23">
        <f t="shared" si="42"/>
        <v>0</v>
      </c>
      <c r="AX21" s="23" t="e">
        <f t="shared" si="43"/>
        <v>#DIV/0!</v>
      </c>
      <c r="AY21" s="23">
        <f t="shared" si="44"/>
        <v>0</v>
      </c>
      <c r="AZ21" s="23" t="e">
        <f t="shared" si="45"/>
        <v>#DIV/0!</v>
      </c>
      <c r="BA21" s="23">
        <f t="shared" si="46"/>
        <v>0</v>
      </c>
      <c r="BB21" s="23" t="e">
        <f t="shared" si="47"/>
        <v>#DIV/0!</v>
      </c>
      <c r="BC21" s="23">
        <f t="shared" si="48"/>
        <v>0</v>
      </c>
      <c r="BD21" s="23" t="e">
        <f t="shared" si="49"/>
        <v>#DIV/0!</v>
      </c>
    </row>
    <row r="22" spans="1:56" ht="25.2" thickTop="1"/>
    <row r="23" spans="1:56">
      <c r="A23" s="37" t="s">
        <v>47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P23" s="37" t="s">
        <v>51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E23" s="37" t="s">
        <v>88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</row>
    <row r="24" spans="1:56">
      <c r="A24" s="37" t="s">
        <v>1954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P24" s="37" t="s">
        <v>1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E24" s="37" t="s">
        <v>1</v>
      </c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</row>
    <row r="25" spans="1:56" s="25" customFormat="1">
      <c r="A25" s="35" t="s">
        <v>2</v>
      </c>
      <c r="B25" s="35" t="s">
        <v>3</v>
      </c>
      <c r="C25" s="38" t="s">
        <v>4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P25" s="35" t="s">
        <v>2</v>
      </c>
      <c r="Q25" s="35" t="s">
        <v>3</v>
      </c>
      <c r="R25" s="38" t="s">
        <v>5</v>
      </c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/>
      <c r="AE25" s="35" t="s">
        <v>2</v>
      </c>
      <c r="AF25" s="35" t="s">
        <v>3</v>
      </c>
      <c r="AG25" s="33">
        <v>25112</v>
      </c>
      <c r="AH25" s="34"/>
      <c r="AI25" s="33">
        <v>25143</v>
      </c>
      <c r="AJ25" s="34"/>
      <c r="AK25" s="33">
        <v>25173</v>
      </c>
      <c r="AL25" s="34"/>
      <c r="AM25" s="33">
        <v>25204</v>
      </c>
      <c r="AN25" s="34"/>
      <c r="AO25" s="33">
        <v>25235</v>
      </c>
      <c r="AP25" s="34"/>
      <c r="AQ25" s="33">
        <v>25263</v>
      </c>
      <c r="AR25" s="34"/>
      <c r="AS25" s="33">
        <v>25294</v>
      </c>
      <c r="AT25" s="34"/>
      <c r="AU25" s="33">
        <v>25324</v>
      </c>
      <c r="AV25" s="34"/>
      <c r="AW25" s="33">
        <v>25355</v>
      </c>
      <c r="AX25" s="34"/>
      <c r="AY25" s="33">
        <v>25385</v>
      </c>
      <c r="AZ25" s="34"/>
      <c r="BA25" s="33">
        <v>25416</v>
      </c>
      <c r="BB25" s="34"/>
      <c r="BC25" s="33">
        <v>25447</v>
      </c>
      <c r="BD25" s="34"/>
    </row>
    <row r="26" spans="1:56" s="25" customFormat="1">
      <c r="A26" s="36"/>
      <c r="B26" s="36"/>
      <c r="C26" s="16">
        <v>25112</v>
      </c>
      <c r="D26" s="16">
        <v>25143</v>
      </c>
      <c r="E26" s="16">
        <v>25173</v>
      </c>
      <c r="F26" s="16">
        <v>25204</v>
      </c>
      <c r="G26" s="16">
        <v>25235</v>
      </c>
      <c r="H26" s="16">
        <v>25263</v>
      </c>
      <c r="I26" s="16">
        <v>25294</v>
      </c>
      <c r="J26" s="16">
        <v>25324</v>
      </c>
      <c r="K26" s="16">
        <v>25355</v>
      </c>
      <c r="L26" s="16">
        <v>25385</v>
      </c>
      <c r="M26" s="16">
        <v>25416</v>
      </c>
      <c r="N26" s="16">
        <v>25447</v>
      </c>
      <c r="P26" s="36"/>
      <c r="Q26" s="36"/>
      <c r="R26" s="16">
        <v>25112</v>
      </c>
      <c r="S26" s="16">
        <v>25143</v>
      </c>
      <c r="T26" s="16">
        <v>25173</v>
      </c>
      <c r="U26" s="16">
        <v>25204</v>
      </c>
      <c r="V26" s="16">
        <v>25235</v>
      </c>
      <c r="W26" s="16">
        <v>25263</v>
      </c>
      <c r="X26" s="16">
        <v>25294</v>
      </c>
      <c r="Y26" s="16">
        <v>25324</v>
      </c>
      <c r="Z26" s="16">
        <v>25355</v>
      </c>
      <c r="AA26" s="16">
        <v>25385</v>
      </c>
      <c r="AB26" s="16">
        <v>25416</v>
      </c>
      <c r="AC26" s="16">
        <v>25447</v>
      </c>
      <c r="AE26" s="36"/>
      <c r="AF26" s="36"/>
      <c r="AG26" s="16" t="s">
        <v>85</v>
      </c>
      <c r="AH26" s="16" t="s">
        <v>86</v>
      </c>
      <c r="AI26" s="16" t="s">
        <v>85</v>
      </c>
      <c r="AJ26" s="16" t="s">
        <v>86</v>
      </c>
      <c r="AK26" s="16" t="s">
        <v>85</v>
      </c>
      <c r="AL26" s="16" t="s">
        <v>86</v>
      </c>
      <c r="AM26" s="16" t="s">
        <v>85</v>
      </c>
      <c r="AN26" s="16" t="s">
        <v>86</v>
      </c>
      <c r="AO26" s="16" t="s">
        <v>85</v>
      </c>
      <c r="AP26" s="16" t="s">
        <v>86</v>
      </c>
      <c r="AQ26" s="16" t="s">
        <v>85</v>
      </c>
      <c r="AR26" s="16" t="s">
        <v>86</v>
      </c>
      <c r="AS26" s="16" t="s">
        <v>85</v>
      </c>
      <c r="AT26" s="16" t="s">
        <v>86</v>
      </c>
      <c r="AU26" s="16" t="s">
        <v>85</v>
      </c>
      <c r="AV26" s="16" t="s">
        <v>86</v>
      </c>
      <c r="AW26" s="16" t="s">
        <v>85</v>
      </c>
      <c r="AX26" s="16" t="s">
        <v>86</v>
      </c>
      <c r="AY26" s="16" t="s">
        <v>85</v>
      </c>
      <c r="AZ26" s="16" t="s">
        <v>86</v>
      </c>
      <c r="BA26" s="16" t="s">
        <v>85</v>
      </c>
      <c r="BB26" s="16" t="s">
        <v>86</v>
      </c>
      <c r="BC26" s="16" t="s">
        <v>85</v>
      </c>
      <c r="BD26" s="16" t="s">
        <v>86</v>
      </c>
    </row>
    <row r="27" spans="1:56">
      <c r="A27" s="17">
        <v>1</v>
      </c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6"/>
      <c r="P27" s="17">
        <v>1</v>
      </c>
      <c r="Q27" s="18" t="s">
        <v>18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E27" s="17">
        <v>1</v>
      </c>
      <c r="AF27" s="18" t="s">
        <v>18</v>
      </c>
      <c r="AG27" s="19">
        <f t="shared" ref="AG27:AG41" si="52">+C27-R27</f>
        <v>0</v>
      </c>
      <c r="AH27" s="19" t="e">
        <f t="shared" ref="AH27:AH41" si="53">+AG27/C27*100</f>
        <v>#DIV/0!</v>
      </c>
      <c r="AI27" s="19">
        <f t="shared" ref="AI27:AI41" si="54">+D27-S27</f>
        <v>0</v>
      </c>
      <c r="AJ27" s="19" t="e">
        <f t="shared" ref="AJ27:AJ41" si="55">+AI27/D27*100</f>
        <v>#DIV/0!</v>
      </c>
      <c r="AK27" s="19">
        <f t="shared" ref="AK27:AK41" si="56">+E27-T27</f>
        <v>0</v>
      </c>
      <c r="AL27" s="19" t="e">
        <f t="shared" ref="AL27:AL41" si="57">+AK27/E27*100</f>
        <v>#DIV/0!</v>
      </c>
      <c r="AM27" s="19">
        <f t="shared" ref="AM27:AM41" si="58">+F27-U27</f>
        <v>0</v>
      </c>
      <c r="AN27" s="19" t="e">
        <f t="shared" ref="AN27:AN41" si="59">+AM27/F27*100</f>
        <v>#DIV/0!</v>
      </c>
      <c r="AO27" s="19">
        <f t="shared" ref="AO27:AO41" si="60">+G27-V27</f>
        <v>0</v>
      </c>
      <c r="AP27" s="19" t="e">
        <f t="shared" ref="AP27:AP41" si="61">+AO27/G27*100</f>
        <v>#DIV/0!</v>
      </c>
      <c r="AQ27" s="19">
        <f t="shared" ref="AQ27:AQ41" si="62">+H27-W27</f>
        <v>0</v>
      </c>
      <c r="AR27" s="19" t="e">
        <f t="shared" ref="AR27:AR41" si="63">+AQ27/H27*100</f>
        <v>#DIV/0!</v>
      </c>
      <c r="AS27" s="19">
        <f t="shared" ref="AS27:AS41" si="64">+I27-X27</f>
        <v>0</v>
      </c>
      <c r="AT27" s="19" t="e">
        <f t="shared" ref="AT27:AT41" si="65">+AS27/I27*100</f>
        <v>#DIV/0!</v>
      </c>
      <c r="AU27" s="19">
        <f t="shared" ref="AU27:AU41" si="66">+J27-Y27</f>
        <v>0</v>
      </c>
      <c r="AV27" s="19" t="e">
        <f t="shared" ref="AV27:AV41" si="67">+AU27/J27*100</f>
        <v>#DIV/0!</v>
      </c>
      <c r="AW27" s="19">
        <f t="shared" ref="AW27:AW41" si="68">+K27-Z27</f>
        <v>0</v>
      </c>
      <c r="AX27" s="19" t="e">
        <f t="shared" ref="AX27:AX41" si="69">+AW27/K27*100</f>
        <v>#DIV/0!</v>
      </c>
      <c r="AY27" s="19">
        <f t="shared" ref="AY27:AY41" si="70">+L27-AA27</f>
        <v>0</v>
      </c>
      <c r="AZ27" s="19" t="e">
        <f t="shared" ref="AZ27:AZ41" si="71">+AY27/L27*100</f>
        <v>#DIV/0!</v>
      </c>
      <c r="BA27" s="19">
        <f t="shared" ref="BA27:BA41" si="72">+M27-AB27</f>
        <v>0</v>
      </c>
      <c r="BB27" s="19" t="e">
        <f t="shared" ref="BB27:BB41" si="73">+BA27/M27*100</f>
        <v>#DIV/0!</v>
      </c>
      <c r="BC27" s="19">
        <f t="shared" ref="BC27:BC41" si="74">+N27-AC27</f>
        <v>0</v>
      </c>
      <c r="BD27" s="19" t="e">
        <f t="shared" ref="BD27:BD41" si="75">+BC27/N27*100</f>
        <v>#DIV/0!</v>
      </c>
    </row>
    <row r="28" spans="1:56">
      <c r="A28" s="17">
        <v>2</v>
      </c>
      <c r="B28" s="18" t="s">
        <v>20</v>
      </c>
      <c r="C28" s="19">
        <v>2430400</v>
      </c>
      <c r="D28" s="19">
        <v>2430400</v>
      </c>
      <c r="E28" s="19">
        <v>2430400</v>
      </c>
      <c r="F28" s="19"/>
      <c r="G28" s="19"/>
      <c r="H28" s="19"/>
      <c r="I28" s="19"/>
      <c r="J28" s="19"/>
      <c r="K28" s="19"/>
      <c r="L28" s="19"/>
      <c r="M28" s="19"/>
      <c r="N28" s="19"/>
      <c r="O28" s="26"/>
      <c r="P28" s="17">
        <v>2</v>
      </c>
      <c r="Q28" s="18" t="s">
        <v>20</v>
      </c>
      <c r="R28" s="19">
        <v>5925950</v>
      </c>
      <c r="S28" s="19">
        <v>5925950</v>
      </c>
      <c r="T28" s="19">
        <v>5925950</v>
      </c>
      <c r="U28" s="19"/>
      <c r="V28" s="19"/>
      <c r="W28" s="19"/>
      <c r="X28" s="19"/>
      <c r="Y28" s="19"/>
      <c r="Z28" s="19"/>
      <c r="AA28" s="19"/>
      <c r="AB28" s="19"/>
      <c r="AC28" s="19"/>
      <c r="AE28" s="17">
        <v>2</v>
      </c>
      <c r="AF28" s="18" t="s">
        <v>20</v>
      </c>
      <c r="AG28" s="19">
        <f t="shared" si="52"/>
        <v>-3495550</v>
      </c>
      <c r="AH28" s="19">
        <f t="shared" si="53"/>
        <v>-143.82611915734037</v>
      </c>
      <c r="AI28" s="19">
        <f t="shared" si="54"/>
        <v>-3495550</v>
      </c>
      <c r="AJ28" s="19">
        <f t="shared" si="55"/>
        <v>-143.82611915734037</v>
      </c>
      <c r="AK28" s="19">
        <f t="shared" si="56"/>
        <v>-3495550</v>
      </c>
      <c r="AL28" s="19">
        <f t="shared" si="57"/>
        <v>-143.82611915734037</v>
      </c>
      <c r="AM28" s="19">
        <f t="shared" si="58"/>
        <v>0</v>
      </c>
      <c r="AN28" s="19" t="e">
        <f t="shared" si="59"/>
        <v>#DIV/0!</v>
      </c>
      <c r="AO28" s="19">
        <f t="shared" si="60"/>
        <v>0</v>
      </c>
      <c r="AP28" s="19" t="e">
        <f t="shared" si="61"/>
        <v>#DIV/0!</v>
      </c>
      <c r="AQ28" s="19">
        <f t="shared" si="62"/>
        <v>0</v>
      </c>
      <c r="AR28" s="19" t="e">
        <f t="shared" si="63"/>
        <v>#DIV/0!</v>
      </c>
      <c r="AS28" s="19">
        <f t="shared" si="64"/>
        <v>0</v>
      </c>
      <c r="AT28" s="19" t="e">
        <f t="shared" si="65"/>
        <v>#DIV/0!</v>
      </c>
      <c r="AU28" s="19">
        <f t="shared" si="66"/>
        <v>0</v>
      </c>
      <c r="AV28" s="19" t="e">
        <f t="shared" si="67"/>
        <v>#DIV/0!</v>
      </c>
      <c r="AW28" s="19">
        <f t="shared" si="68"/>
        <v>0</v>
      </c>
      <c r="AX28" s="19" t="e">
        <f t="shared" si="69"/>
        <v>#DIV/0!</v>
      </c>
      <c r="AY28" s="19">
        <f t="shared" si="70"/>
        <v>0</v>
      </c>
      <c r="AZ28" s="19" t="e">
        <f t="shared" si="71"/>
        <v>#DIV/0!</v>
      </c>
      <c r="BA28" s="19">
        <f t="shared" si="72"/>
        <v>0</v>
      </c>
      <c r="BB28" s="19" t="e">
        <f t="shared" si="73"/>
        <v>#DIV/0!</v>
      </c>
      <c r="BC28" s="19">
        <f t="shared" si="74"/>
        <v>0</v>
      </c>
      <c r="BD28" s="19" t="e">
        <f t="shared" si="75"/>
        <v>#DIV/0!</v>
      </c>
    </row>
    <row r="29" spans="1:56">
      <c r="A29" s="17">
        <v>3</v>
      </c>
      <c r="B29" s="18" t="s">
        <v>22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26"/>
      <c r="P29" s="17">
        <v>3</v>
      </c>
      <c r="Q29" s="18" t="s">
        <v>22</v>
      </c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E29" s="17">
        <v>3</v>
      </c>
      <c r="AF29" s="18" t="s">
        <v>22</v>
      </c>
      <c r="AG29" s="19">
        <f t="shared" si="52"/>
        <v>0</v>
      </c>
      <c r="AH29" s="19" t="e">
        <f t="shared" si="53"/>
        <v>#DIV/0!</v>
      </c>
      <c r="AI29" s="19">
        <f t="shared" si="54"/>
        <v>0</v>
      </c>
      <c r="AJ29" s="19" t="e">
        <f t="shared" si="55"/>
        <v>#DIV/0!</v>
      </c>
      <c r="AK29" s="19">
        <f t="shared" si="56"/>
        <v>0</v>
      </c>
      <c r="AL29" s="19" t="e">
        <f t="shared" si="57"/>
        <v>#DIV/0!</v>
      </c>
      <c r="AM29" s="19">
        <f t="shared" si="58"/>
        <v>0</v>
      </c>
      <c r="AN29" s="19" t="e">
        <f t="shared" si="59"/>
        <v>#DIV/0!</v>
      </c>
      <c r="AO29" s="19">
        <f t="shared" si="60"/>
        <v>0</v>
      </c>
      <c r="AP29" s="19" t="e">
        <f t="shared" si="61"/>
        <v>#DIV/0!</v>
      </c>
      <c r="AQ29" s="19">
        <f t="shared" si="62"/>
        <v>0</v>
      </c>
      <c r="AR29" s="19" t="e">
        <f t="shared" si="63"/>
        <v>#DIV/0!</v>
      </c>
      <c r="AS29" s="19">
        <f t="shared" si="64"/>
        <v>0</v>
      </c>
      <c r="AT29" s="19" t="e">
        <f t="shared" si="65"/>
        <v>#DIV/0!</v>
      </c>
      <c r="AU29" s="19">
        <f t="shared" si="66"/>
        <v>0</v>
      </c>
      <c r="AV29" s="19" t="e">
        <f t="shared" si="67"/>
        <v>#DIV/0!</v>
      </c>
      <c r="AW29" s="19">
        <f t="shared" si="68"/>
        <v>0</v>
      </c>
      <c r="AX29" s="19" t="e">
        <f t="shared" si="69"/>
        <v>#DIV/0!</v>
      </c>
      <c r="AY29" s="19">
        <f t="shared" si="70"/>
        <v>0</v>
      </c>
      <c r="AZ29" s="19" t="e">
        <f t="shared" si="71"/>
        <v>#DIV/0!</v>
      </c>
      <c r="BA29" s="19">
        <f t="shared" si="72"/>
        <v>0</v>
      </c>
      <c r="BB29" s="19" t="e">
        <f t="shared" si="73"/>
        <v>#DIV/0!</v>
      </c>
      <c r="BC29" s="19">
        <f t="shared" si="74"/>
        <v>0</v>
      </c>
      <c r="BD29" s="19" t="e">
        <f t="shared" si="75"/>
        <v>#DIV/0!</v>
      </c>
    </row>
    <row r="30" spans="1:56">
      <c r="A30" s="17">
        <v>4</v>
      </c>
      <c r="B30" s="18" t="s">
        <v>24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6"/>
      <c r="P30" s="17">
        <v>4</v>
      </c>
      <c r="Q30" s="18" t="s">
        <v>24</v>
      </c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E30" s="17">
        <v>4</v>
      </c>
      <c r="AF30" s="18" t="s">
        <v>24</v>
      </c>
      <c r="AG30" s="19">
        <f t="shared" si="52"/>
        <v>0</v>
      </c>
      <c r="AH30" s="19" t="e">
        <f t="shared" si="53"/>
        <v>#DIV/0!</v>
      </c>
      <c r="AI30" s="19">
        <f t="shared" si="54"/>
        <v>0</v>
      </c>
      <c r="AJ30" s="19" t="e">
        <f t="shared" si="55"/>
        <v>#DIV/0!</v>
      </c>
      <c r="AK30" s="19">
        <f t="shared" si="56"/>
        <v>0</v>
      </c>
      <c r="AL30" s="19" t="e">
        <f t="shared" si="57"/>
        <v>#DIV/0!</v>
      </c>
      <c r="AM30" s="19">
        <f t="shared" si="58"/>
        <v>0</v>
      </c>
      <c r="AN30" s="19" t="e">
        <f t="shared" si="59"/>
        <v>#DIV/0!</v>
      </c>
      <c r="AO30" s="19">
        <f t="shared" si="60"/>
        <v>0</v>
      </c>
      <c r="AP30" s="19" t="e">
        <f t="shared" si="61"/>
        <v>#DIV/0!</v>
      </c>
      <c r="AQ30" s="19">
        <f t="shared" si="62"/>
        <v>0</v>
      </c>
      <c r="AR30" s="19" t="e">
        <f t="shared" si="63"/>
        <v>#DIV/0!</v>
      </c>
      <c r="AS30" s="19">
        <f t="shared" si="64"/>
        <v>0</v>
      </c>
      <c r="AT30" s="19" t="e">
        <f t="shared" si="65"/>
        <v>#DIV/0!</v>
      </c>
      <c r="AU30" s="19">
        <f t="shared" si="66"/>
        <v>0</v>
      </c>
      <c r="AV30" s="19" t="e">
        <f t="shared" si="67"/>
        <v>#DIV/0!</v>
      </c>
      <c r="AW30" s="19">
        <f t="shared" si="68"/>
        <v>0</v>
      </c>
      <c r="AX30" s="19" t="e">
        <f t="shared" si="69"/>
        <v>#DIV/0!</v>
      </c>
      <c r="AY30" s="19">
        <f t="shared" si="70"/>
        <v>0</v>
      </c>
      <c r="AZ30" s="19" t="e">
        <f t="shared" si="71"/>
        <v>#DIV/0!</v>
      </c>
      <c r="BA30" s="19">
        <f t="shared" si="72"/>
        <v>0</v>
      </c>
      <c r="BB30" s="19" t="e">
        <f t="shared" si="73"/>
        <v>#DIV/0!</v>
      </c>
      <c r="BC30" s="19">
        <f t="shared" si="74"/>
        <v>0</v>
      </c>
      <c r="BD30" s="19" t="e">
        <f t="shared" si="75"/>
        <v>#DIV/0!</v>
      </c>
    </row>
    <row r="31" spans="1:56">
      <c r="A31" s="17">
        <v>5</v>
      </c>
      <c r="B31" s="18" t="s">
        <v>26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6"/>
      <c r="P31" s="17">
        <v>5</v>
      </c>
      <c r="Q31" s="18" t="s">
        <v>26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E31" s="17">
        <v>5</v>
      </c>
      <c r="AF31" s="18" t="s">
        <v>26</v>
      </c>
      <c r="AG31" s="19">
        <f t="shared" si="52"/>
        <v>0</v>
      </c>
      <c r="AH31" s="19" t="e">
        <f t="shared" si="53"/>
        <v>#DIV/0!</v>
      </c>
      <c r="AI31" s="19">
        <f t="shared" si="54"/>
        <v>0</v>
      </c>
      <c r="AJ31" s="19" t="e">
        <f t="shared" si="55"/>
        <v>#DIV/0!</v>
      </c>
      <c r="AK31" s="19">
        <f t="shared" si="56"/>
        <v>0</v>
      </c>
      <c r="AL31" s="19" t="e">
        <f t="shared" si="57"/>
        <v>#DIV/0!</v>
      </c>
      <c r="AM31" s="19">
        <f t="shared" si="58"/>
        <v>0</v>
      </c>
      <c r="AN31" s="19" t="e">
        <f t="shared" si="59"/>
        <v>#DIV/0!</v>
      </c>
      <c r="AO31" s="19">
        <f t="shared" si="60"/>
        <v>0</v>
      </c>
      <c r="AP31" s="19" t="e">
        <f t="shared" si="61"/>
        <v>#DIV/0!</v>
      </c>
      <c r="AQ31" s="19">
        <f t="shared" si="62"/>
        <v>0</v>
      </c>
      <c r="AR31" s="19" t="e">
        <f t="shared" si="63"/>
        <v>#DIV/0!</v>
      </c>
      <c r="AS31" s="19">
        <f t="shared" si="64"/>
        <v>0</v>
      </c>
      <c r="AT31" s="19" t="e">
        <f t="shared" si="65"/>
        <v>#DIV/0!</v>
      </c>
      <c r="AU31" s="19">
        <f t="shared" si="66"/>
        <v>0</v>
      </c>
      <c r="AV31" s="19" t="e">
        <f t="shared" si="67"/>
        <v>#DIV/0!</v>
      </c>
      <c r="AW31" s="19">
        <f t="shared" si="68"/>
        <v>0</v>
      </c>
      <c r="AX31" s="19" t="e">
        <f t="shared" si="69"/>
        <v>#DIV/0!</v>
      </c>
      <c r="AY31" s="19">
        <f t="shared" si="70"/>
        <v>0</v>
      </c>
      <c r="AZ31" s="19" t="e">
        <f t="shared" si="71"/>
        <v>#DIV/0!</v>
      </c>
      <c r="BA31" s="19">
        <f t="shared" si="72"/>
        <v>0</v>
      </c>
      <c r="BB31" s="19" t="e">
        <f t="shared" si="73"/>
        <v>#DIV/0!</v>
      </c>
      <c r="BC31" s="19">
        <f t="shared" si="74"/>
        <v>0</v>
      </c>
      <c r="BD31" s="19" t="e">
        <f t="shared" si="75"/>
        <v>#DIV/0!</v>
      </c>
    </row>
    <row r="32" spans="1:56">
      <c r="A32" s="17">
        <v>6</v>
      </c>
      <c r="B32" s="18" t="s">
        <v>28</v>
      </c>
      <c r="C32" s="19">
        <v>10904683</v>
      </c>
      <c r="D32" s="19">
        <v>10904683</v>
      </c>
      <c r="E32" s="19">
        <v>11104683</v>
      </c>
      <c r="F32" s="19"/>
      <c r="G32" s="19"/>
      <c r="H32" s="19"/>
      <c r="I32" s="19"/>
      <c r="J32" s="19"/>
      <c r="K32" s="19"/>
      <c r="L32" s="19"/>
      <c r="M32" s="19"/>
      <c r="N32" s="19"/>
      <c r="O32" s="26"/>
      <c r="P32" s="17">
        <v>6</v>
      </c>
      <c r="Q32" s="18" t="s">
        <v>28</v>
      </c>
      <c r="R32" s="19">
        <v>10904683</v>
      </c>
      <c r="S32" s="19">
        <v>10904683</v>
      </c>
      <c r="T32" s="19">
        <v>11104683</v>
      </c>
      <c r="U32" s="19"/>
      <c r="V32" s="19"/>
      <c r="W32" s="19"/>
      <c r="X32" s="19"/>
      <c r="Y32" s="19"/>
      <c r="Z32" s="19"/>
      <c r="AA32" s="19"/>
      <c r="AB32" s="19"/>
      <c r="AC32" s="19"/>
      <c r="AE32" s="17">
        <v>6</v>
      </c>
      <c r="AF32" s="18" t="s">
        <v>28</v>
      </c>
      <c r="AG32" s="19">
        <f t="shared" si="52"/>
        <v>0</v>
      </c>
      <c r="AH32" s="19">
        <f t="shared" si="53"/>
        <v>0</v>
      </c>
      <c r="AI32" s="19">
        <f t="shared" si="54"/>
        <v>0</v>
      </c>
      <c r="AJ32" s="19">
        <f t="shared" si="55"/>
        <v>0</v>
      </c>
      <c r="AK32" s="19">
        <f t="shared" si="56"/>
        <v>0</v>
      </c>
      <c r="AL32" s="19">
        <f t="shared" si="57"/>
        <v>0</v>
      </c>
      <c r="AM32" s="19">
        <f t="shared" si="58"/>
        <v>0</v>
      </c>
      <c r="AN32" s="19" t="e">
        <f t="shared" si="59"/>
        <v>#DIV/0!</v>
      </c>
      <c r="AO32" s="19">
        <f t="shared" si="60"/>
        <v>0</v>
      </c>
      <c r="AP32" s="19" t="e">
        <f t="shared" si="61"/>
        <v>#DIV/0!</v>
      </c>
      <c r="AQ32" s="19">
        <f t="shared" si="62"/>
        <v>0</v>
      </c>
      <c r="AR32" s="19" t="e">
        <f t="shared" si="63"/>
        <v>#DIV/0!</v>
      </c>
      <c r="AS32" s="19">
        <f t="shared" si="64"/>
        <v>0</v>
      </c>
      <c r="AT32" s="19" t="e">
        <f t="shared" si="65"/>
        <v>#DIV/0!</v>
      </c>
      <c r="AU32" s="19">
        <f t="shared" si="66"/>
        <v>0</v>
      </c>
      <c r="AV32" s="19" t="e">
        <f t="shared" si="67"/>
        <v>#DIV/0!</v>
      </c>
      <c r="AW32" s="19">
        <f t="shared" si="68"/>
        <v>0</v>
      </c>
      <c r="AX32" s="19" t="e">
        <f t="shared" si="69"/>
        <v>#DIV/0!</v>
      </c>
      <c r="AY32" s="19">
        <f t="shared" si="70"/>
        <v>0</v>
      </c>
      <c r="AZ32" s="19" t="e">
        <f t="shared" si="71"/>
        <v>#DIV/0!</v>
      </c>
      <c r="BA32" s="19">
        <f t="shared" si="72"/>
        <v>0</v>
      </c>
      <c r="BB32" s="19" t="e">
        <f t="shared" si="73"/>
        <v>#DIV/0!</v>
      </c>
      <c r="BC32" s="19">
        <f t="shared" si="74"/>
        <v>0</v>
      </c>
      <c r="BD32" s="19" t="e">
        <f t="shared" si="75"/>
        <v>#DIV/0!</v>
      </c>
    </row>
    <row r="33" spans="1:56">
      <c r="A33" s="17">
        <v>7</v>
      </c>
      <c r="B33" s="18" t="s">
        <v>30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6"/>
      <c r="P33" s="17">
        <v>7</v>
      </c>
      <c r="Q33" s="18" t="s">
        <v>30</v>
      </c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E33" s="17">
        <v>7</v>
      </c>
      <c r="AF33" s="18" t="s">
        <v>30</v>
      </c>
      <c r="AG33" s="19">
        <f t="shared" si="52"/>
        <v>0</v>
      </c>
      <c r="AH33" s="19" t="e">
        <f t="shared" si="53"/>
        <v>#DIV/0!</v>
      </c>
      <c r="AI33" s="19">
        <f t="shared" si="54"/>
        <v>0</v>
      </c>
      <c r="AJ33" s="19" t="e">
        <f t="shared" si="55"/>
        <v>#DIV/0!</v>
      </c>
      <c r="AK33" s="19">
        <f t="shared" si="56"/>
        <v>0</v>
      </c>
      <c r="AL33" s="19" t="e">
        <f t="shared" si="57"/>
        <v>#DIV/0!</v>
      </c>
      <c r="AM33" s="19">
        <f t="shared" si="58"/>
        <v>0</v>
      </c>
      <c r="AN33" s="19" t="e">
        <f t="shared" si="59"/>
        <v>#DIV/0!</v>
      </c>
      <c r="AO33" s="19">
        <f t="shared" si="60"/>
        <v>0</v>
      </c>
      <c r="AP33" s="19" t="e">
        <f t="shared" si="61"/>
        <v>#DIV/0!</v>
      </c>
      <c r="AQ33" s="19">
        <f t="shared" si="62"/>
        <v>0</v>
      </c>
      <c r="AR33" s="19" t="e">
        <f t="shared" si="63"/>
        <v>#DIV/0!</v>
      </c>
      <c r="AS33" s="19">
        <f t="shared" si="64"/>
        <v>0</v>
      </c>
      <c r="AT33" s="19" t="e">
        <f t="shared" si="65"/>
        <v>#DIV/0!</v>
      </c>
      <c r="AU33" s="19">
        <f t="shared" si="66"/>
        <v>0</v>
      </c>
      <c r="AV33" s="19" t="e">
        <f t="shared" si="67"/>
        <v>#DIV/0!</v>
      </c>
      <c r="AW33" s="19">
        <f t="shared" si="68"/>
        <v>0</v>
      </c>
      <c r="AX33" s="19" t="e">
        <f t="shared" si="69"/>
        <v>#DIV/0!</v>
      </c>
      <c r="AY33" s="19">
        <f t="shared" si="70"/>
        <v>0</v>
      </c>
      <c r="AZ33" s="19" t="e">
        <f t="shared" si="71"/>
        <v>#DIV/0!</v>
      </c>
      <c r="BA33" s="19">
        <f t="shared" si="72"/>
        <v>0</v>
      </c>
      <c r="BB33" s="19" t="e">
        <f t="shared" si="73"/>
        <v>#DIV/0!</v>
      </c>
      <c r="BC33" s="19">
        <f t="shared" si="74"/>
        <v>0</v>
      </c>
      <c r="BD33" s="19" t="e">
        <f t="shared" si="75"/>
        <v>#DIV/0!</v>
      </c>
    </row>
    <row r="34" spans="1:56">
      <c r="A34" s="17">
        <v>8</v>
      </c>
      <c r="B34" s="18" t="s">
        <v>32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6"/>
      <c r="P34" s="17">
        <v>8</v>
      </c>
      <c r="Q34" s="18" t="s">
        <v>32</v>
      </c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E34" s="17">
        <v>8</v>
      </c>
      <c r="AF34" s="18" t="s">
        <v>32</v>
      </c>
      <c r="AG34" s="19">
        <f t="shared" si="52"/>
        <v>0</v>
      </c>
      <c r="AH34" s="19" t="e">
        <f t="shared" si="53"/>
        <v>#DIV/0!</v>
      </c>
      <c r="AI34" s="19">
        <f t="shared" si="54"/>
        <v>0</v>
      </c>
      <c r="AJ34" s="19" t="e">
        <f t="shared" si="55"/>
        <v>#DIV/0!</v>
      </c>
      <c r="AK34" s="19">
        <f t="shared" si="56"/>
        <v>0</v>
      </c>
      <c r="AL34" s="19" t="e">
        <f t="shared" si="57"/>
        <v>#DIV/0!</v>
      </c>
      <c r="AM34" s="19">
        <f t="shared" si="58"/>
        <v>0</v>
      </c>
      <c r="AN34" s="19" t="e">
        <f t="shared" si="59"/>
        <v>#DIV/0!</v>
      </c>
      <c r="AO34" s="19">
        <f t="shared" si="60"/>
        <v>0</v>
      </c>
      <c r="AP34" s="19" t="e">
        <f t="shared" si="61"/>
        <v>#DIV/0!</v>
      </c>
      <c r="AQ34" s="19">
        <f t="shared" si="62"/>
        <v>0</v>
      </c>
      <c r="AR34" s="19" t="e">
        <f t="shared" si="63"/>
        <v>#DIV/0!</v>
      </c>
      <c r="AS34" s="19">
        <f t="shared" si="64"/>
        <v>0</v>
      </c>
      <c r="AT34" s="19" t="e">
        <f t="shared" si="65"/>
        <v>#DIV/0!</v>
      </c>
      <c r="AU34" s="19">
        <f t="shared" si="66"/>
        <v>0</v>
      </c>
      <c r="AV34" s="19" t="e">
        <f t="shared" si="67"/>
        <v>#DIV/0!</v>
      </c>
      <c r="AW34" s="19">
        <f t="shared" si="68"/>
        <v>0</v>
      </c>
      <c r="AX34" s="19" t="e">
        <f t="shared" si="69"/>
        <v>#DIV/0!</v>
      </c>
      <c r="AY34" s="19">
        <f t="shared" si="70"/>
        <v>0</v>
      </c>
      <c r="AZ34" s="19" t="e">
        <f t="shared" si="71"/>
        <v>#DIV/0!</v>
      </c>
      <c r="BA34" s="19">
        <f t="shared" si="72"/>
        <v>0</v>
      </c>
      <c r="BB34" s="19" t="e">
        <f t="shared" si="73"/>
        <v>#DIV/0!</v>
      </c>
      <c r="BC34" s="19">
        <f t="shared" si="74"/>
        <v>0</v>
      </c>
      <c r="BD34" s="19" t="e">
        <f t="shared" si="75"/>
        <v>#DIV/0!</v>
      </c>
    </row>
    <row r="35" spans="1:56">
      <c r="A35" s="17">
        <v>9</v>
      </c>
      <c r="B35" s="18" t="s">
        <v>34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6"/>
      <c r="P35" s="17">
        <v>9</v>
      </c>
      <c r="Q35" s="18" t="s">
        <v>34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E35" s="17">
        <v>9</v>
      </c>
      <c r="AF35" s="18" t="s">
        <v>34</v>
      </c>
      <c r="AG35" s="19">
        <f t="shared" si="52"/>
        <v>0</v>
      </c>
      <c r="AH35" s="19" t="e">
        <f t="shared" si="53"/>
        <v>#DIV/0!</v>
      </c>
      <c r="AI35" s="19">
        <f t="shared" si="54"/>
        <v>0</v>
      </c>
      <c r="AJ35" s="19" t="e">
        <f t="shared" si="55"/>
        <v>#DIV/0!</v>
      </c>
      <c r="AK35" s="19">
        <f t="shared" si="56"/>
        <v>0</v>
      </c>
      <c r="AL35" s="19" t="e">
        <f t="shared" si="57"/>
        <v>#DIV/0!</v>
      </c>
      <c r="AM35" s="19">
        <f t="shared" si="58"/>
        <v>0</v>
      </c>
      <c r="AN35" s="19" t="e">
        <f t="shared" si="59"/>
        <v>#DIV/0!</v>
      </c>
      <c r="AO35" s="19">
        <f t="shared" si="60"/>
        <v>0</v>
      </c>
      <c r="AP35" s="19" t="e">
        <f t="shared" si="61"/>
        <v>#DIV/0!</v>
      </c>
      <c r="AQ35" s="19">
        <f t="shared" si="62"/>
        <v>0</v>
      </c>
      <c r="AR35" s="19" t="e">
        <f t="shared" si="63"/>
        <v>#DIV/0!</v>
      </c>
      <c r="AS35" s="19">
        <f t="shared" si="64"/>
        <v>0</v>
      </c>
      <c r="AT35" s="19" t="e">
        <f t="shared" si="65"/>
        <v>#DIV/0!</v>
      </c>
      <c r="AU35" s="19">
        <f t="shared" si="66"/>
        <v>0</v>
      </c>
      <c r="AV35" s="19" t="e">
        <f t="shared" si="67"/>
        <v>#DIV/0!</v>
      </c>
      <c r="AW35" s="19">
        <f t="shared" si="68"/>
        <v>0</v>
      </c>
      <c r="AX35" s="19" t="e">
        <f t="shared" si="69"/>
        <v>#DIV/0!</v>
      </c>
      <c r="AY35" s="19">
        <f t="shared" si="70"/>
        <v>0</v>
      </c>
      <c r="AZ35" s="19" t="e">
        <f t="shared" si="71"/>
        <v>#DIV/0!</v>
      </c>
      <c r="BA35" s="19">
        <f t="shared" si="72"/>
        <v>0</v>
      </c>
      <c r="BB35" s="19" t="e">
        <f t="shared" si="73"/>
        <v>#DIV/0!</v>
      </c>
      <c r="BC35" s="19">
        <f t="shared" si="74"/>
        <v>0</v>
      </c>
      <c r="BD35" s="19" t="e">
        <f t="shared" si="75"/>
        <v>#DIV/0!</v>
      </c>
    </row>
    <row r="36" spans="1:56">
      <c r="A36" s="17">
        <v>10</v>
      </c>
      <c r="B36" s="18" t="s">
        <v>36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6"/>
      <c r="P36" s="17">
        <v>10</v>
      </c>
      <c r="Q36" s="18" t="s">
        <v>36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E36" s="17">
        <v>10</v>
      </c>
      <c r="AF36" s="18" t="s">
        <v>36</v>
      </c>
      <c r="AG36" s="19">
        <f t="shared" si="52"/>
        <v>0</v>
      </c>
      <c r="AH36" s="19" t="e">
        <f t="shared" si="53"/>
        <v>#DIV/0!</v>
      </c>
      <c r="AI36" s="19">
        <f t="shared" si="54"/>
        <v>0</v>
      </c>
      <c r="AJ36" s="19" t="e">
        <f t="shared" si="55"/>
        <v>#DIV/0!</v>
      </c>
      <c r="AK36" s="19">
        <f t="shared" si="56"/>
        <v>0</v>
      </c>
      <c r="AL36" s="19" t="e">
        <f t="shared" si="57"/>
        <v>#DIV/0!</v>
      </c>
      <c r="AM36" s="19">
        <f t="shared" si="58"/>
        <v>0</v>
      </c>
      <c r="AN36" s="19" t="e">
        <f t="shared" si="59"/>
        <v>#DIV/0!</v>
      </c>
      <c r="AO36" s="19">
        <f t="shared" si="60"/>
        <v>0</v>
      </c>
      <c r="AP36" s="19" t="e">
        <f t="shared" si="61"/>
        <v>#DIV/0!</v>
      </c>
      <c r="AQ36" s="19">
        <f t="shared" si="62"/>
        <v>0</v>
      </c>
      <c r="AR36" s="19" t="e">
        <f t="shared" si="63"/>
        <v>#DIV/0!</v>
      </c>
      <c r="AS36" s="19">
        <f t="shared" si="64"/>
        <v>0</v>
      </c>
      <c r="AT36" s="19" t="e">
        <f t="shared" si="65"/>
        <v>#DIV/0!</v>
      </c>
      <c r="AU36" s="19">
        <f t="shared" si="66"/>
        <v>0</v>
      </c>
      <c r="AV36" s="19" t="e">
        <f t="shared" si="67"/>
        <v>#DIV/0!</v>
      </c>
      <c r="AW36" s="19">
        <f t="shared" si="68"/>
        <v>0</v>
      </c>
      <c r="AX36" s="19" t="e">
        <f t="shared" si="69"/>
        <v>#DIV/0!</v>
      </c>
      <c r="AY36" s="19">
        <f t="shared" si="70"/>
        <v>0</v>
      </c>
      <c r="AZ36" s="19" t="e">
        <f t="shared" si="71"/>
        <v>#DIV/0!</v>
      </c>
      <c r="BA36" s="19">
        <f t="shared" si="72"/>
        <v>0</v>
      </c>
      <c r="BB36" s="19" t="e">
        <f t="shared" si="73"/>
        <v>#DIV/0!</v>
      </c>
      <c r="BC36" s="19">
        <f t="shared" si="74"/>
        <v>0</v>
      </c>
      <c r="BD36" s="19" t="e">
        <f t="shared" si="75"/>
        <v>#DIV/0!</v>
      </c>
    </row>
    <row r="37" spans="1:56">
      <c r="A37" s="17">
        <v>11</v>
      </c>
      <c r="B37" s="18" t="s">
        <v>38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6"/>
      <c r="P37" s="17">
        <v>11</v>
      </c>
      <c r="Q37" s="18" t="s">
        <v>38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E37" s="17">
        <v>11</v>
      </c>
      <c r="AF37" s="18" t="s">
        <v>38</v>
      </c>
      <c r="AG37" s="19">
        <f t="shared" si="52"/>
        <v>0</v>
      </c>
      <c r="AH37" s="19" t="e">
        <f t="shared" si="53"/>
        <v>#DIV/0!</v>
      </c>
      <c r="AI37" s="19">
        <f t="shared" si="54"/>
        <v>0</v>
      </c>
      <c r="AJ37" s="19" t="e">
        <f t="shared" si="55"/>
        <v>#DIV/0!</v>
      </c>
      <c r="AK37" s="19">
        <f t="shared" si="56"/>
        <v>0</v>
      </c>
      <c r="AL37" s="19" t="e">
        <f t="shared" si="57"/>
        <v>#DIV/0!</v>
      </c>
      <c r="AM37" s="19">
        <f t="shared" si="58"/>
        <v>0</v>
      </c>
      <c r="AN37" s="19" t="e">
        <f t="shared" si="59"/>
        <v>#DIV/0!</v>
      </c>
      <c r="AO37" s="19">
        <f t="shared" si="60"/>
        <v>0</v>
      </c>
      <c r="AP37" s="19" t="e">
        <f t="shared" si="61"/>
        <v>#DIV/0!</v>
      </c>
      <c r="AQ37" s="19">
        <f t="shared" si="62"/>
        <v>0</v>
      </c>
      <c r="AR37" s="19" t="e">
        <f t="shared" si="63"/>
        <v>#DIV/0!</v>
      </c>
      <c r="AS37" s="19">
        <f t="shared" si="64"/>
        <v>0</v>
      </c>
      <c r="AT37" s="19" t="e">
        <f t="shared" si="65"/>
        <v>#DIV/0!</v>
      </c>
      <c r="AU37" s="19">
        <f t="shared" si="66"/>
        <v>0</v>
      </c>
      <c r="AV37" s="19" t="e">
        <f t="shared" si="67"/>
        <v>#DIV/0!</v>
      </c>
      <c r="AW37" s="19">
        <f t="shared" si="68"/>
        <v>0</v>
      </c>
      <c r="AX37" s="19" t="e">
        <f t="shared" si="69"/>
        <v>#DIV/0!</v>
      </c>
      <c r="AY37" s="19">
        <f t="shared" si="70"/>
        <v>0</v>
      </c>
      <c r="AZ37" s="19" t="e">
        <f t="shared" si="71"/>
        <v>#DIV/0!</v>
      </c>
      <c r="BA37" s="19">
        <f t="shared" si="72"/>
        <v>0</v>
      </c>
      <c r="BB37" s="19" t="e">
        <f t="shared" si="73"/>
        <v>#DIV/0!</v>
      </c>
      <c r="BC37" s="19">
        <f t="shared" si="74"/>
        <v>0</v>
      </c>
      <c r="BD37" s="19" t="e">
        <f t="shared" si="75"/>
        <v>#DIV/0!</v>
      </c>
    </row>
    <row r="38" spans="1:56">
      <c r="A38" s="17">
        <v>12</v>
      </c>
      <c r="B38" s="18" t="s">
        <v>40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6"/>
      <c r="P38" s="17">
        <v>12</v>
      </c>
      <c r="Q38" s="18" t="s">
        <v>40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E38" s="17">
        <v>12</v>
      </c>
      <c r="AF38" s="18" t="s">
        <v>40</v>
      </c>
      <c r="AG38" s="19">
        <f t="shared" si="52"/>
        <v>0</v>
      </c>
      <c r="AH38" s="19" t="e">
        <f t="shared" si="53"/>
        <v>#DIV/0!</v>
      </c>
      <c r="AI38" s="19">
        <f t="shared" si="54"/>
        <v>0</v>
      </c>
      <c r="AJ38" s="19" t="e">
        <f t="shared" si="55"/>
        <v>#DIV/0!</v>
      </c>
      <c r="AK38" s="19">
        <f t="shared" si="56"/>
        <v>0</v>
      </c>
      <c r="AL38" s="19" t="e">
        <f t="shared" si="57"/>
        <v>#DIV/0!</v>
      </c>
      <c r="AM38" s="19">
        <f t="shared" si="58"/>
        <v>0</v>
      </c>
      <c r="AN38" s="19" t="e">
        <f t="shared" si="59"/>
        <v>#DIV/0!</v>
      </c>
      <c r="AO38" s="19">
        <f t="shared" si="60"/>
        <v>0</v>
      </c>
      <c r="AP38" s="19" t="e">
        <f t="shared" si="61"/>
        <v>#DIV/0!</v>
      </c>
      <c r="AQ38" s="19">
        <f t="shared" si="62"/>
        <v>0</v>
      </c>
      <c r="AR38" s="19" t="e">
        <f t="shared" si="63"/>
        <v>#DIV/0!</v>
      </c>
      <c r="AS38" s="19">
        <f t="shared" si="64"/>
        <v>0</v>
      </c>
      <c r="AT38" s="19" t="e">
        <f t="shared" si="65"/>
        <v>#DIV/0!</v>
      </c>
      <c r="AU38" s="19">
        <f t="shared" si="66"/>
        <v>0</v>
      </c>
      <c r="AV38" s="19" t="e">
        <f t="shared" si="67"/>
        <v>#DIV/0!</v>
      </c>
      <c r="AW38" s="19">
        <f t="shared" si="68"/>
        <v>0</v>
      </c>
      <c r="AX38" s="19" t="e">
        <f t="shared" si="69"/>
        <v>#DIV/0!</v>
      </c>
      <c r="AY38" s="19">
        <f t="shared" si="70"/>
        <v>0</v>
      </c>
      <c r="AZ38" s="19" t="e">
        <f t="shared" si="71"/>
        <v>#DIV/0!</v>
      </c>
      <c r="BA38" s="19">
        <f t="shared" si="72"/>
        <v>0</v>
      </c>
      <c r="BB38" s="19" t="e">
        <f t="shared" si="73"/>
        <v>#DIV/0!</v>
      </c>
      <c r="BC38" s="19">
        <f t="shared" si="74"/>
        <v>0</v>
      </c>
      <c r="BD38" s="19" t="e">
        <f t="shared" si="75"/>
        <v>#DIV/0!</v>
      </c>
    </row>
    <row r="39" spans="1:56">
      <c r="A39" s="17">
        <v>13</v>
      </c>
      <c r="B39" s="18" t="s">
        <v>42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6"/>
      <c r="P39" s="17">
        <v>13</v>
      </c>
      <c r="Q39" s="18" t="s">
        <v>42</v>
      </c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E39" s="17">
        <v>13</v>
      </c>
      <c r="AF39" s="18" t="s">
        <v>42</v>
      </c>
      <c r="AG39" s="19">
        <f t="shared" si="52"/>
        <v>0</v>
      </c>
      <c r="AH39" s="19" t="e">
        <f t="shared" si="53"/>
        <v>#DIV/0!</v>
      </c>
      <c r="AI39" s="19">
        <f t="shared" si="54"/>
        <v>0</v>
      </c>
      <c r="AJ39" s="19" t="e">
        <f t="shared" si="55"/>
        <v>#DIV/0!</v>
      </c>
      <c r="AK39" s="19">
        <f t="shared" si="56"/>
        <v>0</v>
      </c>
      <c r="AL39" s="19" t="e">
        <f t="shared" si="57"/>
        <v>#DIV/0!</v>
      </c>
      <c r="AM39" s="19">
        <f t="shared" si="58"/>
        <v>0</v>
      </c>
      <c r="AN39" s="19" t="e">
        <f t="shared" si="59"/>
        <v>#DIV/0!</v>
      </c>
      <c r="AO39" s="19">
        <f t="shared" si="60"/>
        <v>0</v>
      </c>
      <c r="AP39" s="19" t="e">
        <f t="shared" si="61"/>
        <v>#DIV/0!</v>
      </c>
      <c r="AQ39" s="19">
        <f t="shared" si="62"/>
        <v>0</v>
      </c>
      <c r="AR39" s="19" t="e">
        <f t="shared" si="63"/>
        <v>#DIV/0!</v>
      </c>
      <c r="AS39" s="19">
        <f t="shared" si="64"/>
        <v>0</v>
      </c>
      <c r="AT39" s="19" t="e">
        <f t="shared" si="65"/>
        <v>#DIV/0!</v>
      </c>
      <c r="AU39" s="19">
        <f t="shared" si="66"/>
        <v>0</v>
      </c>
      <c r="AV39" s="19" t="e">
        <f t="shared" si="67"/>
        <v>#DIV/0!</v>
      </c>
      <c r="AW39" s="19">
        <f t="shared" si="68"/>
        <v>0</v>
      </c>
      <c r="AX39" s="19" t="e">
        <f t="shared" si="69"/>
        <v>#DIV/0!</v>
      </c>
      <c r="AY39" s="19">
        <f t="shared" si="70"/>
        <v>0</v>
      </c>
      <c r="AZ39" s="19" t="e">
        <f t="shared" si="71"/>
        <v>#DIV/0!</v>
      </c>
      <c r="BA39" s="19">
        <f t="shared" si="72"/>
        <v>0</v>
      </c>
      <c r="BB39" s="19" t="e">
        <f t="shared" si="73"/>
        <v>#DIV/0!</v>
      </c>
      <c r="BC39" s="19">
        <f t="shared" si="74"/>
        <v>0</v>
      </c>
      <c r="BD39" s="19" t="e">
        <f t="shared" si="75"/>
        <v>#DIV/0!</v>
      </c>
    </row>
    <row r="40" spans="1:56">
      <c r="A40" s="17">
        <v>14</v>
      </c>
      <c r="B40" s="18" t="s">
        <v>44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26"/>
      <c r="P40" s="17">
        <v>14</v>
      </c>
      <c r="Q40" s="18" t="s">
        <v>44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E40" s="17">
        <v>14</v>
      </c>
      <c r="AF40" s="18" t="s">
        <v>44</v>
      </c>
      <c r="AG40" s="19">
        <f t="shared" si="52"/>
        <v>0</v>
      </c>
      <c r="AH40" s="19" t="e">
        <f t="shared" si="53"/>
        <v>#DIV/0!</v>
      </c>
      <c r="AI40" s="19">
        <f t="shared" si="54"/>
        <v>0</v>
      </c>
      <c r="AJ40" s="19" t="e">
        <f t="shared" si="55"/>
        <v>#DIV/0!</v>
      </c>
      <c r="AK40" s="19">
        <f t="shared" si="56"/>
        <v>0</v>
      </c>
      <c r="AL40" s="19" t="e">
        <f t="shared" si="57"/>
        <v>#DIV/0!</v>
      </c>
      <c r="AM40" s="19">
        <f t="shared" si="58"/>
        <v>0</v>
      </c>
      <c r="AN40" s="19" t="e">
        <f t="shared" si="59"/>
        <v>#DIV/0!</v>
      </c>
      <c r="AO40" s="19">
        <f t="shared" si="60"/>
        <v>0</v>
      </c>
      <c r="AP40" s="19" t="e">
        <f t="shared" si="61"/>
        <v>#DIV/0!</v>
      </c>
      <c r="AQ40" s="19">
        <f t="shared" si="62"/>
        <v>0</v>
      </c>
      <c r="AR40" s="19" t="e">
        <f t="shared" si="63"/>
        <v>#DIV/0!</v>
      </c>
      <c r="AS40" s="19">
        <f t="shared" si="64"/>
        <v>0</v>
      </c>
      <c r="AT40" s="19" t="e">
        <f t="shared" si="65"/>
        <v>#DIV/0!</v>
      </c>
      <c r="AU40" s="19">
        <f t="shared" si="66"/>
        <v>0</v>
      </c>
      <c r="AV40" s="19" t="e">
        <f t="shared" si="67"/>
        <v>#DIV/0!</v>
      </c>
      <c r="AW40" s="19">
        <f t="shared" si="68"/>
        <v>0</v>
      </c>
      <c r="AX40" s="19" t="e">
        <f t="shared" si="69"/>
        <v>#DIV/0!</v>
      </c>
      <c r="AY40" s="19">
        <f t="shared" si="70"/>
        <v>0</v>
      </c>
      <c r="AZ40" s="19" t="e">
        <f t="shared" si="71"/>
        <v>#DIV/0!</v>
      </c>
      <c r="BA40" s="19">
        <f t="shared" si="72"/>
        <v>0</v>
      </c>
      <c r="BB40" s="19" t="e">
        <f t="shared" si="73"/>
        <v>#DIV/0!</v>
      </c>
      <c r="BC40" s="19">
        <f t="shared" si="74"/>
        <v>0</v>
      </c>
      <c r="BD40" s="19" t="e">
        <f t="shared" si="75"/>
        <v>#DIV/0!</v>
      </c>
    </row>
    <row r="41" spans="1:56" ht="25.2" thickBot="1">
      <c r="A41" s="17"/>
      <c r="B41" s="20" t="s">
        <v>17</v>
      </c>
      <c r="C41" s="27">
        <f>SUM(C27:C40)</f>
        <v>13335083</v>
      </c>
      <c r="D41" s="27">
        <f t="shared" ref="D41:N41" si="76">SUM(D27:D40)</f>
        <v>13335083</v>
      </c>
      <c r="E41" s="27">
        <f t="shared" si="76"/>
        <v>13535083</v>
      </c>
      <c r="F41" s="27">
        <f t="shared" si="76"/>
        <v>0</v>
      </c>
      <c r="G41" s="27">
        <f t="shared" si="76"/>
        <v>0</v>
      </c>
      <c r="H41" s="27">
        <f t="shared" si="76"/>
        <v>0</v>
      </c>
      <c r="I41" s="27">
        <f t="shared" si="76"/>
        <v>0</v>
      </c>
      <c r="J41" s="27">
        <f t="shared" si="76"/>
        <v>0</v>
      </c>
      <c r="K41" s="27">
        <f t="shared" si="76"/>
        <v>0</v>
      </c>
      <c r="L41" s="27">
        <f t="shared" si="76"/>
        <v>0</v>
      </c>
      <c r="M41" s="27">
        <f t="shared" si="76"/>
        <v>0</v>
      </c>
      <c r="N41" s="27">
        <f t="shared" si="76"/>
        <v>0</v>
      </c>
      <c r="P41" s="17"/>
      <c r="Q41" s="20" t="s">
        <v>17</v>
      </c>
      <c r="R41" s="27">
        <f>SUM(R27:R40)</f>
        <v>16830633</v>
      </c>
      <c r="S41" s="27">
        <f t="shared" ref="S41:AC41" si="77">SUM(S27:S40)</f>
        <v>16830633</v>
      </c>
      <c r="T41" s="27">
        <f t="shared" si="77"/>
        <v>17030633</v>
      </c>
      <c r="U41" s="27">
        <f t="shared" si="77"/>
        <v>0</v>
      </c>
      <c r="V41" s="27">
        <f t="shared" si="77"/>
        <v>0</v>
      </c>
      <c r="W41" s="27">
        <f t="shared" si="77"/>
        <v>0</v>
      </c>
      <c r="X41" s="27">
        <f t="shared" si="77"/>
        <v>0</v>
      </c>
      <c r="Y41" s="27">
        <f t="shared" si="77"/>
        <v>0</v>
      </c>
      <c r="Z41" s="27">
        <f t="shared" si="77"/>
        <v>0</v>
      </c>
      <c r="AA41" s="27">
        <f t="shared" si="77"/>
        <v>0</v>
      </c>
      <c r="AB41" s="27">
        <f t="shared" si="77"/>
        <v>0</v>
      </c>
      <c r="AC41" s="27">
        <f t="shared" si="77"/>
        <v>0</v>
      </c>
      <c r="AE41" s="17"/>
      <c r="AF41" s="20" t="s">
        <v>17</v>
      </c>
      <c r="AG41" s="23">
        <f t="shared" si="52"/>
        <v>-3495550</v>
      </c>
      <c r="AH41" s="23">
        <f t="shared" si="53"/>
        <v>-26.21318517477544</v>
      </c>
      <c r="AI41" s="23">
        <f t="shared" si="54"/>
        <v>-3495550</v>
      </c>
      <c r="AJ41" s="23">
        <f t="shared" si="55"/>
        <v>-26.21318517477544</v>
      </c>
      <c r="AK41" s="23">
        <f t="shared" si="56"/>
        <v>-3495550</v>
      </c>
      <c r="AL41" s="23">
        <f t="shared" si="57"/>
        <v>-25.825848278876457</v>
      </c>
      <c r="AM41" s="23">
        <f t="shared" si="58"/>
        <v>0</v>
      </c>
      <c r="AN41" s="23" t="e">
        <f t="shared" si="59"/>
        <v>#DIV/0!</v>
      </c>
      <c r="AO41" s="23">
        <f t="shared" si="60"/>
        <v>0</v>
      </c>
      <c r="AP41" s="23" t="e">
        <f t="shared" si="61"/>
        <v>#DIV/0!</v>
      </c>
      <c r="AQ41" s="23">
        <f t="shared" si="62"/>
        <v>0</v>
      </c>
      <c r="AR41" s="23" t="e">
        <f t="shared" si="63"/>
        <v>#DIV/0!</v>
      </c>
      <c r="AS41" s="23">
        <f t="shared" si="64"/>
        <v>0</v>
      </c>
      <c r="AT41" s="23" t="e">
        <f t="shared" si="65"/>
        <v>#DIV/0!</v>
      </c>
      <c r="AU41" s="23">
        <f t="shared" si="66"/>
        <v>0</v>
      </c>
      <c r="AV41" s="23" t="e">
        <f t="shared" si="67"/>
        <v>#DIV/0!</v>
      </c>
      <c r="AW41" s="23">
        <f t="shared" si="68"/>
        <v>0</v>
      </c>
      <c r="AX41" s="23" t="e">
        <f t="shared" si="69"/>
        <v>#DIV/0!</v>
      </c>
      <c r="AY41" s="23">
        <f t="shared" si="70"/>
        <v>0</v>
      </c>
      <c r="AZ41" s="23" t="e">
        <f t="shared" si="71"/>
        <v>#DIV/0!</v>
      </c>
      <c r="BA41" s="23">
        <f t="shared" si="72"/>
        <v>0</v>
      </c>
      <c r="BB41" s="23" t="e">
        <f t="shared" si="73"/>
        <v>#DIV/0!</v>
      </c>
      <c r="BC41" s="23">
        <f t="shared" si="74"/>
        <v>0</v>
      </c>
      <c r="BD41" s="23" t="e">
        <f t="shared" si="75"/>
        <v>#DIV/0!</v>
      </c>
    </row>
    <row r="42" spans="1:56" ht="25.2" thickTop="1"/>
    <row r="43" spans="1:56">
      <c r="A43" s="37" t="s">
        <v>48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P43" s="37" t="s">
        <v>52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E43" s="37" t="s">
        <v>89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1:56">
      <c r="A44" s="37" t="s">
        <v>1954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P44" s="37" t="s">
        <v>1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E44" s="37" t="s">
        <v>1</v>
      </c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</row>
    <row r="45" spans="1:56" s="15" customFormat="1">
      <c r="A45" s="35" t="s">
        <v>2</v>
      </c>
      <c r="B45" s="35" t="s">
        <v>3</v>
      </c>
      <c r="C45" s="38" t="s">
        <v>4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P45" s="35" t="s">
        <v>2</v>
      </c>
      <c r="Q45" s="35" t="s">
        <v>3</v>
      </c>
      <c r="R45" s="38" t="s">
        <v>5</v>
      </c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40"/>
      <c r="AE45" s="35" t="s">
        <v>2</v>
      </c>
      <c r="AF45" s="35" t="s">
        <v>3</v>
      </c>
      <c r="AG45" s="33">
        <v>25112</v>
      </c>
      <c r="AH45" s="34"/>
      <c r="AI45" s="33">
        <v>25143</v>
      </c>
      <c r="AJ45" s="34"/>
      <c r="AK45" s="33">
        <v>25173</v>
      </c>
      <c r="AL45" s="34"/>
      <c r="AM45" s="33">
        <v>25204</v>
      </c>
      <c r="AN45" s="34"/>
      <c r="AO45" s="33">
        <v>25235</v>
      </c>
      <c r="AP45" s="34"/>
      <c r="AQ45" s="33">
        <v>25263</v>
      </c>
      <c r="AR45" s="34"/>
      <c r="AS45" s="33">
        <v>25294</v>
      </c>
      <c r="AT45" s="34"/>
      <c r="AU45" s="33">
        <v>25324</v>
      </c>
      <c r="AV45" s="34"/>
      <c r="AW45" s="33">
        <v>25355</v>
      </c>
      <c r="AX45" s="34"/>
      <c r="AY45" s="33">
        <v>25385</v>
      </c>
      <c r="AZ45" s="34"/>
      <c r="BA45" s="33">
        <v>25416</v>
      </c>
      <c r="BB45" s="34"/>
      <c r="BC45" s="33">
        <v>25447</v>
      </c>
      <c r="BD45" s="34"/>
    </row>
    <row r="46" spans="1:56" s="15" customFormat="1">
      <c r="A46" s="36"/>
      <c r="B46" s="36"/>
      <c r="C46" s="16">
        <v>25112</v>
      </c>
      <c r="D46" s="16">
        <v>25143</v>
      </c>
      <c r="E46" s="16">
        <v>25173</v>
      </c>
      <c r="F46" s="16">
        <v>25204</v>
      </c>
      <c r="G46" s="16">
        <v>25235</v>
      </c>
      <c r="H46" s="16">
        <v>25263</v>
      </c>
      <c r="I46" s="16">
        <v>25294</v>
      </c>
      <c r="J46" s="16">
        <v>25324</v>
      </c>
      <c r="K46" s="16">
        <v>25355</v>
      </c>
      <c r="L46" s="16">
        <v>25385</v>
      </c>
      <c r="M46" s="16">
        <v>25416</v>
      </c>
      <c r="N46" s="16">
        <v>25447</v>
      </c>
      <c r="P46" s="36"/>
      <c r="Q46" s="36"/>
      <c r="R46" s="16">
        <v>25112</v>
      </c>
      <c r="S46" s="16">
        <v>25143</v>
      </c>
      <c r="T46" s="16">
        <v>25173</v>
      </c>
      <c r="U46" s="16">
        <v>25204</v>
      </c>
      <c r="V46" s="16">
        <v>25235</v>
      </c>
      <c r="W46" s="16">
        <v>25263</v>
      </c>
      <c r="X46" s="16">
        <v>25294</v>
      </c>
      <c r="Y46" s="16">
        <v>25324</v>
      </c>
      <c r="Z46" s="16">
        <v>25355</v>
      </c>
      <c r="AA46" s="16">
        <v>25385</v>
      </c>
      <c r="AB46" s="16">
        <v>25416</v>
      </c>
      <c r="AC46" s="16">
        <v>25447</v>
      </c>
      <c r="AE46" s="36"/>
      <c r="AF46" s="36"/>
      <c r="AG46" s="16" t="s">
        <v>85</v>
      </c>
      <c r="AH46" s="16" t="s">
        <v>86</v>
      </c>
      <c r="AI46" s="16" t="s">
        <v>85</v>
      </c>
      <c r="AJ46" s="16" t="s">
        <v>86</v>
      </c>
      <c r="AK46" s="16" t="s">
        <v>85</v>
      </c>
      <c r="AL46" s="16" t="s">
        <v>86</v>
      </c>
      <c r="AM46" s="16" t="s">
        <v>85</v>
      </c>
      <c r="AN46" s="16" t="s">
        <v>86</v>
      </c>
      <c r="AO46" s="16" t="s">
        <v>85</v>
      </c>
      <c r="AP46" s="16" t="s">
        <v>86</v>
      </c>
      <c r="AQ46" s="16" t="s">
        <v>85</v>
      </c>
      <c r="AR46" s="16" t="s">
        <v>86</v>
      </c>
      <c r="AS46" s="16" t="s">
        <v>85</v>
      </c>
      <c r="AT46" s="16" t="s">
        <v>86</v>
      </c>
      <c r="AU46" s="16" t="s">
        <v>85</v>
      </c>
      <c r="AV46" s="16" t="s">
        <v>86</v>
      </c>
      <c r="AW46" s="16" t="s">
        <v>85</v>
      </c>
      <c r="AX46" s="16" t="s">
        <v>86</v>
      </c>
      <c r="AY46" s="16" t="s">
        <v>85</v>
      </c>
      <c r="AZ46" s="16" t="s">
        <v>86</v>
      </c>
      <c r="BA46" s="16" t="s">
        <v>85</v>
      </c>
      <c r="BB46" s="16" t="s">
        <v>86</v>
      </c>
      <c r="BC46" s="16" t="s">
        <v>85</v>
      </c>
      <c r="BD46" s="16" t="s">
        <v>86</v>
      </c>
    </row>
    <row r="47" spans="1:56">
      <c r="A47" s="17">
        <v>1</v>
      </c>
      <c r="B47" s="18" t="s">
        <v>19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P47" s="17">
        <v>1</v>
      </c>
      <c r="Q47" s="18" t="s">
        <v>19</v>
      </c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E47" s="17">
        <v>1</v>
      </c>
      <c r="AF47" s="18" t="s">
        <v>19</v>
      </c>
      <c r="AG47" s="19">
        <f t="shared" ref="AG47:AG61" si="78">+C47-R47</f>
        <v>0</v>
      </c>
      <c r="AH47" s="19" t="e">
        <f t="shared" ref="AH47:AH61" si="79">+AG47/C47*100</f>
        <v>#DIV/0!</v>
      </c>
      <c r="AI47" s="19">
        <f t="shared" ref="AI47:AI61" si="80">+D47-S47</f>
        <v>0</v>
      </c>
      <c r="AJ47" s="19" t="e">
        <f t="shared" ref="AJ47:AJ61" si="81">+AI47/D47*100</f>
        <v>#DIV/0!</v>
      </c>
      <c r="AK47" s="19">
        <f t="shared" ref="AK47:AK61" si="82">+E47-T47</f>
        <v>0</v>
      </c>
      <c r="AL47" s="19" t="e">
        <f t="shared" ref="AL47:AL61" si="83">+AK47/E47*100</f>
        <v>#DIV/0!</v>
      </c>
      <c r="AM47" s="19">
        <f t="shared" ref="AM47:AM61" si="84">+F47-U47</f>
        <v>0</v>
      </c>
      <c r="AN47" s="19" t="e">
        <f t="shared" ref="AN47:AN61" si="85">+AM47/F47*100</f>
        <v>#DIV/0!</v>
      </c>
      <c r="AO47" s="19">
        <f t="shared" ref="AO47:AO61" si="86">+G47-V47</f>
        <v>0</v>
      </c>
      <c r="AP47" s="19" t="e">
        <f t="shared" ref="AP47:AP61" si="87">+AO47/G47*100</f>
        <v>#DIV/0!</v>
      </c>
      <c r="AQ47" s="19">
        <f t="shared" ref="AQ47:AQ61" si="88">+H47-W47</f>
        <v>0</v>
      </c>
      <c r="AR47" s="19" t="e">
        <f t="shared" ref="AR47:AR61" si="89">+AQ47/H47*100</f>
        <v>#DIV/0!</v>
      </c>
      <c r="AS47" s="19">
        <f t="shared" ref="AS47:AS61" si="90">+I47-X47</f>
        <v>0</v>
      </c>
      <c r="AT47" s="19" t="e">
        <f t="shared" ref="AT47:AT61" si="91">+AS47/I47*100</f>
        <v>#DIV/0!</v>
      </c>
      <c r="AU47" s="19">
        <f t="shared" ref="AU47:AU61" si="92">+J47-Y47</f>
        <v>0</v>
      </c>
      <c r="AV47" s="19" t="e">
        <f t="shared" ref="AV47:AV61" si="93">+AU47/J47*100</f>
        <v>#DIV/0!</v>
      </c>
      <c r="AW47" s="19">
        <f t="shared" ref="AW47:AW61" si="94">+K47-Z47</f>
        <v>0</v>
      </c>
      <c r="AX47" s="19" t="e">
        <f t="shared" ref="AX47:AX61" si="95">+AW47/K47*100</f>
        <v>#DIV/0!</v>
      </c>
      <c r="AY47" s="19">
        <f t="shared" ref="AY47:AY61" si="96">+L47-AA47</f>
        <v>0</v>
      </c>
      <c r="AZ47" s="19" t="e">
        <f t="shared" ref="AZ47:AZ61" si="97">+AY47/L47*100</f>
        <v>#DIV/0!</v>
      </c>
      <c r="BA47" s="19">
        <f t="shared" ref="BA47:BA61" si="98">+M47-AB47</f>
        <v>0</v>
      </c>
      <c r="BB47" s="19" t="e">
        <f t="shared" ref="BB47:BB61" si="99">+BA47/M47*100</f>
        <v>#DIV/0!</v>
      </c>
      <c r="BC47" s="19">
        <f t="shared" ref="BC47:BC61" si="100">+N47-AC47</f>
        <v>0</v>
      </c>
      <c r="BD47" s="19" t="e">
        <f t="shared" ref="BD47:BD61" si="101">+BC47/N47*100</f>
        <v>#DIV/0!</v>
      </c>
    </row>
    <row r="48" spans="1:56">
      <c r="A48" s="17">
        <v>2</v>
      </c>
      <c r="B48" s="18" t="s">
        <v>21</v>
      </c>
      <c r="C48" s="19">
        <v>2092431.93</v>
      </c>
      <c r="D48" s="19">
        <v>2125894.12</v>
      </c>
      <c r="E48" s="19">
        <v>2160471.71</v>
      </c>
      <c r="F48" s="19"/>
      <c r="G48" s="19"/>
      <c r="H48" s="19"/>
      <c r="I48" s="19"/>
      <c r="J48" s="19"/>
      <c r="K48" s="19"/>
      <c r="L48" s="19"/>
      <c r="M48" s="19"/>
      <c r="N48" s="19"/>
      <c r="P48" s="17">
        <v>2</v>
      </c>
      <c r="Q48" s="18" t="s">
        <v>21</v>
      </c>
      <c r="R48" s="19">
        <v>5520881.3200000003</v>
      </c>
      <c r="S48" s="19">
        <v>5561387.9800000004</v>
      </c>
      <c r="T48" s="19">
        <v>5601894.6399999997</v>
      </c>
      <c r="U48" s="19"/>
      <c r="V48" s="19"/>
      <c r="W48" s="19"/>
      <c r="X48" s="19"/>
      <c r="Y48" s="19"/>
      <c r="Z48" s="19"/>
      <c r="AA48" s="19"/>
      <c r="AB48" s="19"/>
      <c r="AC48" s="19"/>
      <c r="AE48" s="17">
        <v>2</v>
      </c>
      <c r="AF48" s="18" t="s">
        <v>21</v>
      </c>
      <c r="AG48" s="19">
        <f t="shared" si="78"/>
        <v>-3428449.3900000006</v>
      </c>
      <c r="AH48" s="19">
        <f t="shared" si="79"/>
        <v>-163.84998435767517</v>
      </c>
      <c r="AI48" s="19">
        <f t="shared" si="80"/>
        <v>-3435493.8600000003</v>
      </c>
      <c r="AJ48" s="19">
        <f t="shared" si="81"/>
        <v>-161.60230312881245</v>
      </c>
      <c r="AK48" s="19">
        <f t="shared" si="82"/>
        <v>-3441422.9299999997</v>
      </c>
      <c r="AL48" s="19">
        <f t="shared" si="83"/>
        <v>-159.29034914324333</v>
      </c>
      <c r="AM48" s="19">
        <f t="shared" si="84"/>
        <v>0</v>
      </c>
      <c r="AN48" s="19" t="e">
        <f t="shared" si="85"/>
        <v>#DIV/0!</v>
      </c>
      <c r="AO48" s="19">
        <f t="shared" si="86"/>
        <v>0</v>
      </c>
      <c r="AP48" s="19" t="e">
        <f t="shared" si="87"/>
        <v>#DIV/0!</v>
      </c>
      <c r="AQ48" s="19">
        <f t="shared" si="88"/>
        <v>0</v>
      </c>
      <c r="AR48" s="19" t="e">
        <f t="shared" si="89"/>
        <v>#DIV/0!</v>
      </c>
      <c r="AS48" s="19">
        <f t="shared" si="90"/>
        <v>0</v>
      </c>
      <c r="AT48" s="19" t="e">
        <f t="shared" si="91"/>
        <v>#DIV/0!</v>
      </c>
      <c r="AU48" s="19">
        <f t="shared" si="92"/>
        <v>0</v>
      </c>
      <c r="AV48" s="19" t="e">
        <f t="shared" si="93"/>
        <v>#DIV/0!</v>
      </c>
      <c r="AW48" s="19">
        <f t="shared" si="94"/>
        <v>0</v>
      </c>
      <c r="AX48" s="19" t="e">
        <f t="shared" si="95"/>
        <v>#DIV/0!</v>
      </c>
      <c r="AY48" s="19">
        <f t="shared" si="96"/>
        <v>0</v>
      </c>
      <c r="AZ48" s="19" t="e">
        <f t="shared" si="97"/>
        <v>#DIV/0!</v>
      </c>
      <c r="BA48" s="19">
        <f t="shared" si="98"/>
        <v>0</v>
      </c>
      <c r="BB48" s="19" t="e">
        <f t="shared" si="99"/>
        <v>#DIV/0!</v>
      </c>
      <c r="BC48" s="19">
        <f t="shared" si="100"/>
        <v>0</v>
      </c>
      <c r="BD48" s="19" t="e">
        <f t="shared" si="101"/>
        <v>#DIV/0!</v>
      </c>
    </row>
    <row r="49" spans="1:56">
      <c r="A49" s="17">
        <v>3</v>
      </c>
      <c r="B49" s="18" t="s">
        <v>23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P49" s="17">
        <v>3</v>
      </c>
      <c r="Q49" s="18" t="s">
        <v>23</v>
      </c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E49" s="17">
        <v>3</v>
      </c>
      <c r="AF49" s="18" t="s">
        <v>23</v>
      </c>
      <c r="AG49" s="19">
        <f t="shared" si="78"/>
        <v>0</v>
      </c>
      <c r="AH49" s="19" t="e">
        <f t="shared" si="79"/>
        <v>#DIV/0!</v>
      </c>
      <c r="AI49" s="19">
        <f t="shared" si="80"/>
        <v>0</v>
      </c>
      <c r="AJ49" s="19" t="e">
        <f t="shared" si="81"/>
        <v>#DIV/0!</v>
      </c>
      <c r="AK49" s="19">
        <f t="shared" si="82"/>
        <v>0</v>
      </c>
      <c r="AL49" s="19" t="e">
        <f t="shared" si="83"/>
        <v>#DIV/0!</v>
      </c>
      <c r="AM49" s="19">
        <f t="shared" si="84"/>
        <v>0</v>
      </c>
      <c r="AN49" s="19" t="e">
        <f t="shared" si="85"/>
        <v>#DIV/0!</v>
      </c>
      <c r="AO49" s="19">
        <f t="shared" si="86"/>
        <v>0</v>
      </c>
      <c r="AP49" s="19" t="e">
        <f t="shared" si="87"/>
        <v>#DIV/0!</v>
      </c>
      <c r="AQ49" s="19">
        <f t="shared" si="88"/>
        <v>0</v>
      </c>
      <c r="AR49" s="19" t="e">
        <f t="shared" si="89"/>
        <v>#DIV/0!</v>
      </c>
      <c r="AS49" s="19">
        <f t="shared" si="90"/>
        <v>0</v>
      </c>
      <c r="AT49" s="19" t="e">
        <f t="shared" si="91"/>
        <v>#DIV/0!</v>
      </c>
      <c r="AU49" s="19">
        <f t="shared" si="92"/>
        <v>0</v>
      </c>
      <c r="AV49" s="19" t="e">
        <f t="shared" si="93"/>
        <v>#DIV/0!</v>
      </c>
      <c r="AW49" s="19">
        <f t="shared" si="94"/>
        <v>0</v>
      </c>
      <c r="AX49" s="19" t="e">
        <f t="shared" si="95"/>
        <v>#DIV/0!</v>
      </c>
      <c r="AY49" s="19">
        <f t="shared" si="96"/>
        <v>0</v>
      </c>
      <c r="AZ49" s="19" t="e">
        <f t="shared" si="97"/>
        <v>#DIV/0!</v>
      </c>
      <c r="BA49" s="19">
        <f t="shared" si="98"/>
        <v>0</v>
      </c>
      <c r="BB49" s="19" t="e">
        <f t="shared" si="99"/>
        <v>#DIV/0!</v>
      </c>
      <c r="BC49" s="19">
        <f t="shared" si="100"/>
        <v>0</v>
      </c>
      <c r="BD49" s="19" t="e">
        <f t="shared" si="101"/>
        <v>#DIV/0!</v>
      </c>
    </row>
    <row r="50" spans="1:56">
      <c r="A50" s="17">
        <v>4</v>
      </c>
      <c r="B50" s="18" t="s">
        <v>25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P50" s="17">
        <v>4</v>
      </c>
      <c r="Q50" s="18" t="s">
        <v>25</v>
      </c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E50" s="17">
        <v>4</v>
      </c>
      <c r="AF50" s="18" t="s">
        <v>25</v>
      </c>
      <c r="AG50" s="19">
        <f t="shared" si="78"/>
        <v>0</v>
      </c>
      <c r="AH50" s="19" t="e">
        <f t="shared" si="79"/>
        <v>#DIV/0!</v>
      </c>
      <c r="AI50" s="19">
        <f t="shared" si="80"/>
        <v>0</v>
      </c>
      <c r="AJ50" s="19" t="e">
        <f t="shared" si="81"/>
        <v>#DIV/0!</v>
      </c>
      <c r="AK50" s="19">
        <f t="shared" si="82"/>
        <v>0</v>
      </c>
      <c r="AL50" s="19" t="e">
        <f t="shared" si="83"/>
        <v>#DIV/0!</v>
      </c>
      <c r="AM50" s="19">
        <f t="shared" si="84"/>
        <v>0</v>
      </c>
      <c r="AN50" s="19" t="e">
        <f t="shared" si="85"/>
        <v>#DIV/0!</v>
      </c>
      <c r="AO50" s="19">
        <f t="shared" si="86"/>
        <v>0</v>
      </c>
      <c r="AP50" s="19" t="e">
        <f t="shared" si="87"/>
        <v>#DIV/0!</v>
      </c>
      <c r="AQ50" s="19">
        <f t="shared" si="88"/>
        <v>0</v>
      </c>
      <c r="AR50" s="19" t="e">
        <f t="shared" si="89"/>
        <v>#DIV/0!</v>
      </c>
      <c r="AS50" s="19">
        <f t="shared" si="90"/>
        <v>0</v>
      </c>
      <c r="AT50" s="19" t="e">
        <f t="shared" si="91"/>
        <v>#DIV/0!</v>
      </c>
      <c r="AU50" s="19">
        <f t="shared" si="92"/>
        <v>0</v>
      </c>
      <c r="AV50" s="19" t="e">
        <f t="shared" si="93"/>
        <v>#DIV/0!</v>
      </c>
      <c r="AW50" s="19">
        <f t="shared" si="94"/>
        <v>0</v>
      </c>
      <c r="AX50" s="19" t="e">
        <f t="shared" si="95"/>
        <v>#DIV/0!</v>
      </c>
      <c r="AY50" s="19">
        <f t="shared" si="96"/>
        <v>0</v>
      </c>
      <c r="AZ50" s="19" t="e">
        <f t="shared" si="97"/>
        <v>#DIV/0!</v>
      </c>
      <c r="BA50" s="19">
        <f t="shared" si="98"/>
        <v>0</v>
      </c>
      <c r="BB50" s="19" t="e">
        <f t="shared" si="99"/>
        <v>#DIV/0!</v>
      </c>
      <c r="BC50" s="19">
        <f t="shared" si="100"/>
        <v>0</v>
      </c>
      <c r="BD50" s="19" t="e">
        <f t="shared" si="101"/>
        <v>#DIV/0!</v>
      </c>
    </row>
    <row r="51" spans="1:56">
      <c r="A51" s="17">
        <v>5</v>
      </c>
      <c r="B51" s="18" t="s">
        <v>27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P51" s="17">
        <v>5</v>
      </c>
      <c r="Q51" s="18" t="s">
        <v>27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E51" s="17">
        <v>5</v>
      </c>
      <c r="AF51" s="18" t="s">
        <v>27</v>
      </c>
      <c r="AG51" s="19">
        <f t="shared" si="78"/>
        <v>0</v>
      </c>
      <c r="AH51" s="19" t="e">
        <f t="shared" si="79"/>
        <v>#DIV/0!</v>
      </c>
      <c r="AI51" s="19">
        <f t="shared" si="80"/>
        <v>0</v>
      </c>
      <c r="AJ51" s="19" t="e">
        <f t="shared" si="81"/>
        <v>#DIV/0!</v>
      </c>
      <c r="AK51" s="19">
        <f t="shared" si="82"/>
        <v>0</v>
      </c>
      <c r="AL51" s="19" t="e">
        <f t="shared" si="83"/>
        <v>#DIV/0!</v>
      </c>
      <c r="AM51" s="19">
        <f t="shared" si="84"/>
        <v>0</v>
      </c>
      <c r="AN51" s="19" t="e">
        <f t="shared" si="85"/>
        <v>#DIV/0!</v>
      </c>
      <c r="AO51" s="19">
        <f t="shared" si="86"/>
        <v>0</v>
      </c>
      <c r="AP51" s="19" t="e">
        <f t="shared" si="87"/>
        <v>#DIV/0!</v>
      </c>
      <c r="AQ51" s="19">
        <f t="shared" si="88"/>
        <v>0</v>
      </c>
      <c r="AR51" s="19" t="e">
        <f t="shared" si="89"/>
        <v>#DIV/0!</v>
      </c>
      <c r="AS51" s="19">
        <f t="shared" si="90"/>
        <v>0</v>
      </c>
      <c r="AT51" s="19" t="e">
        <f t="shared" si="91"/>
        <v>#DIV/0!</v>
      </c>
      <c r="AU51" s="19">
        <f t="shared" si="92"/>
        <v>0</v>
      </c>
      <c r="AV51" s="19" t="e">
        <f t="shared" si="93"/>
        <v>#DIV/0!</v>
      </c>
      <c r="AW51" s="19">
        <f t="shared" si="94"/>
        <v>0</v>
      </c>
      <c r="AX51" s="19" t="e">
        <f t="shared" si="95"/>
        <v>#DIV/0!</v>
      </c>
      <c r="AY51" s="19">
        <f t="shared" si="96"/>
        <v>0</v>
      </c>
      <c r="AZ51" s="19" t="e">
        <f t="shared" si="97"/>
        <v>#DIV/0!</v>
      </c>
      <c r="BA51" s="19">
        <f t="shared" si="98"/>
        <v>0</v>
      </c>
      <c r="BB51" s="19" t="e">
        <f t="shared" si="99"/>
        <v>#DIV/0!</v>
      </c>
      <c r="BC51" s="19">
        <f t="shared" si="100"/>
        <v>0</v>
      </c>
      <c r="BD51" s="19" t="e">
        <f t="shared" si="101"/>
        <v>#DIV/0!</v>
      </c>
    </row>
    <row r="52" spans="1:56">
      <c r="A52" s="17">
        <v>6</v>
      </c>
      <c r="B52" s="18" t="s">
        <v>29</v>
      </c>
      <c r="C52" s="19">
        <v>6118621.5800000001</v>
      </c>
      <c r="D52" s="19">
        <v>6276740.7699999996</v>
      </c>
      <c r="E52" s="19">
        <v>6443308.6299999999</v>
      </c>
      <c r="F52" s="19"/>
      <c r="G52" s="19"/>
      <c r="H52" s="19"/>
      <c r="I52" s="19"/>
      <c r="J52" s="19"/>
      <c r="K52" s="19"/>
      <c r="L52" s="19"/>
      <c r="M52" s="19"/>
      <c r="N52" s="19"/>
      <c r="P52" s="17">
        <v>6</v>
      </c>
      <c r="Q52" s="18" t="s">
        <v>29</v>
      </c>
      <c r="R52" s="19">
        <v>5971438.7300000004</v>
      </c>
      <c r="S52" s="19">
        <v>6148016.71</v>
      </c>
      <c r="T52" s="19">
        <v>6327928.0199999996</v>
      </c>
      <c r="U52" s="19"/>
      <c r="V52" s="19"/>
      <c r="W52" s="19"/>
      <c r="X52" s="19"/>
      <c r="Y52" s="19"/>
      <c r="Z52" s="19"/>
      <c r="AA52" s="19"/>
      <c r="AB52" s="19"/>
      <c r="AC52" s="19"/>
      <c r="AE52" s="17">
        <v>6</v>
      </c>
      <c r="AF52" s="18" t="s">
        <v>29</v>
      </c>
      <c r="AG52" s="19">
        <f t="shared" si="78"/>
        <v>147182.84999999963</v>
      </c>
      <c r="AH52" s="19">
        <f t="shared" si="79"/>
        <v>2.405490322871048</v>
      </c>
      <c r="AI52" s="19">
        <f t="shared" si="80"/>
        <v>128724.05999999959</v>
      </c>
      <c r="AJ52" s="19">
        <f t="shared" si="81"/>
        <v>2.0508105196130253</v>
      </c>
      <c r="AK52" s="19">
        <f t="shared" si="82"/>
        <v>115380.61000000034</v>
      </c>
      <c r="AL52" s="19">
        <f t="shared" si="83"/>
        <v>1.7907043822608313</v>
      </c>
      <c r="AM52" s="19">
        <f t="shared" si="84"/>
        <v>0</v>
      </c>
      <c r="AN52" s="19" t="e">
        <f t="shared" si="85"/>
        <v>#DIV/0!</v>
      </c>
      <c r="AO52" s="19">
        <f t="shared" si="86"/>
        <v>0</v>
      </c>
      <c r="AP52" s="19" t="e">
        <f t="shared" si="87"/>
        <v>#DIV/0!</v>
      </c>
      <c r="AQ52" s="19">
        <f t="shared" si="88"/>
        <v>0</v>
      </c>
      <c r="AR52" s="19" t="e">
        <f t="shared" si="89"/>
        <v>#DIV/0!</v>
      </c>
      <c r="AS52" s="19">
        <f t="shared" si="90"/>
        <v>0</v>
      </c>
      <c r="AT52" s="19" t="e">
        <f t="shared" si="91"/>
        <v>#DIV/0!</v>
      </c>
      <c r="AU52" s="19">
        <f t="shared" si="92"/>
        <v>0</v>
      </c>
      <c r="AV52" s="19" t="e">
        <f t="shared" si="93"/>
        <v>#DIV/0!</v>
      </c>
      <c r="AW52" s="19">
        <f t="shared" si="94"/>
        <v>0</v>
      </c>
      <c r="AX52" s="19" t="e">
        <f t="shared" si="95"/>
        <v>#DIV/0!</v>
      </c>
      <c r="AY52" s="19">
        <f t="shared" si="96"/>
        <v>0</v>
      </c>
      <c r="AZ52" s="19" t="e">
        <f t="shared" si="97"/>
        <v>#DIV/0!</v>
      </c>
      <c r="BA52" s="19">
        <f t="shared" si="98"/>
        <v>0</v>
      </c>
      <c r="BB52" s="19" t="e">
        <f t="shared" si="99"/>
        <v>#DIV/0!</v>
      </c>
      <c r="BC52" s="19">
        <f t="shared" si="100"/>
        <v>0</v>
      </c>
      <c r="BD52" s="19" t="e">
        <f t="shared" si="101"/>
        <v>#DIV/0!</v>
      </c>
    </row>
    <row r="53" spans="1:56">
      <c r="A53" s="17">
        <v>7</v>
      </c>
      <c r="B53" s="18" t="s">
        <v>31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P53" s="17">
        <v>7</v>
      </c>
      <c r="Q53" s="18" t="s">
        <v>31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E53" s="17">
        <v>7</v>
      </c>
      <c r="AF53" s="18" t="s">
        <v>31</v>
      </c>
      <c r="AG53" s="19">
        <f t="shared" si="78"/>
        <v>0</v>
      </c>
      <c r="AH53" s="19" t="e">
        <f t="shared" si="79"/>
        <v>#DIV/0!</v>
      </c>
      <c r="AI53" s="19">
        <f t="shared" si="80"/>
        <v>0</v>
      </c>
      <c r="AJ53" s="19" t="e">
        <f t="shared" si="81"/>
        <v>#DIV/0!</v>
      </c>
      <c r="AK53" s="19">
        <f t="shared" si="82"/>
        <v>0</v>
      </c>
      <c r="AL53" s="19" t="e">
        <f t="shared" si="83"/>
        <v>#DIV/0!</v>
      </c>
      <c r="AM53" s="19">
        <f t="shared" si="84"/>
        <v>0</v>
      </c>
      <c r="AN53" s="19" t="e">
        <f t="shared" si="85"/>
        <v>#DIV/0!</v>
      </c>
      <c r="AO53" s="19">
        <f t="shared" si="86"/>
        <v>0</v>
      </c>
      <c r="AP53" s="19" t="e">
        <f t="shared" si="87"/>
        <v>#DIV/0!</v>
      </c>
      <c r="AQ53" s="19">
        <f t="shared" si="88"/>
        <v>0</v>
      </c>
      <c r="AR53" s="19" t="e">
        <f t="shared" si="89"/>
        <v>#DIV/0!</v>
      </c>
      <c r="AS53" s="19">
        <f t="shared" si="90"/>
        <v>0</v>
      </c>
      <c r="AT53" s="19" t="e">
        <f t="shared" si="91"/>
        <v>#DIV/0!</v>
      </c>
      <c r="AU53" s="19">
        <f t="shared" si="92"/>
        <v>0</v>
      </c>
      <c r="AV53" s="19" t="e">
        <f t="shared" si="93"/>
        <v>#DIV/0!</v>
      </c>
      <c r="AW53" s="19">
        <f t="shared" si="94"/>
        <v>0</v>
      </c>
      <c r="AX53" s="19" t="e">
        <f t="shared" si="95"/>
        <v>#DIV/0!</v>
      </c>
      <c r="AY53" s="19">
        <f t="shared" si="96"/>
        <v>0</v>
      </c>
      <c r="AZ53" s="19" t="e">
        <f t="shared" si="97"/>
        <v>#DIV/0!</v>
      </c>
      <c r="BA53" s="19">
        <f t="shared" si="98"/>
        <v>0</v>
      </c>
      <c r="BB53" s="19" t="e">
        <f t="shared" si="99"/>
        <v>#DIV/0!</v>
      </c>
      <c r="BC53" s="19">
        <f t="shared" si="100"/>
        <v>0</v>
      </c>
      <c r="BD53" s="19" t="e">
        <f t="shared" si="101"/>
        <v>#DIV/0!</v>
      </c>
    </row>
    <row r="54" spans="1:56">
      <c r="A54" s="17">
        <v>8</v>
      </c>
      <c r="B54" s="18" t="s">
        <v>33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P54" s="17">
        <v>8</v>
      </c>
      <c r="Q54" s="18" t="s">
        <v>33</v>
      </c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E54" s="17">
        <v>8</v>
      </c>
      <c r="AF54" s="18" t="s">
        <v>33</v>
      </c>
      <c r="AG54" s="19">
        <f t="shared" si="78"/>
        <v>0</v>
      </c>
      <c r="AH54" s="19" t="e">
        <f t="shared" si="79"/>
        <v>#DIV/0!</v>
      </c>
      <c r="AI54" s="19">
        <f t="shared" si="80"/>
        <v>0</v>
      </c>
      <c r="AJ54" s="19" t="e">
        <f t="shared" si="81"/>
        <v>#DIV/0!</v>
      </c>
      <c r="AK54" s="19">
        <f t="shared" si="82"/>
        <v>0</v>
      </c>
      <c r="AL54" s="19" t="e">
        <f t="shared" si="83"/>
        <v>#DIV/0!</v>
      </c>
      <c r="AM54" s="19">
        <f t="shared" si="84"/>
        <v>0</v>
      </c>
      <c r="AN54" s="19" t="e">
        <f t="shared" si="85"/>
        <v>#DIV/0!</v>
      </c>
      <c r="AO54" s="19">
        <f t="shared" si="86"/>
        <v>0</v>
      </c>
      <c r="AP54" s="19" t="e">
        <f t="shared" si="87"/>
        <v>#DIV/0!</v>
      </c>
      <c r="AQ54" s="19">
        <f t="shared" si="88"/>
        <v>0</v>
      </c>
      <c r="AR54" s="19" t="e">
        <f t="shared" si="89"/>
        <v>#DIV/0!</v>
      </c>
      <c r="AS54" s="19">
        <f t="shared" si="90"/>
        <v>0</v>
      </c>
      <c r="AT54" s="19" t="e">
        <f t="shared" si="91"/>
        <v>#DIV/0!</v>
      </c>
      <c r="AU54" s="19">
        <f t="shared" si="92"/>
        <v>0</v>
      </c>
      <c r="AV54" s="19" t="e">
        <f t="shared" si="93"/>
        <v>#DIV/0!</v>
      </c>
      <c r="AW54" s="19">
        <f t="shared" si="94"/>
        <v>0</v>
      </c>
      <c r="AX54" s="19" t="e">
        <f t="shared" si="95"/>
        <v>#DIV/0!</v>
      </c>
      <c r="AY54" s="19">
        <f t="shared" si="96"/>
        <v>0</v>
      </c>
      <c r="AZ54" s="19" t="e">
        <f t="shared" si="97"/>
        <v>#DIV/0!</v>
      </c>
      <c r="BA54" s="19">
        <f t="shared" si="98"/>
        <v>0</v>
      </c>
      <c r="BB54" s="19" t="e">
        <f t="shared" si="99"/>
        <v>#DIV/0!</v>
      </c>
      <c r="BC54" s="19">
        <f t="shared" si="100"/>
        <v>0</v>
      </c>
      <c r="BD54" s="19" t="e">
        <f t="shared" si="101"/>
        <v>#DIV/0!</v>
      </c>
    </row>
    <row r="55" spans="1:56">
      <c r="A55" s="17">
        <v>9</v>
      </c>
      <c r="B55" s="18" t="s">
        <v>35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P55" s="17">
        <v>9</v>
      </c>
      <c r="Q55" s="18" t="s">
        <v>35</v>
      </c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E55" s="17">
        <v>9</v>
      </c>
      <c r="AF55" s="18" t="s">
        <v>35</v>
      </c>
      <c r="AG55" s="19">
        <f t="shared" si="78"/>
        <v>0</v>
      </c>
      <c r="AH55" s="19" t="e">
        <f t="shared" si="79"/>
        <v>#DIV/0!</v>
      </c>
      <c r="AI55" s="19">
        <f t="shared" si="80"/>
        <v>0</v>
      </c>
      <c r="AJ55" s="19" t="e">
        <f t="shared" si="81"/>
        <v>#DIV/0!</v>
      </c>
      <c r="AK55" s="19">
        <f t="shared" si="82"/>
        <v>0</v>
      </c>
      <c r="AL55" s="19" t="e">
        <f t="shared" si="83"/>
        <v>#DIV/0!</v>
      </c>
      <c r="AM55" s="19">
        <f t="shared" si="84"/>
        <v>0</v>
      </c>
      <c r="AN55" s="19" t="e">
        <f t="shared" si="85"/>
        <v>#DIV/0!</v>
      </c>
      <c r="AO55" s="19">
        <f t="shared" si="86"/>
        <v>0</v>
      </c>
      <c r="AP55" s="19" t="e">
        <f t="shared" si="87"/>
        <v>#DIV/0!</v>
      </c>
      <c r="AQ55" s="19">
        <f t="shared" si="88"/>
        <v>0</v>
      </c>
      <c r="AR55" s="19" t="e">
        <f t="shared" si="89"/>
        <v>#DIV/0!</v>
      </c>
      <c r="AS55" s="19">
        <f t="shared" si="90"/>
        <v>0</v>
      </c>
      <c r="AT55" s="19" t="e">
        <f t="shared" si="91"/>
        <v>#DIV/0!</v>
      </c>
      <c r="AU55" s="19">
        <f t="shared" si="92"/>
        <v>0</v>
      </c>
      <c r="AV55" s="19" t="e">
        <f t="shared" si="93"/>
        <v>#DIV/0!</v>
      </c>
      <c r="AW55" s="19">
        <f t="shared" si="94"/>
        <v>0</v>
      </c>
      <c r="AX55" s="19" t="e">
        <f t="shared" si="95"/>
        <v>#DIV/0!</v>
      </c>
      <c r="AY55" s="19">
        <f t="shared" si="96"/>
        <v>0</v>
      </c>
      <c r="AZ55" s="19" t="e">
        <f t="shared" si="97"/>
        <v>#DIV/0!</v>
      </c>
      <c r="BA55" s="19">
        <f t="shared" si="98"/>
        <v>0</v>
      </c>
      <c r="BB55" s="19" t="e">
        <f t="shared" si="99"/>
        <v>#DIV/0!</v>
      </c>
      <c r="BC55" s="19">
        <f t="shared" si="100"/>
        <v>0</v>
      </c>
      <c r="BD55" s="19" t="e">
        <f t="shared" si="101"/>
        <v>#DIV/0!</v>
      </c>
    </row>
    <row r="56" spans="1:56">
      <c r="A56" s="17">
        <v>10</v>
      </c>
      <c r="B56" s="18" t="s">
        <v>37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P56" s="17">
        <v>10</v>
      </c>
      <c r="Q56" s="18" t="s">
        <v>37</v>
      </c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E56" s="17">
        <v>10</v>
      </c>
      <c r="AF56" s="18" t="s">
        <v>37</v>
      </c>
      <c r="AG56" s="19">
        <f t="shared" si="78"/>
        <v>0</v>
      </c>
      <c r="AH56" s="19" t="e">
        <f t="shared" si="79"/>
        <v>#DIV/0!</v>
      </c>
      <c r="AI56" s="19">
        <f t="shared" si="80"/>
        <v>0</v>
      </c>
      <c r="AJ56" s="19" t="e">
        <f t="shared" si="81"/>
        <v>#DIV/0!</v>
      </c>
      <c r="AK56" s="19">
        <f t="shared" si="82"/>
        <v>0</v>
      </c>
      <c r="AL56" s="19" t="e">
        <f t="shared" si="83"/>
        <v>#DIV/0!</v>
      </c>
      <c r="AM56" s="19">
        <f t="shared" si="84"/>
        <v>0</v>
      </c>
      <c r="AN56" s="19" t="e">
        <f t="shared" si="85"/>
        <v>#DIV/0!</v>
      </c>
      <c r="AO56" s="19">
        <f t="shared" si="86"/>
        <v>0</v>
      </c>
      <c r="AP56" s="19" t="e">
        <f t="shared" si="87"/>
        <v>#DIV/0!</v>
      </c>
      <c r="AQ56" s="19">
        <f t="shared" si="88"/>
        <v>0</v>
      </c>
      <c r="AR56" s="19" t="e">
        <f t="shared" si="89"/>
        <v>#DIV/0!</v>
      </c>
      <c r="AS56" s="19">
        <f t="shared" si="90"/>
        <v>0</v>
      </c>
      <c r="AT56" s="19" t="e">
        <f t="shared" si="91"/>
        <v>#DIV/0!</v>
      </c>
      <c r="AU56" s="19">
        <f t="shared" si="92"/>
        <v>0</v>
      </c>
      <c r="AV56" s="19" t="e">
        <f t="shared" si="93"/>
        <v>#DIV/0!</v>
      </c>
      <c r="AW56" s="19">
        <f t="shared" si="94"/>
        <v>0</v>
      </c>
      <c r="AX56" s="19" t="e">
        <f t="shared" si="95"/>
        <v>#DIV/0!</v>
      </c>
      <c r="AY56" s="19">
        <f t="shared" si="96"/>
        <v>0</v>
      </c>
      <c r="AZ56" s="19" t="e">
        <f t="shared" si="97"/>
        <v>#DIV/0!</v>
      </c>
      <c r="BA56" s="19">
        <f t="shared" si="98"/>
        <v>0</v>
      </c>
      <c r="BB56" s="19" t="e">
        <f t="shared" si="99"/>
        <v>#DIV/0!</v>
      </c>
      <c r="BC56" s="19">
        <f t="shared" si="100"/>
        <v>0</v>
      </c>
      <c r="BD56" s="19" t="e">
        <f t="shared" si="101"/>
        <v>#DIV/0!</v>
      </c>
    </row>
    <row r="57" spans="1:56">
      <c r="A57" s="17">
        <v>11</v>
      </c>
      <c r="B57" s="18" t="s">
        <v>39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P57" s="17">
        <v>11</v>
      </c>
      <c r="Q57" s="18" t="s">
        <v>39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E57" s="17">
        <v>11</v>
      </c>
      <c r="AF57" s="18" t="s">
        <v>39</v>
      </c>
      <c r="AG57" s="19">
        <f t="shared" si="78"/>
        <v>0</v>
      </c>
      <c r="AH57" s="19" t="e">
        <f t="shared" si="79"/>
        <v>#DIV/0!</v>
      </c>
      <c r="AI57" s="19">
        <f t="shared" si="80"/>
        <v>0</v>
      </c>
      <c r="AJ57" s="19" t="e">
        <f t="shared" si="81"/>
        <v>#DIV/0!</v>
      </c>
      <c r="AK57" s="19">
        <f t="shared" si="82"/>
        <v>0</v>
      </c>
      <c r="AL57" s="19" t="e">
        <f t="shared" si="83"/>
        <v>#DIV/0!</v>
      </c>
      <c r="AM57" s="19">
        <f t="shared" si="84"/>
        <v>0</v>
      </c>
      <c r="AN57" s="19" t="e">
        <f t="shared" si="85"/>
        <v>#DIV/0!</v>
      </c>
      <c r="AO57" s="19">
        <f t="shared" si="86"/>
        <v>0</v>
      </c>
      <c r="AP57" s="19" t="e">
        <f t="shared" si="87"/>
        <v>#DIV/0!</v>
      </c>
      <c r="AQ57" s="19">
        <f t="shared" si="88"/>
        <v>0</v>
      </c>
      <c r="AR57" s="19" t="e">
        <f t="shared" si="89"/>
        <v>#DIV/0!</v>
      </c>
      <c r="AS57" s="19">
        <f t="shared" si="90"/>
        <v>0</v>
      </c>
      <c r="AT57" s="19" t="e">
        <f t="shared" si="91"/>
        <v>#DIV/0!</v>
      </c>
      <c r="AU57" s="19">
        <f t="shared" si="92"/>
        <v>0</v>
      </c>
      <c r="AV57" s="19" t="e">
        <f t="shared" si="93"/>
        <v>#DIV/0!</v>
      </c>
      <c r="AW57" s="19">
        <f t="shared" si="94"/>
        <v>0</v>
      </c>
      <c r="AX57" s="19" t="e">
        <f t="shared" si="95"/>
        <v>#DIV/0!</v>
      </c>
      <c r="AY57" s="19">
        <f t="shared" si="96"/>
        <v>0</v>
      </c>
      <c r="AZ57" s="19" t="e">
        <f t="shared" si="97"/>
        <v>#DIV/0!</v>
      </c>
      <c r="BA57" s="19">
        <f t="shared" si="98"/>
        <v>0</v>
      </c>
      <c r="BB57" s="19" t="e">
        <f t="shared" si="99"/>
        <v>#DIV/0!</v>
      </c>
      <c r="BC57" s="19">
        <f t="shared" si="100"/>
        <v>0</v>
      </c>
      <c r="BD57" s="19" t="e">
        <f t="shared" si="101"/>
        <v>#DIV/0!</v>
      </c>
    </row>
    <row r="58" spans="1:56">
      <c r="A58" s="17">
        <v>12</v>
      </c>
      <c r="B58" s="18" t="s">
        <v>41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P58" s="17">
        <v>12</v>
      </c>
      <c r="Q58" s="18" t="s">
        <v>41</v>
      </c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E58" s="17">
        <v>12</v>
      </c>
      <c r="AF58" s="18" t="s">
        <v>41</v>
      </c>
      <c r="AG58" s="19">
        <f t="shared" si="78"/>
        <v>0</v>
      </c>
      <c r="AH58" s="19" t="e">
        <f t="shared" si="79"/>
        <v>#DIV/0!</v>
      </c>
      <c r="AI58" s="19">
        <f t="shared" si="80"/>
        <v>0</v>
      </c>
      <c r="AJ58" s="19" t="e">
        <f t="shared" si="81"/>
        <v>#DIV/0!</v>
      </c>
      <c r="AK58" s="19">
        <f t="shared" si="82"/>
        <v>0</v>
      </c>
      <c r="AL58" s="19" t="e">
        <f t="shared" si="83"/>
        <v>#DIV/0!</v>
      </c>
      <c r="AM58" s="19">
        <f t="shared" si="84"/>
        <v>0</v>
      </c>
      <c r="AN58" s="19" t="e">
        <f t="shared" si="85"/>
        <v>#DIV/0!</v>
      </c>
      <c r="AO58" s="19">
        <f t="shared" si="86"/>
        <v>0</v>
      </c>
      <c r="AP58" s="19" t="e">
        <f t="shared" si="87"/>
        <v>#DIV/0!</v>
      </c>
      <c r="AQ58" s="19">
        <f t="shared" si="88"/>
        <v>0</v>
      </c>
      <c r="AR58" s="19" t="e">
        <f t="shared" si="89"/>
        <v>#DIV/0!</v>
      </c>
      <c r="AS58" s="19">
        <f t="shared" si="90"/>
        <v>0</v>
      </c>
      <c r="AT58" s="19" t="e">
        <f t="shared" si="91"/>
        <v>#DIV/0!</v>
      </c>
      <c r="AU58" s="19">
        <f t="shared" si="92"/>
        <v>0</v>
      </c>
      <c r="AV58" s="19" t="e">
        <f t="shared" si="93"/>
        <v>#DIV/0!</v>
      </c>
      <c r="AW58" s="19">
        <f t="shared" si="94"/>
        <v>0</v>
      </c>
      <c r="AX58" s="19" t="e">
        <f t="shared" si="95"/>
        <v>#DIV/0!</v>
      </c>
      <c r="AY58" s="19">
        <f t="shared" si="96"/>
        <v>0</v>
      </c>
      <c r="AZ58" s="19" t="e">
        <f t="shared" si="97"/>
        <v>#DIV/0!</v>
      </c>
      <c r="BA58" s="19">
        <f t="shared" si="98"/>
        <v>0</v>
      </c>
      <c r="BB58" s="19" t="e">
        <f t="shared" si="99"/>
        <v>#DIV/0!</v>
      </c>
      <c r="BC58" s="19">
        <f t="shared" si="100"/>
        <v>0</v>
      </c>
      <c r="BD58" s="19" t="e">
        <f t="shared" si="101"/>
        <v>#DIV/0!</v>
      </c>
    </row>
    <row r="59" spans="1:56">
      <c r="A59" s="17">
        <v>13</v>
      </c>
      <c r="B59" s="18" t="s">
        <v>43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P59" s="17">
        <v>13</v>
      </c>
      <c r="Q59" s="18" t="s">
        <v>43</v>
      </c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E59" s="17">
        <v>13</v>
      </c>
      <c r="AF59" s="18" t="s">
        <v>43</v>
      </c>
      <c r="AG59" s="19">
        <f t="shared" si="78"/>
        <v>0</v>
      </c>
      <c r="AH59" s="19" t="e">
        <f t="shared" si="79"/>
        <v>#DIV/0!</v>
      </c>
      <c r="AI59" s="19">
        <f t="shared" si="80"/>
        <v>0</v>
      </c>
      <c r="AJ59" s="19" t="e">
        <f t="shared" si="81"/>
        <v>#DIV/0!</v>
      </c>
      <c r="AK59" s="19">
        <f t="shared" si="82"/>
        <v>0</v>
      </c>
      <c r="AL59" s="19" t="e">
        <f t="shared" si="83"/>
        <v>#DIV/0!</v>
      </c>
      <c r="AM59" s="19">
        <f t="shared" si="84"/>
        <v>0</v>
      </c>
      <c r="AN59" s="19" t="e">
        <f t="shared" si="85"/>
        <v>#DIV/0!</v>
      </c>
      <c r="AO59" s="19">
        <f t="shared" si="86"/>
        <v>0</v>
      </c>
      <c r="AP59" s="19" t="e">
        <f t="shared" si="87"/>
        <v>#DIV/0!</v>
      </c>
      <c r="AQ59" s="19">
        <f t="shared" si="88"/>
        <v>0</v>
      </c>
      <c r="AR59" s="19" t="e">
        <f t="shared" si="89"/>
        <v>#DIV/0!</v>
      </c>
      <c r="AS59" s="19">
        <f t="shared" si="90"/>
        <v>0</v>
      </c>
      <c r="AT59" s="19" t="e">
        <f t="shared" si="91"/>
        <v>#DIV/0!</v>
      </c>
      <c r="AU59" s="19">
        <f t="shared" si="92"/>
        <v>0</v>
      </c>
      <c r="AV59" s="19" t="e">
        <f t="shared" si="93"/>
        <v>#DIV/0!</v>
      </c>
      <c r="AW59" s="19">
        <f t="shared" si="94"/>
        <v>0</v>
      </c>
      <c r="AX59" s="19" t="e">
        <f t="shared" si="95"/>
        <v>#DIV/0!</v>
      </c>
      <c r="AY59" s="19">
        <f t="shared" si="96"/>
        <v>0</v>
      </c>
      <c r="AZ59" s="19" t="e">
        <f t="shared" si="97"/>
        <v>#DIV/0!</v>
      </c>
      <c r="BA59" s="19">
        <f t="shared" si="98"/>
        <v>0</v>
      </c>
      <c r="BB59" s="19" t="e">
        <f t="shared" si="99"/>
        <v>#DIV/0!</v>
      </c>
      <c r="BC59" s="19">
        <f t="shared" si="100"/>
        <v>0</v>
      </c>
      <c r="BD59" s="19" t="e">
        <f t="shared" si="101"/>
        <v>#DIV/0!</v>
      </c>
    </row>
    <row r="60" spans="1:56">
      <c r="A60" s="17">
        <v>14</v>
      </c>
      <c r="B60" s="18" t="s">
        <v>44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P60" s="17">
        <v>14</v>
      </c>
      <c r="Q60" s="18" t="s">
        <v>44</v>
      </c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E60" s="17">
        <v>14</v>
      </c>
      <c r="AF60" s="18" t="s">
        <v>44</v>
      </c>
      <c r="AG60" s="19">
        <f t="shared" si="78"/>
        <v>0</v>
      </c>
      <c r="AH60" s="19" t="e">
        <f t="shared" si="79"/>
        <v>#DIV/0!</v>
      </c>
      <c r="AI60" s="19">
        <f t="shared" si="80"/>
        <v>0</v>
      </c>
      <c r="AJ60" s="19" t="e">
        <f t="shared" si="81"/>
        <v>#DIV/0!</v>
      </c>
      <c r="AK60" s="19">
        <f t="shared" si="82"/>
        <v>0</v>
      </c>
      <c r="AL60" s="19" t="e">
        <f t="shared" si="83"/>
        <v>#DIV/0!</v>
      </c>
      <c r="AM60" s="19">
        <f t="shared" si="84"/>
        <v>0</v>
      </c>
      <c r="AN60" s="19" t="e">
        <f t="shared" si="85"/>
        <v>#DIV/0!</v>
      </c>
      <c r="AO60" s="19">
        <f t="shared" si="86"/>
        <v>0</v>
      </c>
      <c r="AP60" s="19" t="e">
        <f t="shared" si="87"/>
        <v>#DIV/0!</v>
      </c>
      <c r="AQ60" s="19">
        <f t="shared" si="88"/>
        <v>0</v>
      </c>
      <c r="AR60" s="19" t="e">
        <f t="shared" si="89"/>
        <v>#DIV/0!</v>
      </c>
      <c r="AS60" s="19">
        <f t="shared" si="90"/>
        <v>0</v>
      </c>
      <c r="AT60" s="19" t="e">
        <f t="shared" si="91"/>
        <v>#DIV/0!</v>
      </c>
      <c r="AU60" s="19">
        <f t="shared" si="92"/>
        <v>0</v>
      </c>
      <c r="AV60" s="19" t="e">
        <f t="shared" si="93"/>
        <v>#DIV/0!</v>
      </c>
      <c r="AW60" s="19">
        <f t="shared" si="94"/>
        <v>0</v>
      </c>
      <c r="AX60" s="19" t="e">
        <f t="shared" si="95"/>
        <v>#DIV/0!</v>
      </c>
      <c r="AY60" s="19">
        <f t="shared" si="96"/>
        <v>0</v>
      </c>
      <c r="AZ60" s="19" t="e">
        <f t="shared" si="97"/>
        <v>#DIV/0!</v>
      </c>
      <c r="BA60" s="19">
        <f t="shared" si="98"/>
        <v>0</v>
      </c>
      <c r="BB60" s="19" t="e">
        <f t="shared" si="99"/>
        <v>#DIV/0!</v>
      </c>
      <c r="BC60" s="19">
        <f t="shared" si="100"/>
        <v>0</v>
      </c>
      <c r="BD60" s="19" t="e">
        <f t="shared" si="101"/>
        <v>#DIV/0!</v>
      </c>
    </row>
    <row r="61" spans="1:56" ht="25.2" thickBot="1">
      <c r="A61" s="17"/>
      <c r="B61" s="20" t="s">
        <v>17</v>
      </c>
      <c r="C61" s="27">
        <f>SUM(C47:C60)</f>
        <v>8211053.5099999998</v>
      </c>
      <c r="D61" s="27">
        <f t="shared" ref="D61:N61" si="102">SUM(D47:D60)</f>
        <v>8402634.8900000006</v>
      </c>
      <c r="E61" s="27">
        <f t="shared" si="102"/>
        <v>8603780.3399999999</v>
      </c>
      <c r="F61" s="27">
        <f t="shared" si="102"/>
        <v>0</v>
      </c>
      <c r="G61" s="27">
        <f t="shared" si="102"/>
        <v>0</v>
      </c>
      <c r="H61" s="27">
        <f t="shared" si="102"/>
        <v>0</v>
      </c>
      <c r="I61" s="27">
        <f t="shared" si="102"/>
        <v>0</v>
      </c>
      <c r="J61" s="27">
        <f t="shared" si="102"/>
        <v>0</v>
      </c>
      <c r="K61" s="27">
        <f t="shared" si="102"/>
        <v>0</v>
      </c>
      <c r="L61" s="27">
        <f t="shared" si="102"/>
        <v>0</v>
      </c>
      <c r="M61" s="27">
        <f t="shared" si="102"/>
        <v>0</v>
      </c>
      <c r="N61" s="27">
        <f t="shared" si="102"/>
        <v>0</v>
      </c>
      <c r="P61" s="17"/>
      <c r="Q61" s="20" t="s">
        <v>17</v>
      </c>
      <c r="R61" s="27">
        <f>SUM(R47:R60)</f>
        <v>11492320.050000001</v>
      </c>
      <c r="S61" s="27">
        <f t="shared" ref="S61:AC61" si="103">SUM(S47:S60)</f>
        <v>11709404.690000001</v>
      </c>
      <c r="T61" s="27">
        <f t="shared" si="103"/>
        <v>11929822.66</v>
      </c>
      <c r="U61" s="27">
        <f t="shared" si="103"/>
        <v>0</v>
      </c>
      <c r="V61" s="27">
        <f t="shared" si="103"/>
        <v>0</v>
      </c>
      <c r="W61" s="27">
        <f t="shared" si="103"/>
        <v>0</v>
      </c>
      <c r="X61" s="27">
        <f t="shared" si="103"/>
        <v>0</v>
      </c>
      <c r="Y61" s="27">
        <f t="shared" si="103"/>
        <v>0</v>
      </c>
      <c r="Z61" s="27">
        <f t="shared" si="103"/>
        <v>0</v>
      </c>
      <c r="AA61" s="27">
        <f t="shared" si="103"/>
        <v>0</v>
      </c>
      <c r="AB61" s="27">
        <f t="shared" si="103"/>
        <v>0</v>
      </c>
      <c r="AC61" s="27">
        <f t="shared" si="103"/>
        <v>0</v>
      </c>
      <c r="AE61" s="17"/>
      <c r="AF61" s="20" t="s">
        <v>17</v>
      </c>
      <c r="AG61" s="23">
        <f t="shared" si="78"/>
        <v>-3281266.540000001</v>
      </c>
      <c r="AH61" s="23">
        <f t="shared" si="79"/>
        <v>-39.96157784142855</v>
      </c>
      <c r="AI61" s="23">
        <f t="shared" si="80"/>
        <v>-3306769.8000000007</v>
      </c>
      <c r="AJ61" s="23">
        <f t="shared" si="81"/>
        <v>-39.353962694908908</v>
      </c>
      <c r="AK61" s="23">
        <f t="shared" si="82"/>
        <v>-3326042.3200000003</v>
      </c>
      <c r="AL61" s="23">
        <f t="shared" si="83"/>
        <v>-38.657917665991924</v>
      </c>
      <c r="AM61" s="23">
        <f t="shared" si="84"/>
        <v>0</v>
      </c>
      <c r="AN61" s="23" t="e">
        <f t="shared" si="85"/>
        <v>#DIV/0!</v>
      </c>
      <c r="AO61" s="23">
        <f t="shared" si="86"/>
        <v>0</v>
      </c>
      <c r="AP61" s="23" t="e">
        <f t="shared" si="87"/>
        <v>#DIV/0!</v>
      </c>
      <c r="AQ61" s="23">
        <f t="shared" si="88"/>
        <v>0</v>
      </c>
      <c r="AR61" s="23" t="e">
        <f t="shared" si="89"/>
        <v>#DIV/0!</v>
      </c>
      <c r="AS61" s="23">
        <f t="shared" si="90"/>
        <v>0</v>
      </c>
      <c r="AT61" s="23" t="e">
        <f t="shared" si="91"/>
        <v>#DIV/0!</v>
      </c>
      <c r="AU61" s="23">
        <f t="shared" si="92"/>
        <v>0</v>
      </c>
      <c r="AV61" s="23" t="e">
        <f t="shared" si="93"/>
        <v>#DIV/0!</v>
      </c>
      <c r="AW61" s="23">
        <f t="shared" si="94"/>
        <v>0</v>
      </c>
      <c r="AX61" s="23" t="e">
        <f t="shared" si="95"/>
        <v>#DIV/0!</v>
      </c>
      <c r="AY61" s="23">
        <f t="shared" si="96"/>
        <v>0</v>
      </c>
      <c r="AZ61" s="23" t="e">
        <f t="shared" si="97"/>
        <v>#DIV/0!</v>
      </c>
      <c r="BA61" s="23">
        <f t="shared" si="98"/>
        <v>0</v>
      </c>
      <c r="BB61" s="23" t="e">
        <f t="shared" si="99"/>
        <v>#DIV/0!</v>
      </c>
      <c r="BC61" s="23">
        <f t="shared" si="100"/>
        <v>0</v>
      </c>
      <c r="BD61" s="23" t="e">
        <f t="shared" si="101"/>
        <v>#DIV/0!</v>
      </c>
    </row>
    <row r="62" spans="1:56" ht="25.2" thickTop="1"/>
    <row r="63" spans="1:56">
      <c r="A63" s="32" t="s">
        <v>1942</v>
      </c>
      <c r="B63" s="32"/>
      <c r="C63" s="32"/>
      <c r="D63" s="32"/>
      <c r="E63" s="32"/>
      <c r="F63" s="32"/>
      <c r="G63" s="32"/>
      <c r="H63" s="32"/>
      <c r="I63" s="32"/>
    </row>
    <row r="64" spans="1:56" customFormat="1" ht="21">
      <c r="A64" s="28" t="s">
        <v>659</v>
      </c>
      <c r="B64" s="28" t="s">
        <v>660</v>
      </c>
      <c r="C64" s="28" t="s">
        <v>661</v>
      </c>
      <c r="D64" s="28" t="s">
        <v>662</v>
      </c>
      <c r="E64" s="28" t="s">
        <v>663</v>
      </c>
      <c r="F64" s="28" t="s">
        <v>664</v>
      </c>
      <c r="G64" s="28" t="s">
        <v>665</v>
      </c>
    </row>
    <row r="65" spans="1:9" customFormat="1" ht="21">
      <c r="A65" s="28" t="s">
        <v>305</v>
      </c>
      <c r="B65" s="28" t="s">
        <v>91</v>
      </c>
      <c r="C65" s="28" t="s">
        <v>92</v>
      </c>
      <c r="D65" s="28" t="s">
        <v>306</v>
      </c>
      <c r="E65" s="29">
        <v>729915</v>
      </c>
      <c r="F65" s="29">
        <v>-729914</v>
      </c>
      <c r="G65" s="29">
        <v>1</v>
      </c>
      <c r="H65" t="s">
        <v>1381</v>
      </c>
      <c r="I65" t="s">
        <v>11</v>
      </c>
    </row>
    <row r="66" spans="1:9" customFormat="1" ht="21">
      <c r="A66" s="28" t="s">
        <v>307</v>
      </c>
      <c r="B66" s="28" t="s">
        <v>91</v>
      </c>
      <c r="C66" s="28" t="s">
        <v>92</v>
      </c>
      <c r="D66" s="28" t="s">
        <v>308</v>
      </c>
      <c r="E66" s="29">
        <v>1141742</v>
      </c>
      <c r="F66" s="29">
        <v>-1141741</v>
      </c>
      <c r="G66" s="29">
        <v>1</v>
      </c>
      <c r="H66" t="s">
        <v>1381</v>
      </c>
      <c r="I66" t="s">
        <v>11</v>
      </c>
    </row>
    <row r="67" spans="1:9" customFormat="1" ht="21">
      <c r="A67" s="28" t="s">
        <v>309</v>
      </c>
      <c r="B67" s="28" t="s">
        <v>91</v>
      </c>
      <c r="C67" s="28" t="s">
        <v>92</v>
      </c>
      <c r="D67" s="28" t="s">
        <v>310</v>
      </c>
      <c r="E67" s="29">
        <v>749155</v>
      </c>
      <c r="F67" s="29">
        <v>-749154</v>
      </c>
      <c r="G67" s="29">
        <v>1</v>
      </c>
      <c r="H67" t="s">
        <v>1381</v>
      </c>
      <c r="I67" t="s">
        <v>11</v>
      </c>
    </row>
    <row r="68" spans="1:9" customFormat="1" ht="21">
      <c r="A68" s="28" t="s">
        <v>311</v>
      </c>
      <c r="B68" s="28" t="s">
        <v>91</v>
      </c>
      <c r="C68" s="28" t="s">
        <v>92</v>
      </c>
      <c r="D68" s="28" t="s">
        <v>312</v>
      </c>
      <c r="E68" s="29">
        <v>334080</v>
      </c>
      <c r="F68" s="29">
        <v>-249873.54</v>
      </c>
      <c r="G68" s="29">
        <v>84206.46</v>
      </c>
      <c r="H68" t="s">
        <v>1381</v>
      </c>
      <c r="I68" t="s">
        <v>11</v>
      </c>
    </row>
    <row r="69" spans="1:9" customFormat="1" ht="21">
      <c r="A69" s="28" t="s">
        <v>311</v>
      </c>
      <c r="B69" s="28" t="s">
        <v>108</v>
      </c>
      <c r="C69" s="28" t="s">
        <v>92</v>
      </c>
      <c r="D69" s="28" t="s">
        <v>312</v>
      </c>
      <c r="E69" s="29">
        <v>3841920</v>
      </c>
      <c r="F69" s="29">
        <v>-3841919</v>
      </c>
      <c r="G69" s="29">
        <v>1</v>
      </c>
      <c r="H69" t="s">
        <v>1381</v>
      </c>
      <c r="I69" t="s">
        <v>11</v>
      </c>
    </row>
    <row r="70" spans="1:9" customFormat="1" ht="21">
      <c r="A70" s="28" t="s">
        <v>313</v>
      </c>
      <c r="B70" s="28" t="s">
        <v>91</v>
      </c>
      <c r="C70" s="28" t="s">
        <v>92</v>
      </c>
      <c r="D70" s="28" t="s">
        <v>314</v>
      </c>
      <c r="E70" s="29">
        <v>790559</v>
      </c>
      <c r="F70" s="29">
        <v>-86002.240000000005</v>
      </c>
      <c r="G70" s="29">
        <v>704556.76</v>
      </c>
      <c r="H70" t="s">
        <v>1381</v>
      </c>
      <c r="I70" t="s">
        <v>11</v>
      </c>
    </row>
    <row r="71" spans="1:9" customFormat="1" ht="21">
      <c r="A71" s="28" t="s">
        <v>313</v>
      </c>
      <c r="B71" s="28" t="s">
        <v>108</v>
      </c>
      <c r="C71" s="28" t="s">
        <v>92</v>
      </c>
      <c r="D71" s="28" t="s">
        <v>314</v>
      </c>
      <c r="E71" s="29">
        <v>646821</v>
      </c>
      <c r="F71" s="29">
        <v>-646820</v>
      </c>
      <c r="G71" s="29">
        <v>1</v>
      </c>
      <c r="H71" t="s">
        <v>1381</v>
      </c>
      <c r="I71" t="s">
        <v>11</v>
      </c>
    </row>
    <row r="72" spans="1:9" customFormat="1" ht="21">
      <c r="A72" s="28" t="s">
        <v>315</v>
      </c>
      <c r="B72" s="28" t="s">
        <v>91</v>
      </c>
      <c r="C72" s="28" t="s">
        <v>92</v>
      </c>
      <c r="D72" s="28" t="s">
        <v>316</v>
      </c>
      <c r="E72" s="29">
        <v>6834333.3300000001</v>
      </c>
      <c r="F72" s="29">
        <v>-604298.93999999994</v>
      </c>
      <c r="G72" s="29">
        <v>6230034.3899999997</v>
      </c>
      <c r="H72" t="s">
        <v>1381</v>
      </c>
      <c r="I72" t="s">
        <v>11</v>
      </c>
    </row>
    <row r="73" spans="1:9" customFormat="1" ht="21">
      <c r="A73" s="28" t="s">
        <v>315</v>
      </c>
      <c r="B73" s="28" t="s">
        <v>108</v>
      </c>
      <c r="C73" s="28" t="s">
        <v>92</v>
      </c>
      <c r="D73" s="28" t="s">
        <v>316</v>
      </c>
      <c r="E73" s="29">
        <v>3265666.67</v>
      </c>
      <c r="F73" s="29">
        <v>-3265665.67</v>
      </c>
      <c r="G73" s="29">
        <v>1</v>
      </c>
      <c r="H73" t="s">
        <v>1381</v>
      </c>
      <c r="I73" t="s">
        <v>11</v>
      </c>
    </row>
    <row r="74" spans="1:9" customFormat="1" ht="21">
      <c r="A74" s="28" t="s">
        <v>317</v>
      </c>
      <c r="B74" s="28" t="s">
        <v>91</v>
      </c>
      <c r="C74" s="28" t="s">
        <v>92</v>
      </c>
      <c r="D74" s="28" t="s">
        <v>318</v>
      </c>
      <c r="E74" s="29">
        <v>840791</v>
      </c>
      <c r="F74" s="29">
        <v>-840790</v>
      </c>
      <c r="G74" s="29">
        <v>1</v>
      </c>
      <c r="H74" t="s">
        <v>1381</v>
      </c>
      <c r="I74" t="s">
        <v>11</v>
      </c>
    </row>
    <row r="75" spans="1:9" customFormat="1" ht="21">
      <c r="A75" s="28" t="s">
        <v>544</v>
      </c>
      <c r="B75" s="28" t="s">
        <v>91</v>
      </c>
      <c r="C75" s="28" t="s">
        <v>92</v>
      </c>
      <c r="D75" s="28" t="s">
        <v>545</v>
      </c>
      <c r="E75" s="29">
        <v>7759000</v>
      </c>
      <c r="F75" s="29">
        <v>-7758999</v>
      </c>
      <c r="G75" s="29">
        <v>1</v>
      </c>
      <c r="H75" t="s">
        <v>1381</v>
      </c>
      <c r="I75" t="s">
        <v>9</v>
      </c>
    </row>
    <row r="76" spans="1:9" customFormat="1" ht="21">
      <c r="A76" s="28" t="s">
        <v>546</v>
      </c>
      <c r="B76" s="28" t="s">
        <v>91</v>
      </c>
      <c r="C76" s="28" t="s">
        <v>92</v>
      </c>
      <c r="D76" s="28" t="s">
        <v>547</v>
      </c>
      <c r="E76" s="29">
        <v>264000</v>
      </c>
      <c r="F76" s="29">
        <v>-65819.179999999993</v>
      </c>
      <c r="G76" s="29">
        <v>198180.82</v>
      </c>
      <c r="H76" t="s">
        <v>1381</v>
      </c>
      <c r="I76" t="s">
        <v>9</v>
      </c>
    </row>
    <row r="77" spans="1:9" customFormat="1" ht="21">
      <c r="A77" s="28" t="s">
        <v>546</v>
      </c>
      <c r="B77" s="28" t="s">
        <v>108</v>
      </c>
      <c r="C77" s="28" t="s">
        <v>92</v>
      </c>
      <c r="D77" s="28" t="s">
        <v>547</v>
      </c>
      <c r="E77" s="29">
        <v>836000</v>
      </c>
      <c r="F77" s="29">
        <v>-835999</v>
      </c>
      <c r="G77" s="29">
        <v>1</v>
      </c>
      <c r="H77" t="s">
        <v>1381</v>
      </c>
      <c r="I77" t="s">
        <v>9</v>
      </c>
    </row>
    <row r="78" spans="1:9" customFormat="1" ht="21">
      <c r="A78" s="28" t="s">
        <v>548</v>
      </c>
      <c r="B78" s="28" t="s">
        <v>91</v>
      </c>
      <c r="C78" s="28" t="s">
        <v>92</v>
      </c>
      <c r="D78" s="28" t="s">
        <v>549</v>
      </c>
      <c r="E78" s="29">
        <v>6086538</v>
      </c>
      <c r="F78" s="29">
        <v>-606986.26</v>
      </c>
      <c r="G78" s="29">
        <v>5479551.7400000002</v>
      </c>
      <c r="H78" t="s">
        <v>1381</v>
      </c>
      <c r="I78" t="s">
        <v>9</v>
      </c>
    </row>
    <row r="79" spans="1:9" customFormat="1" ht="21">
      <c r="A79" s="28" t="s">
        <v>548</v>
      </c>
      <c r="B79" s="28" t="s">
        <v>108</v>
      </c>
      <c r="C79" s="28" t="s">
        <v>92</v>
      </c>
      <c r="D79" s="28" t="s">
        <v>549</v>
      </c>
      <c r="E79" s="29">
        <v>4057692</v>
      </c>
      <c r="F79" s="29">
        <v>-4057691</v>
      </c>
      <c r="G79" s="29">
        <v>1</v>
      </c>
      <c r="H79" t="s">
        <v>1381</v>
      </c>
      <c r="I79" t="s">
        <v>9</v>
      </c>
    </row>
    <row r="80" spans="1:9" customFormat="1" ht="21">
      <c r="A80" s="28" t="s">
        <v>1382</v>
      </c>
      <c r="B80" s="28" t="s">
        <v>91</v>
      </c>
      <c r="C80" s="28" t="s">
        <v>92</v>
      </c>
      <c r="D80" s="28" t="s">
        <v>1383</v>
      </c>
      <c r="E80" s="29">
        <v>1079500</v>
      </c>
      <c r="F80" s="29">
        <v>-1079499</v>
      </c>
      <c r="G80" s="29">
        <v>1</v>
      </c>
      <c r="H80" t="s">
        <v>1381</v>
      </c>
      <c r="I80" t="s">
        <v>13</v>
      </c>
    </row>
    <row r="81" spans="1:9" customFormat="1" ht="21">
      <c r="A81" s="28" t="s">
        <v>1384</v>
      </c>
      <c r="B81" s="28" t="s">
        <v>91</v>
      </c>
      <c r="C81" s="28" t="s">
        <v>92</v>
      </c>
      <c r="D81" s="28" t="s">
        <v>1385</v>
      </c>
      <c r="E81" s="29">
        <v>645191.67000000004</v>
      </c>
      <c r="F81" s="29">
        <v>-83319.460000000006</v>
      </c>
      <c r="G81" s="29">
        <v>561872.21</v>
      </c>
      <c r="H81" t="s">
        <v>1381</v>
      </c>
      <c r="I81" t="s">
        <v>15</v>
      </c>
    </row>
    <row r="82" spans="1:9" customFormat="1" ht="21">
      <c r="A82" s="28" t="s">
        <v>1384</v>
      </c>
      <c r="B82" s="28" t="s">
        <v>108</v>
      </c>
      <c r="C82" s="28" t="s">
        <v>92</v>
      </c>
      <c r="D82" s="28" t="s">
        <v>1385</v>
      </c>
      <c r="E82" s="29">
        <v>190308.33</v>
      </c>
      <c r="F82" s="29">
        <v>-190307.33</v>
      </c>
      <c r="G82" s="29">
        <v>1</v>
      </c>
      <c r="H82" t="s">
        <v>1381</v>
      </c>
      <c r="I82" t="s">
        <v>15</v>
      </c>
    </row>
    <row r="83" spans="1:9" customFormat="1" ht="21">
      <c r="A83" s="28" t="s">
        <v>1386</v>
      </c>
      <c r="B83" s="28" t="s">
        <v>91</v>
      </c>
      <c r="C83" s="28" t="s">
        <v>92</v>
      </c>
      <c r="D83" s="28" t="s">
        <v>1387</v>
      </c>
      <c r="E83" s="29">
        <v>2503022.2200000002</v>
      </c>
      <c r="F83" s="29">
        <v>-387372.48</v>
      </c>
      <c r="G83" s="29">
        <v>2115649.7400000002</v>
      </c>
      <c r="H83" t="s">
        <v>1381</v>
      </c>
      <c r="I83" t="s">
        <v>15</v>
      </c>
    </row>
    <row r="84" spans="1:9" customFormat="1" ht="21">
      <c r="A84" s="28" t="s">
        <v>1386</v>
      </c>
      <c r="B84" s="28" t="s">
        <v>108</v>
      </c>
      <c r="C84" s="28" t="s">
        <v>92</v>
      </c>
      <c r="D84" s="28" t="s">
        <v>1387</v>
      </c>
      <c r="E84" s="29">
        <v>1380977.78</v>
      </c>
      <c r="F84" s="29">
        <v>-1380976.78</v>
      </c>
      <c r="G84" s="29">
        <v>1</v>
      </c>
      <c r="H84" t="s">
        <v>1381</v>
      </c>
      <c r="I84" t="s">
        <v>15</v>
      </c>
    </row>
    <row r="85" spans="1:9" customFormat="1" ht="21">
      <c r="A85" s="28" t="s">
        <v>1388</v>
      </c>
      <c r="B85" s="28" t="s">
        <v>91</v>
      </c>
      <c r="C85" s="28" t="s">
        <v>605</v>
      </c>
      <c r="D85" s="28" t="s">
        <v>1389</v>
      </c>
      <c r="E85" s="29">
        <v>2430400</v>
      </c>
      <c r="F85" s="29">
        <v>-2362360.2200000002</v>
      </c>
      <c r="G85" s="29">
        <v>68039.78</v>
      </c>
      <c r="H85" t="s">
        <v>1381</v>
      </c>
      <c r="I85" t="s">
        <v>675</v>
      </c>
    </row>
    <row r="86" spans="1:9" customFormat="1" ht="21">
      <c r="A86" s="28" t="s">
        <v>1390</v>
      </c>
      <c r="B86" s="28" t="s">
        <v>91</v>
      </c>
      <c r="C86" s="28" t="s">
        <v>1230</v>
      </c>
      <c r="D86" s="28" t="s">
        <v>1231</v>
      </c>
      <c r="E86" s="29">
        <v>998000</v>
      </c>
      <c r="F86" s="29">
        <v>-238426.3</v>
      </c>
      <c r="G86" s="29">
        <v>759573.7</v>
      </c>
      <c r="H86" t="s">
        <v>1381</v>
      </c>
      <c r="I86" t="s">
        <v>681</v>
      </c>
    </row>
    <row r="87" spans="1:9" customFormat="1" ht="21">
      <c r="A87" s="28" t="s">
        <v>1391</v>
      </c>
      <c r="B87" s="28" t="s">
        <v>91</v>
      </c>
      <c r="C87" s="28" t="s">
        <v>679</v>
      </c>
      <c r="D87" s="28" t="s">
        <v>680</v>
      </c>
      <c r="E87" s="29">
        <v>449663</v>
      </c>
      <c r="F87" s="29">
        <v>-103237.7</v>
      </c>
      <c r="G87" s="29">
        <v>346425.3</v>
      </c>
      <c r="H87" t="s">
        <v>1381</v>
      </c>
      <c r="I87" t="s">
        <v>681</v>
      </c>
    </row>
    <row r="88" spans="1:9" customFormat="1" ht="21">
      <c r="A88" s="28" t="s">
        <v>1392</v>
      </c>
      <c r="B88" s="28" t="s">
        <v>91</v>
      </c>
      <c r="C88" s="28" t="s">
        <v>679</v>
      </c>
      <c r="D88" s="28" t="s">
        <v>683</v>
      </c>
      <c r="E88" s="29">
        <v>49870</v>
      </c>
      <c r="F88" s="29">
        <v>-11449.61</v>
      </c>
      <c r="G88" s="29">
        <v>38420.39</v>
      </c>
      <c r="H88" t="s">
        <v>1381</v>
      </c>
      <c r="I88" t="s">
        <v>681</v>
      </c>
    </row>
    <row r="89" spans="1:9" customFormat="1" ht="21">
      <c r="A89" s="28" t="s">
        <v>1393</v>
      </c>
      <c r="B89" s="28" t="s">
        <v>91</v>
      </c>
      <c r="C89" s="28" t="s">
        <v>679</v>
      </c>
      <c r="D89" s="28" t="s">
        <v>683</v>
      </c>
      <c r="E89" s="29">
        <v>49870</v>
      </c>
      <c r="F89" s="29">
        <v>-11449.61</v>
      </c>
      <c r="G89" s="29">
        <v>38420.39</v>
      </c>
      <c r="H89" t="s">
        <v>1381</v>
      </c>
      <c r="I89" t="s">
        <v>681</v>
      </c>
    </row>
    <row r="90" spans="1:9" customFormat="1" ht="21">
      <c r="A90" s="28" t="s">
        <v>1394</v>
      </c>
      <c r="B90" s="28" t="s">
        <v>91</v>
      </c>
      <c r="C90" s="28" t="s">
        <v>679</v>
      </c>
      <c r="D90" s="28" t="s">
        <v>683</v>
      </c>
      <c r="E90" s="29">
        <v>49870</v>
      </c>
      <c r="F90" s="29">
        <v>-11449.61</v>
      </c>
      <c r="G90" s="29">
        <v>38420.39</v>
      </c>
      <c r="H90" t="s">
        <v>1381</v>
      </c>
      <c r="I90" t="s">
        <v>681</v>
      </c>
    </row>
    <row r="91" spans="1:9" customFormat="1" ht="21">
      <c r="A91" s="28" t="s">
        <v>1395</v>
      </c>
      <c r="B91" s="28" t="s">
        <v>91</v>
      </c>
      <c r="C91" s="28" t="s">
        <v>679</v>
      </c>
      <c r="D91" s="28" t="s">
        <v>683</v>
      </c>
      <c r="E91" s="29">
        <v>49870</v>
      </c>
      <c r="F91" s="29">
        <v>-11449.61</v>
      </c>
      <c r="G91" s="29">
        <v>38420.39</v>
      </c>
      <c r="H91" t="s">
        <v>1381</v>
      </c>
      <c r="I91" t="s">
        <v>681</v>
      </c>
    </row>
    <row r="92" spans="1:9" customFormat="1" ht="21">
      <c r="A92" s="28" t="s">
        <v>1396</v>
      </c>
      <c r="B92" s="28" t="s">
        <v>91</v>
      </c>
      <c r="C92" s="28" t="s">
        <v>679</v>
      </c>
      <c r="D92" s="28" t="s">
        <v>683</v>
      </c>
      <c r="E92" s="29">
        <v>49870</v>
      </c>
      <c r="F92" s="29">
        <v>-11449.61</v>
      </c>
      <c r="G92" s="29">
        <v>38420.39</v>
      </c>
      <c r="H92" t="s">
        <v>1381</v>
      </c>
      <c r="I92" t="s">
        <v>681</v>
      </c>
    </row>
    <row r="93" spans="1:9" customFormat="1" ht="21">
      <c r="A93" s="28" t="s">
        <v>1397</v>
      </c>
      <c r="B93" s="28" t="s">
        <v>91</v>
      </c>
      <c r="C93" s="28" t="s">
        <v>679</v>
      </c>
      <c r="D93" s="28" t="s">
        <v>683</v>
      </c>
      <c r="E93" s="29">
        <v>49870</v>
      </c>
      <c r="F93" s="29">
        <v>-11449.61</v>
      </c>
      <c r="G93" s="29">
        <v>38420.39</v>
      </c>
      <c r="H93" t="s">
        <v>1381</v>
      </c>
      <c r="I93" t="s">
        <v>681</v>
      </c>
    </row>
    <row r="94" spans="1:9" customFormat="1" ht="21">
      <c r="A94" s="28" t="s">
        <v>1398</v>
      </c>
      <c r="B94" s="28" t="s">
        <v>91</v>
      </c>
      <c r="C94" s="28" t="s">
        <v>679</v>
      </c>
      <c r="D94" s="28" t="s">
        <v>683</v>
      </c>
      <c r="E94" s="29">
        <v>49870</v>
      </c>
      <c r="F94" s="29">
        <v>-11449.61</v>
      </c>
      <c r="G94" s="29">
        <v>38420.39</v>
      </c>
      <c r="H94" t="s">
        <v>1381</v>
      </c>
      <c r="I94" t="s">
        <v>681</v>
      </c>
    </row>
    <row r="95" spans="1:9" customFormat="1" ht="21">
      <c r="A95" s="28" t="s">
        <v>1399</v>
      </c>
      <c r="B95" s="28" t="s">
        <v>91</v>
      </c>
      <c r="C95" s="28" t="s">
        <v>686</v>
      </c>
      <c r="D95" s="28" t="s">
        <v>687</v>
      </c>
      <c r="E95" s="29">
        <v>349650</v>
      </c>
      <c r="F95" s="29">
        <v>-91004.800000000003</v>
      </c>
      <c r="G95" s="29">
        <v>258645.2</v>
      </c>
      <c r="H95" t="s">
        <v>1381</v>
      </c>
      <c r="I95" t="s">
        <v>681</v>
      </c>
    </row>
    <row r="96" spans="1:9" customFormat="1" ht="21">
      <c r="A96" s="28" t="s">
        <v>1400</v>
      </c>
      <c r="B96" s="28" t="s">
        <v>91</v>
      </c>
      <c r="C96" s="28" t="s">
        <v>605</v>
      </c>
      <c r="D96" s="28" t="s">
        <v>1401</v>
      </c>
      <c r="E96" s="29">
        <v>448500</v>
      </c>
      <c r="F96" s="29">
        <v>-435944.11</v>
      </c>
      <c r="G96" s="29">
        <v>12555.89</v>
      </c>
      <c r="H96" t="s">
        <v>1381</v>
      </c>
      <c r="I96" t="s">
        <v>681</v>
      </c>
    </row>
    <row r="97" spans="1:9" customFormat="1" ht="21">
      <c r="A97" s="28" t="s">
        <v>1402</v>
      </c>
      <c r="B97" s="28" t="s">
        <v>91</v>
      </c>
      <c r="C97" s="28" t="s">
        <v>605</v>
      </c>
      <c r="D97" s="28" t="s">
        <v>1101</v>
      </c>
      <c r="E97" s="29">
        <v>449000</v>
      </c>
      <c r="F97" s="29">
        <v>-349748.24</v>
      </c>
      <c r="G97" s="29">
        <v>99251.76</v>
      </c>
      <c r="H97" t="s">
        <v>1381</v>
      </c>
      <c r="I97" t="s">
        <v>681</v>
      </c>
    </row>
    <row r="98" spans="1:9" customFormat="1" ht="21">
      <c r="A98" s="28" t="s">
        <v>1403</v>
      </c>
      <c r="B98" s="28" t="s">
        <v>91</v>
      </c>
      <c r="C98" s="28" t="s">
        <v>605</v>
      </c>
      <c r="D98" s="28" t="s">
        <v>1404</v>
      </c>
      <c r="E98" s="29">
        <v>56235</v>
      </c>
      <c r="F98" s="29">
        <v>-52195.4</v>
      </c>
      <c r="G98" s="29">
        <v>4039.6</v>
      </c>
      <c r="H98" t="s">
        <v>1381</v>
      </c>
      <c r="I98" t="s">
        <v>681</v>
      </c>
    </row>
    <row r="99" spans="1:9" customFormat="1" ht="21">
      <c r="A99" s="28" t="s">
        <v>1405</v>
      </c>
      <c r="B99" s="28" t="s">
        <v>91</v>
      </c>
      <c r="C99" s="28" t="s">
        <v>605</v>
      </c>
      <c r="D99" s="28" t="s">
        <v>1406</v>
      </c>
      <c r="E99" s="29">
        <v>56235</v>
      </c>
      <c r="F99" s="29">
        <v>-52195.4</v>
      </c>
      <c r="G99" s="29">
        <v>4039.6</v>
      </c>
      <c r="H99" t="s">
        <v>1381</v>
      </c>
      <c r="I99" t="s">
        <v>681</v>
      </c>
    </row>
    <row r="100" spans="1:9" customFormat="1" ht="21">
      <c r="A100" s="28" t="s">
        <v>1407</v>
      </c>
      <c r="B100" s="28" t="s">
        <v>91</v>
      </c>
      <c r="C100" s="28" t="s">
        <v>605</v>
      </c>
      <c r="D100" s="28" t="s">
        <v>855</v>
      </c>
      <c r="E100" s="29">
        <v>989700</v>
      </c>
      <c r="F100" s="29">
        <v>-783551.64</v>
      </c>
      <c r="G100" s="29">
        <v>206148.36</v>
      </c>
      <c r="H100" t="s">
        <v>1381</v>
      </c>
      <c r="I100" t="s">
        <v>681</v>
      </c>
    </row>
    <row r="101" spans="1:9" customFormat="1" ht="21">
      <c r="A101" s="28" t="s">
        <v>1408</v>
      </c>
      <c r="B101" s="28" t="s">
        <v>91</v>
      </c>
      <c r="C101" s="28" t="s">
        <v>605</v>
      </c>
      <c r="D101" s="28" t="s">
        <v>1181</v>
      </c>
      <c r="E101" s="29">
        <v>1999800</v>
      </c>
      <c r="F101" s="29">
        <v>-1888040.23</v>
      </c>
      <c r="G101" s="29">
        <v>111759.77</v>
      </c>
      <c r="H101" t="s">
        <v>1381</v>
      </c>
      <c r="I101" t="s">
        <v>681</v>
      </c>
    </row>
    <row r="102" spans="1:9" customFormat="1" ht="21">
      <c r="A102" s="28" t="s">
        <v>1409</v>
      </c>
      <c r="B102" s="28" t="s">
        <v>91</v>
      </c>
      <c r="C102" s="28" t="s">
        <v>605</v>
      </c>
      <c r="D102" s="28" t="s">
        <v>1099</v>
      </c>
      <c r="E102" s="29">
        <v>1992310</v>
      </c>
      <c r="F102" s="29">
        <v>-1306915.04</v>
      </c>
      <c r="G102" s="29">
        <v>685394.96</v>
      </c>
      <c r="H102" t="s">
        <v>1381</v>
      </c>
      <c r="I102" t="s">
        <v>681</v>
      </c>
    </row>
    <row r="103" spans="1:9" customFormat="1" ht="21">
      <c r="A103" s="28" t="s">
        <v>1410</v>
      </c>
      <c r="B103" s="28" t="s">
        <v>91</v>
      </c>
      <c r="C103" s="28" t="s">
        <v>605</v>
      </c>
      <c r="D103" s="28" t="s">
        <v>1411</v>
      </c>
      <c r="E103" s="29">
        <v>1019000</v>
      </c>
      <c r="F103" s="29">
        <v>-957676.38</v>
      </c>
      <c r="G103" s="29">
        <v>61323.62</v>
      </c>
      <c r="H103" t="s">
        <v>1381</v>
      </c>
      <c r="I103" t="s">
        <v>681</v>
      </c>
    </row>
    <row r="104" spans="1:9" customFormat="1" ht="21">
      <c r="A104" s="28" t="s">
        <v>1412</v>
      </c>
      <c r="B104" s="28" t="s">
        <v>91</v>
      </c>
      <c r="C104" s="28" t="s">
        <v>605</v>
      </c>
      <c r="D104" s="28" t="s">
        <v>716</v>
      </c>
      <c r="E104" s="29">
        <v>798000</v>
      </c>
      <c r="F104" s="29">
        <v>-527368</v>
      </c>
      <c r="G104" s="29">
        <v>270632</v>
      </c>
      <c r="H104" t="s">
        <v>1381</v>
      </c>
      <c r="I104" t="s">
        <v>681</v>
      </c>
    </row>
    <row r="105" spans="1:9" customFormat="1" ht="21">
      <c r="A105" s="28" t="s">
        <v>1413</v>
      </c>
      <c r="B105" s="28" t="s">
        <v>91</v>
      </c>
      <c r="C105" s="28" t="s">
        <v>605</v>
      </c>
      <c r="D105" s="28" t="s">
        <v>1414</v>
      </c>
      <c r="E105" s="29">
        <v>639500</v>
      </c>
      <c r="F105" s="29">
        <v>-217666.81</v>
      </c>
      <c r="G105" s="29">
        <v>421833.19</v>
      </c>
      <c r="H105" t="s">
        <v>1381</v>
      </c>
      <c r="I105" t="s">
        <v>681</v>
      </c>
    </row>
    <row r="106" spans="1:9" customFormat="1" ht="21">
      <c r="A106" s="28" t="s">
        <v>1415</v>
      </c>
      <c r="B106" s="28" t="s">
        <v>91</v>
      </c>
      <c r="C106" s="28" t="s">
        <v>605</v>
      </c>
      <c r="D106" s="28" t="s">
        <v>1416</v>
      </c>
      <c r="E106" s="29">
        <v>310000</v>
      </c>
      <c r="F106" s="29">
        <v>-309999</v>
      </c>
      <c r="G106" s="29">
        <v>1</v>
      </c>
      <c r="H106" t="s">
        <v>1381</v>
      </c>
      <c r="I106" t="s">
        <v>681</v>
      </c>
    </row>
    <row r="107" spans="1:9" customFormat="1" ht="21">
      <c r="A107" s="28" t="s">
        <v>1417</v>
      </c>
      <c r="B107" s="28" t="s">
        <v>91</v>
      </c>
      <c r="C107" s="28" t="s">
        <v>1418</v>
      </c>
      <c r="D107" s="28" t="s">
        <v>1419</v>
      </c>
      <c r="E107" s="29">
        <v>200000</v>
      </c>
      <c r="F107" s="29">
        <v>-23013.7</v>
      </c>
      <c r="G107" s="29">
        <v>176986.3</v>
      </c>
      <c r="H107" t="s">
        <v>1381</v>
      </c>
      <c r="I107" t="s">
        <v>681</v>
      </c>
    </row>
  </sheetData>
  <mergeCells count="105">
    <mergeCell ref="A3:A4"/>
    <mergeCell ref="B3:B4"/>
    <mergeCell ref="C3:N3"/>
    <mergeCell ref="P3:P4"/>
    <mergeCell ref="Q3:Q4"/>
    <mergeCell ref="R3:AC3"/>
    <mergeCell ref="A1:N1"/>
    <mergeCell ref="P1:AC1"/>
    <mergeCell ref="AE1:BD1"/>
    <mergeCell ref="A2:N2"/>
    <mergeCell ref="P2:AC2"/>
    <mergeCell ref="AE2:BD2"/>
    <mergeCell ref="C14:N14"/>
    <mergeCell ref="P14:P15"/>
    <mergeCell ref="Q14:Q15"/>
    <mergeCell ref="R14:AC14"/>
    <mergeCell ref="BA3:BB3"/>
    <mergeCell ref="BC3:BD3"/>
    <mergeCell ref="A12:N12"/>
    <mergeCell ref="P12:AC12"/>
    <mergeCell ref="AE12:BD12"/>
    <mergeCell ref="A13:N13"/>
    <mergeCell ref="P13:AC13"/>
    <mergeCell ref="AE13:BD13"/>
    <mergeCell ref="AO3:AP3"/>
    <mergeCell ref="AQ3:AR3"/>
    <mergeCell ref="AS3:AT3"/>
    <mergeCell ref="AU3:AV3"/>
    <mergeCell ref="AW3:AX3"/>
    <mergeCell ref="AY3:AZ3"/>
    <mergeCell ref="AE3:AE4"/>
    <mergeCell ref="AF3:AF4"/>
    <mergeCell ref="AG3:AH3"/>
    <mergeCell ref="AI3:AJ3"/>
    <mergeCell ref="AK3:AL3"/>
    <mergeCell ref="AM3:AN3"/>
    <mergeCell ref="Q25:Q26"/>
    <mergeCell ref="R25:AC25"/>
    <mergeCell ref="BA14:BB14"/>
    <mergeCell ref="BC14:BD14"/>
    <mergeCell ref="A23:N23"/>
    <mergeCell ref="P23:AC23"/>
    <mergeCell ref="AE23:BD23"/>
    <mergeCell ref="A24:N24"/>
    <mergeCell ref="P24:AC24"/>
    <mergeCell ref="AE24:BD24"/>
    <mergeCell ref="AO14:AP14"/>
    <mergeCell ref="AQ14:AR14"/>
    <mergeCell ref="AS14:AT14"/>
    <mergeCell ref="AU14:AV14"/>
    <mergeCell ref="AW14:AX14"/>
    <mergeCell ref="AY14:AZ14"/>
    <mergeCell ref="AE14:AE15"/>
    <mergeCell ref="AF14:AF15"/>
    <mergeCell ref="AG14:AH14"/>
    <mergeCell ref="AI14:AJ14"/>
    <mergeCell ref="AK14:AL14"/>
    <mergeCell ref="AM14:AN14"/>
    <mergeCell ref="A14:A15"/>
    <mergeCell ref="B14:B15"/>
    <mergeCell ref="BA25:BB25"/>
    <mergeCell ref="BC25:BD25"/>
    <mergeCell ref="A43:N43"/>
    <mergeCell ref="P43:AC43"/>
    <mergeCell ref="AE43:BD43"/>
    <mergeCell ref="A44:N44"/>
    <mergeCell ref="P44:AC44"/>
    <mergeCell ref="AE44:BD44"/>
    <mergeCell ref="AO25:AP25"/>
    <mergeCell ref="AQ25:AR25"/>
    <mergeCell ref="AS25:AT25"/>
    <mergeCell ref="AU25:AV25"/>
    <mergeCell ref="AW25:AX25"/>
    <mergeCell ref="AY25:AZ25"/>
    <mergeCell ref="AE25:AE26"/>
    <mergeCell ref="AF25:AF26"/>
    <mergeCell ref="AG25:AH25"/>
    <mergeCell ref="AI25:AJ25"/>
    <mergeCell ref="AK25:AL25"/>
    <mergeCell ref="AM25:AN25"/>
    <mergeCell ref="A25:A26"/>
    <mergeCell ref="B25:B26"/>
    <mergeCell ref="C25:N25"/>
    <mergeCell ref="P25:P26"/>
    <mergeCell ref="BA45:BB45"/>
    <mergeCell ref="BC45:BD45"/>
    <mergeCell ref="A63:I63"/>
    <mergeCell ref="AO45:AP45"/>
    <mergeCell ref="AQ45:AR45"/>
    <mergeCell ref="AS45:AT45"/>
    <mergeCell ref="AU45:AV45"/>
    <mergeCell ref="AW45:AX45"/>
    <mergeCell ref="AY45:AZ45"/>
    <mergeCell ref="AE45:AE46"/>
    <mergeCell ref="AF45:AF46"/>
    <mergeCell ref="AG45:AH45"/>
    <mergeCell ref="AI45:AJ45"/>
    <mergeCell ref="AK45:AL45"/>
    <mergeCell ref="AM45:AN45"/>
    <mergeCell ref="A45:A46"/>
    <mergeCell ref="B45:B46"/>
    <mergeCell ref="C45:N45"/>
    <mergeCell ref="P45:P46"/>
    <mergeCell ref="Q45:Q46"/>
    <mergeCell ref="R45:AC4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B135-1838-4D6E-B6DC-5509E23C583C}">
  <dimension ref="A1:BD105"/>
  <sheetViews>
    <sheetView topLeftCell="A58" workbookViewId="0">
      <selection activeCell="E53" sqref="E53"/>
    </sheetView>
  </sheetViews>
  <sheetFormatPr defaultColWidth="18.75" defaultRowHeight="24.6"/>
  <cols>
    <col min="1" max="1" width="6.75" style="24" bestFit="1" customWidth="1"/>
    <col min="2" max="2" width="53" style="13" bestFit="1" customWidth="1"/>
    <col min="3" max="15" width="18.75" style="13"/>
    <col min="16" max="16" width="6.75" style="24" bestFit="1" customWidth="1"/>
    <col min="17" max="17" width="53" style="13" bestFit="1" customWidth="1"/>
    <col min="18" max="20" width="19.5" style="13" bestFit="1" customWidth="1"/>
    <col min="21" max="30" width="18.75" style="13"/>
    <col min="31" max="31" width="6.75" style="24" bestFit="1" customWidth="1"/>
    <col min="32" max="32" width="53" style="13" bestFit="1" customWidth="1"/>
    <col min="33" max="16384" width="18.75" style="13"/>
  </cols>
  <sheetData>
    <row r="1" spans="1:56">
      <c r="A1" s="37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2"/>
      <c r="P1" s="37" t="s">
        <v>49</v>
      </c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E1" s="37" t="s">
        <v>0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</row>
    <row r="2" spans="1:56">
      <c r="A2" s="37" t="s">
        <v>1955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2"/>
      <c r="P2" s="37" t="s">
        <v>1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E2" s="37" t="s">
        <v>1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</row>
    <row r="3" spans="1:56" s="15" customFormat="1">
      <c r="A3" s="35" t="s">
        <v>2</v>
      </c>
      <c r="B3" s="35" t="s">
        <v>3</v>
      </c>
      <c r="C3" s="38" t="s">
        <v>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  <c r="O3" s="14"/>
      <c r="P3" s="35" t="s">
        <v>2</v>
      </c>
      <c r="Q3" s="35" t="s">
        <v>3</v>
      </c>
      <c r="R3" s="38" t="s">
        <v>5</v>
      </c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E3" s="35" t="s">
        <v>2</v>
      </c>
      <c r="AF3" s="35" t="s">
        <v>3</v>
      </c>
      <c r="AG3" s="33">
        <v>25112</v>
      </c>
      <c r="AH3" s="34"/>
      <c r="AI3" s="33">
        <v>25143</v>
      </c>
      <c r="AJ3" s="34"/>
      <c r="AK3" s="33">
        <v>25173</v>
      </c>
      <c r="AL3" s="34"/>
      <c r="AM3" s="33">
        <v>25204</v>
      </c>
      <c r="AN3" s="34"/>
      <c r="AO3" s="33">
        <v>25235</v>
      </c>
      <c r="AP3" s="34"/>
      <c r="AQ3" s="33">
        <v>25263</v>
      </c>
      <c r="AR3" s="34"/>
      <c r="AS3" s="33">
        <v>25294</v>
      </c>
      <c r="AT3" s="34"/>
      <c r="AU3" s="33">
        <v>25324</v>
      </c>
      <c r="AV3" s="34"/>
      <c r="AW3" s="33">
        <v>25355</v>
      </c>
      <c r="AX3" s="34"/>
      <c r="AY3" s="33">
        <v>25385</v>
      </c>
      <c r="AZ3" s="34"/>
      <c r="BA3" s="33">
        <v>25416</v>
      </c>
      <c r="BB3" s="34"/>
      <c r="BC3" s="33">
        <v>25447</v>
      </c>
      <c r="BD3" s="34"/>
    </row>
    <row r="4" spans="1:56" s="15" customFormat="1">
      <c r="A4" s="36"/>
      <c r="B4" s="36"/>
      <c r="C4" s="16">
        <v>25112</v>
      </c>
      <c r="D4" s="16">
        <v>25143</v>
      </c>
      <c r="E4" s="16">
        <v>25173</v>
      </c>
      <c r="F4" s="16">
        <v>25204</v>
      </c>
      <c r="G4" s="16">
        <v>25235</v>
      </c>
      <c r="H4" s="16">
        <v>25263</v>
      </c>
      <c r="I4" s="16">
        <v>25294</v>
      </c>
      <c r="J4" s="16">
        <v>25324</v>
      </c>
      <c r="K4" s="16">
        <v>25355</v>
      </c>
      <c r="L4" s="16">
        <v>25385</v>
      </c>
      <c r="M4" s="16">
        <v>25416</v>
      </c>
      <c r="N4" s="16">
        <v>25447</v>
      </c>
      <c r="P4" s="36"/>
      <c r="Q4" s="36"/>
      <c r="R4" s="16">
        <v>25112</v>
      </c>
      <c r="S4" s="16">
        <v>25143</v>
      </c>
      <c r="T4" s="16">
        <v>25173</v>
      </c>
      <c r="U4" s="16">
        <v>25204</v>
      </c>
      <c r="V4" s="16">
        <v>25235</v>
      </c>
      <c r="W4" s="16">
        <v>25263</v>
      </c>
      <c r="X4" s="16">
        <v>25294</v>
      </c>
      <c r="Y4" s="16">
        <v>25324</v>
      </c>
      <c r="Z4" s="16">
        <v>25355</v>
      </c>
      <c r="AA4" s="16">
        <v>25385</v>
      </c>
      <c r="AB4" s="16">
        <v>25416</v>
      </c>
      <c r="AC4" s="16">
        <v>25447</v>
      </c>
      <c r="AE4" s="36"/>
      <c r="AF4" s="36"/>
      <c r="AG4" s="16" t="s">
        <v>85</v>
      </c>
      <c r="AH4" s="16" t="s">
        <v>86</v>
      </c>
      <c r="AI4" s="16" t="s">
        <v>85</v>
      </c>
      <c r="AJ4" s="16" t="s">
        <v>86</v>
      </c>
      <c r="AK4" s="16" t="s">
        <v>85</v>
      </c>
      <c r="AL4" s="16" t="s">
        <v>86</v>
      </c>
      <c r="AM4" s="16" t="s">
        <v>85</v>
      </c>
      <c r="AN4" s="16" t="s">
        <v>86</v>
      </c>
      <c r="AO4" s="16" t="s">
        <v>85</v>
      </c>
      <c r="AP4" s="16" t="s">
        <v>86</v>
      </c>
      <c r="AQ4" s="16" t="s">
        <v>85</v>
      </c>
      <c r="AR4" s="16" t="s">
        <v>86</v>
      </c>
      <c r="AS4" s="16" t="s">
        <v>85</v>
      </c>
      <c r="AT4" s="16" t="s">
        <v>86</v>
      </c>
      <c r="AU4" s="16" t="s">
        <v>85</v>
      </c>
      <c r="AV4" s="16" t="s">
        <v>86</v>
      </c>
      <c r="AW4" s="16" t="s">
        <v>85</v>
      </c>
      <c r="AX4" s="16" t="s">
        <v>86</v>
      </c>
      <c r="AY4" s="16" t="s">
        <v>85</v>
      </c>
      <c r="AZ4" s="16" t="s">
        <v>86</v>
      </c>
      <c r="BA4" s="16" t="s">
        <v>85</v>
      </c>
      <c r="BB4" s="16" t="s">
        <v>86</v>
      </c>
      <c r="BC4" s="16" t="s">
        <v>85</v>
      </c>
      <c r="BD4" s="16" t="s">
        <v>86</v>
      </c>
    </row>
    <row r="5" spans="1:56">
      <c r="A5" s="17">
        <v>1</v>
      </c>
      <c r="B5" s="18" t="s">
        <v>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P5" s="17">
        <v>1</v>
      </c>
      <c r="Q5" s="18" t="s">
        <v>8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E5" s="17">
        <v>1</v>
      </c>
      <c r="AF5" s="18" t="s">
        <v>8</v>
      </c>
      <c r="AG5" s="19">
        <f>+C5-R5</f>
        <v>0</v>
      </c>
      <c r="AH5" s="19" t="e">
        <f>+AG5/C5*100</f>
        <v>#DIV/0!</v>
      </c>
      <c r="AI5" s="19">
        <f>+D5-S5</f>
        <v>0</v>
      </c>
      <c r="AJ5" s="19" t="e">
        <f>+AI5/D5*100</f>
        <v>#DIV/0!</v>
      </c>
      <c r="AK5" s="19">
        <f>+E5-T5</f>
        <v>0</v>
      </c>
      <c r="AL5" s="19" t="e">
        <f>+AK5/E5*100</f>
        <v>#DIV/0!</v>
      </c>
      <c r="AM5" s="19">
        <f>+F5-U5</f>
        <v>0</v>
      </c>
      <c r="AN5" s="19" t="e">
        <f>+AM5/F5*100</f>
        <v>#DIV/0!</v>
      </c>
      <c r="AO5" s="19">
        <f>+G5-V5</f>
        <v>0</v>
      </c>
      <c r="AP5" s="19" t="e">
        <f>+AO5/G5*100</f>
        <v>#DIV/0!</v>
      </c>
      <c r="AQ5" s="19">
        <f>+H5-W5</f>
        <v>0</v>
      </c>
      <c r="AR5" s="19" t="e">
        <f>+AQ5/H5*100</f>
        <v>#DIV/0!</v>
      </c>
      <c r="AS5" s="19">
        <f>+I5-X5</f>
        <v>0</v>
      </c>
      <c r="AT5" s="19" t="e">
        <f>+AS5/I5*100</f>
        <v>#DIV/0!</v>
      </c>
      <c r="AU5" s="19">
        <f>+J5-Y5</f>
        <v>0</v>
      </c>
      <c r="AV5" s="19" t="e">
        <f>+AU5/J5*100</f>
        <v>#DIV/0!</v>
      </c>
      <c r="AW5" s="19">
        <f>+K5-Z5</f>
        <v>0</v>
      </c>
      <c r="AX5" s="19" t="e">
        <f>+AW5/K5*100</f>
        <v>#DIV/0!</v>
      </c>
      <c r="AY5" s="19">
        <f>+L5-AA5</f>
        <v>0</v>
      </c>
      <c r="AZ5" s="19" t="e">
        <f>+AY5/L5*100</f>
        <v>#DIV/0!</v>
      </c>
      <c r="BA5" s="19">
        <f>+M5-AB5</f>
        <v>0</v>
      </c>
      <c r="BB5" s="19" t="e">
        <f>+BA5/M5*100</f>
        <v>#DIV/0!</v>
      </c>
      <c r="BC5" s="19">
        <f>+N5-AC5</f>
        <v>0</v>
      </c>
      <c r="BD5" s="19" t="e">
        <f>+BC5/N5*100</f>
        <v>#DIV/0!</v>
      </c>
    </row>
    <row r="6" spans="1:56">
      <c r="A6" s="17">
        <v>2</v>
      </c>
      <c r="B6" s="18" t="s">
        <v>9</v>
      </c>
      <c r="C6" s="19">
        <v>65918092</v>
      </c>
      <c r="D6" s="19">
        <v>65918092</v>
      </c>
      <c r="E6" s="19">
        <v>65918092</v>
      </c>
      <c r="F6" s="19"/>
      <c r="G6" s="19"/>
      <c r="H6" s="19"/>
      <c r="I6" s="19"/>
      <c r="J6" s="19"/>
      <c r="K6" s="19"/>
      <c r="L6" s="19"/>
      <c r="M6" s="19"/>
      <c r="N6" s="19"/>
      <c r="P6" s="17">
        <v>2</v>
      </c>
      <c r="Q6" s="18" t="s">
        <v>9</v>
      </c>
      <c r="R6" s="19">
        <v>79105929</v>
      </c>
      <c r="S6" s="19">
        <v>79105929</v>
      </c>
      <c r="T6" s="19">
        <v>79105929</v>
      </c>
      <c r="U6" s="19"/>
      <c r="V6" s="19"/>
      <c r="W6" s="19"/>
      <c r="X6" s="19"/>
      <c r="Y6" s="19"/>
      <c r="Z6" s="19"/>
      <c r="AA6" s="19"/>
      <c r="AB6" s="19"/>
      <c r="AC6" s="19"/>
      <c r="AE6" s="17">
        <v>2</v>
      </c>
      <c r="AF6" s="18" t="s">
        <v>9</v>
      </c>
      <c r="AG6" s="19">
        <f t="shared" ref="AG6:AG10" si="0">+C6-R6</f>
        <v>-13187837</v>
      </c>
      <c r="AH6" s="19">
        <f t="shared" ref="AH6:AH10" si="1">+AG6/C6*100</f>
        <v>-20.006399760478505</v>
      </c>
      <c r="AI6" s="19">
        <f t="shared" ref="AI6:AI10" si="2">+D6-S6</f>
        <v>-13187837</v>
      </c>
      <c r="AJ6" s="19">
        <f t="shared" ref="AJ6:AJ10" si="3">+AI6/D6*100</f>
        <v>-20.006399760478505</v>
      </c>
      <c r="AK6" s="19">
        <f t="shared" ref="AK6:AK10" si="4">+E6-T6</f>
        <v>-13187837</v>
      </c>
      <c r="AL6" s="19">
        <f t="shared" ref="AL6:AL10" si="5">+AK6/E6*100</f>
        <v>-20.006399760478505</v>
      </c>
      <c r="AM6" s="19">
        <f t="shared" ref="AM6:AM10" si="6">+F6-U6</f>
        <v>0</v>
      </c>
      <c r="AN6" s="19" t="e">
        <f t="shared" ref="AN6:AN10" si="7">+AM6/F6*100</f>
        <v>#DIV/0!</v>
      </c>
      <c r="AO6" s="19">
        <f t="shared" ref="AO6:AO10" si="8">+G6-V6</f>
        <v>0</v>
      </c>
      <c r="AP6" s="19" t="e">
        <f t="shared" ref="AP6:AP10" si="9">+AO6/G6*100</f>
        <v>#DIV/0!</v>
      </c>
      <c r="AQ6" s="19">
        <f t="shared" ref="AQ6:AQ10" si="10">+H6-W6</f>
        <v>0</v>
      </c>
      <c r="AR6" s="19" t="e">
        <f t="shared" ref="AR6:AR10" si="11">+AQ6/H6*100</f>
        <v>#DIV/0!</v>
      </c>
      <c r="AS6" s="19">
        <f t="shared" ref="AS6:AS10" si="12">+I6-X6</f>
        <v>0</v>
      </c>
      <c r="AT6" s="19" t="e">
        <f t="shared" ref="AT6:AT10" si="13">+AS6/I6*100</f>
        <v>#DIV/0!</v>
      </c>
      <c r="AU6" s="19">
        <f t="shared" ref="AU6:AU10" si="14">+J6-Y6</f>
        <v>0</v>
      </c>
      <c r="AV6" s="19" t="e">
        <f t="shared" ref="AV6:AV10" si="15">+AU6/J6*100</f>
        <v>#DIV/0!</v>
      </c>
      <c r="AW6" s="19">
        <f t="shared" ref="AW6:AW10" si="16">+K6-Z6</f>
        <v>0</v>
      </c>
      <c r="AX6" s="19" t="e">
        <f t="shared" ref="AX6:AX10" si="17">+AW6/K6*100</f>
        <v>#DIV/0!</v>
      </c>
      <c r="AY6" s="19">
        <f t="shared" ref="AY6:AY10" si="18">+L6-AA6</f>
        <v>0</v>
      </c>
      <c r="AZ6" s="19" t="e">
        <f t="shared" ref="AZ6:AZ10" si="19">+AY6/L6*100</f>
        <v>#DIV/0!</v>
      </c>
      <c r="BA6" s="19">
        <f t="shared" ref="BA6:BA10" si="20">+M6-AB6</f>
        <v>0</v>
      </c>
      <c r="BB6" s="19" t="e">
        <f t="shared" ref="BB6:BB10" si="21">+BA6/M6*100</f>
        <v>#DIV/0!</v>
      </c>
      <c r="BC6" s="19">
        <f t="shared" ref="BC6:BC10" si="22">+N6-AC6</f>
        <v>0</v>
      </c>
      <c r="BD6" s="19" t="e">
        <f t="shared" ref="BD6:BD10" si="23">+BC6/N6*100</f>
        <v>#DIV/0!</v>
      </c>
    </row>
    <row r="7" spans="1:56">
      <c r="A7" s="17">
        <v>3</v>
      </c>
      <c r="B7" s="18" t="s">
        <v>11</v>
      </c>
      <c r="C7" s="19">
        <v>2781527</v>
      </c>
      <c r="D7" s="19">
        <v>2781527</v>
      </c>
      <c r="E7" s="19">
        <v>2781527</v>
      </c>
      <c r="F7" s="19"/>
      <c r="G7" s="19"/>
      <c r="H7" s="19"/>
      <c r="I7" s="19"/>
      <c r="J7" s="19"/>
      <c r="K7" s="19"/>
      <c r="L7" s="19"/>
      <c r="M7" s="19"/>
      <c r="N7" s="19"/>
      <c r="P7" s="17">
        <v>3</v>
      </c>
      <c r="Q7" s="18" t="s">
        <v>11</v>
      </c>
      <c r="R7" s="19">
        <v>12097077</v>
      </c>
      <c r="S7" s="19">
        <v>12097077</v>
      </c>
      <c r="T7" s="19">
        <v>12097077</v>
      </c>
      <c r="U7" s="19"/>
      <c r="V7" s="19"/>
      <c r="W7" s="19"/>
      <c r="X7" s="19"/>
      <c r="Y7" s="19"/>
      <c r="Z7" s="19"/>
      <c r="AA7" s="19"/>
      <c r="AB7" s="19"/>
      <c r="AC7" s="19"/>
      <c r="AE7" s="17">
        <v>3</v>
      </c>
      <c r="AF7" s="18" t="s">
        <v>11</v>
      </c>
      <c r="AG7" s="19">
        <f t="shared" si="0"/>
        <v>-9315550</v>
      </c>
      <c r="AH7" s="19">
        <f t="shared" si="1"/>
        <v>-334.90776828698768</v>
      </c>
      <c r="AI7" s="19">
        <f t="shared" si="2"/>
        <v>-9315550</v>
      </c>
      <c r="AJ7" s="19">
        <f t="shared" si="3"/>
        <v>-334.90776828698768</v>
      </c>
      <c r="AK7" s="19">
        <f t="shared" si="4"/>
        <v>-9315550</v>
      </c>
      <c r="AL7" s="19">
        <f t="shared" si="5"/>
        <v>-334.90776828698768</v>
      </c>
      <c r="AM7" s="19">
        <f t="shared" si="6"/>
        <v>0</v>
      </c>
      <c r="AN7" s="19" t="e">
        <f t="shared" si="7"/>
        <v>#DIV/0!</v>
      </c>
      <c r="AO7" s="19">
        <f t="shared" si="8"/>
        <v>0</v>
      </c>
      <c r="AP7" s="19" t="e">
        <f t="shared" si="9"/>
        <v>#DIV/0!</v>
      </c>
      <c r="AQ7" s="19">
        <f t="shared" si="10"/>
        <v>0</v>
      </c>
      <c r="AR7" s="19" t="e">
        <f t="shared" si="11"/>
        <v>#DIV/0!</v>
      </c>
      <c r="AS7" s="19">
        <f t="shared" si="12"/>
        <v>0</v>
      </c>
      <c r="AT7" s="19" t="e">
        <f t="shared" si="13"/>
        <v>#DIV/0!</v>
      </c>
      <c r="AU7" s="19">
        <f t="shared" si="14"/>
        <v>0</v>
      </c>
      <c r="AV7" s="19" t="e">
        <f t="shared" si="15"/>
        <v>#DIV/0!</v>
      </c>
      <c r="AW7" s="19">
        <f t="shared" si="16"/>
        <v>0</v>
      </c>
      <c r="AX7" s="19" t="e">
        <f t="shared" si="17"/>
        <v>#DIV/0!</v>
      </c>
      <c r="AY7" s="19">
        <f t="shared" si="18"/>
        <v>0</v>
      </c>
      <c r="AZ7" s="19" t="e">
        <f t="shared" si="19"/>
        <v>#DIV/0!</v>
      </c>
      <c r="BA7" s="19">
        <f t="shared" si="20"/>
        <v>0</v>
      </c>
      <c r="BB7" s="19" t="e">
        <f t="shared" si="21"/>
        <v>#DIV/0!</v>
      </c>
      <c r="BC7" s="19">
        <f t="shared" si="22"/>
        <v>0</v>
      </c>
      <c r="BD7" s="19" t="e">
        <f t="shared" si="23"/>
        <v>#DIV/0!</v>
      </c>
    </row>
    <row r="8" spans="1:56">
      <c r="A8" s="17">
        <v>4</v>
      </c>
      <c r="B8" s="18" t="s">
        <v>13</v>
      </c>
      <c r="C8" s="19">
        <v>893892</v>
      </c>
      <c r="D8" s="19">
        <v>893892</v>
      </c>
      <c r="E8" s="19">
        <v>893892</v>
      </c>
      <c r="F8" s="19"/>
      <c r="G8" s="19"/>
      <c r="H8" s="19"/>
      <c r="I8" s="19"/>
      <c r="J8" s="19"/>
      <c r="K8" s="19"/>
      <c r="L8" s="19"/>
      <c r="M8" s="19"/>
      <c r="N8" s="19"/>
      <c r="P8" s="17">
        <v>4</v>
      </c>
      <c r="Q8" s="18" t="s">
        <v>13</v>
      </c>
      <c r="R8" s="19">
        <v>1460990</v>
      </c>
      <c r="S8" s="19">
        <v>1460990</v>
      </c>
      <c r="T8" s="19">
        <v>1460990</v>
      </c>
      <c r="U8" s="19"/>
      <c r="V8" s="19"/>
      <c r="W8" s="19"/>
      <c r="X8" s="19"/>
      <c r="Y8" s="19"/>
      <c r="Z8" s="19"/>
      <c r="AA8" s="19"/>
      <c r="AB8" s="19"/>
      <c r="AC8" s="19"/>
      <c r="AE8" s="17">
        <v>4</v>
      </c>
      <c r="AF8" s="18" t="s">
        <v>13</v>
      </c>
      <c r="AG8" s="19">
        <f t="shared" si="0"/>
        <v>-567098</v>
      </c>
      <c r="AH8" s="19">
        <f t="shared" si="1"/>
        <v>-63.441444827786796</v>
      </c>
      <c r="AI8" s="19">
        <f t="shared" si="2"/>
        <v>-567098</v>
      </c>
      <c r="AJ8" s="19">
        <f t="shared" si="3"/>
        <v>-63.441444827786796</v>
      </c>
      <c r="AK8" s="19">
        <f t="shared" si="4"/>
        <v>-567098</v>
      </c>
      <c r="AL8" s="19">
        <f t="shared" si="5"/>
        <v>-63.441444827786796</v>
      </c>
      <c r="AM8" s="19">
        <f t="shared" si="6"/>
        <v>0</v>
      </c>
      <c r="AN8" s="19" t="e">
        <f t="shared" si="7"/>
        <v>#DIV/0!</v>
      </c>
      <c r="AO8" s="19">
        <f t="shared" si="8"/>
        <v>0</v>
      </c>
      <c r="AP8" s="19" t="e">
        <f t="shared" si="9"/>
        <v>#DIV/0!</v>
      </c>
      <c r="AQ8" s="19">
        <f t="shared" si="10"/>
        <v>0</v>
      </c>
      <c r="AR8" s="19" t="e">
        <f t="shared" si="11"/>
        <v>#DIV/0!</v>
      </c>
      <c r="AS8" s="19">
        <f t="shared" si="12"/>
        <v>0</v>
      </c>
      <c r="AT8" s="19" t="e">
        <f t="shared" si="13"/>
        <v>#DIV/0!</v>
      </c>
      <c r="AU8" s="19">
        <f t="shared" si="14"/>
        <v>0</v>
      </c>
      <c r="AV8" s="19" t="e">
        <f t="shared" si="15"/>
        <v>#DIV/0!</v>
      </c>
      <c r="AW8" s="19">
        <f t="shared" si="16"/>
        <v>0</v>
      </c>
      <c r="AX8" s="19" t="e">
        <f t="shared" si="17"/>
        <v>#DIV/0!</v>
      </c>
      <c r="AY8" s="19">
        <f t="shared" si="18"/>
        <v>0</v>
      </c>
      <c r="AZ8" s="19" t="e">
        <f t="shared" si="19"/>
        <v>#DIV/0!</v>
      </c>
      <c r="BA8" s="19">
        <f t="shared" si="20"/>
        <v>0</v>
      </c>
      <c r="BB8" s="19" t="e">
        <f t="shared" si="21"/>
        <v>#DIV/0!</v>
      </c>
      <c r="BC8" s="19">
        <f t="shared" si="22"/>
        <v>0</v>
      </c>
      <c r="BD8" s="19" t="e">
        <f t="shared" si="23"/>
        <v>#DIV/0!</v>
      </c>
    </row>
    <row r="9" spans="1:56">
      <c r="A9" s="17">
        <v>5</v>
      </c>
      <c r="B9" s="18" t="s">
        <v>15</v>
      </c>
      <c r="C9" s="19">
        <v>8007685</v>
      </c>
      <c r="D9" s="19">
        <v>8007685</v>
      </c>
      <c r="E9" s="19">
        <v>8007685</v>
      </c>
      <c r="F9" s="19"/>
      <c r="G9" s="19"/>
      <c r="H9" s="19"/>
      <c r="I9" s="19"/>
      <c r="J9" s="19"/>
      <c r="K9" s="19"/>
      <c r="L9" s="19"/>
      <c r="M9" s="19"/>
      <c r="N9" s="19"/>
      <c r="P9" s="17">
        <v>5</v>
      </c>
      <c r="Q9" s="18" t="s">
        <v>15</v>
      </c>
      <c r="R9" s="19">
        <v>13073251</v>
      </c>
      <c r="S9" s="19">
        <v>13073251</v>
      </c>
      <c r="T9" s="19">
        <v>13073251</v>
      </c>
      <c r="U9" s="19"/>
      <c r="V9" s="19"/>
      <c r="W9" s="19"/>
      <c r="X9" s="19"/>
      <c r="Y9" s="19"/>
      <c r="Z9" s="19"/>
      <c r="AA9" s="19"/>
      <c r="AB9" s="19"/>
      <c r="AC9" s="19"/>
      <c r="AE9" s="17">
        <v>5</v>
      </c>
      <c r="AF9" s="18" t="s">
        <v>15</v>
      </c>
      <c r="AG9" s="19">
        <f t="shared" si="0"/>
        <v>-5065566</v>
      </c>
      <c r="AH9" s="19">
        <f t="shared" si="1"/>
        <v>-63.258807008517451</v>
      </c>
      <c r="AI9" s="19">
        <f t="shared" si="2"/>
        <v>-5065566</v>
      </c>
      <c r="AJ9" s="19">
        <f t="shared" si="3"/>
        <v>-63.258807008517451</v>
      </c>
      <c r="AK9" s="19">
        <f t="shared" si="4"/>
        <v>-5065566</v>
      </c>
      <c r="AL9" s="19">
        <f t="shared" si="5"/>
        <v>-63.258807008517451</v>
      </c>
      <c r="AM9" s="19">
        <f t="shared" si="6"/>
        <v>0</v>
      </c>
      <c r="AN9" s="19" t="e">
        <f t="shared" si="7"/>
        <v>#DIV/0!</v>
      </c>
      <c r="AO9" s="19">
        <f t="shared" si="8"/>
        <v>0</v>
      </c>
      <c r="AP9" s="19" t="e">
        <f t="shared" si="9"/>
        <v>#DIV/0!</v>
      </c>
      <c r="AQ9" s="19">
        <f t="shared" si="10"/>
        <v>0</v>
      </c>
      <c r="AR9" s="19" t="e">
        <f t="shared" si="11"/>
        <v>#DIV/0!</v>
      </c>
      <c r="AS9" s="19">
        <f t="shared" si="12"/>
        <v>0</v>
      </c>
      <c r="AT9" s="19" t="e">
        <f t="shared" si="13"/>
        <v>#DIV/0!</v>
      </c>
      <c r="AU9" s="19">
        <f t="shared" si="14"/>
        <v>0</v>
      </c>
      <c r="AV9" s="19" t="e">
        <f t="shared" si="15"/>
        <v>#DIV/0!</v>
      </c>
      <c r="AW9" s="19">
        <f t="shared" si="16"/>
        <v>0</v>
      </c>
      <c r="AX9" s="19" t="e">
        <f t="shared" si="17"/>
        <v>#DIV/0!</v>
      </c>
      <c r="AY9" s="19">
        <f t="shared" si="18"/>
        <v>0</v>
      </c>
      <c r="AZ9" s="19" t="e">
        <f t="shared" si="19"/>
        <v>#DIV/0!</v>
      </c>
      <c r="BA9" s="19">
        <f t="shared" si="20"/>
        <v>0</v>
      </c>
      <c r="BB9" s="19" t="e">
        <f t="shared" si="21"/>
        <v>#DIV/0!</v>
      </c>
      <c r="BC9" s="19">
        <f t="shared" si="22"/>
        <v>0</v>
      </c>
      <c r="BD9" s="19" t="e">
        <f t="shared" si="23"/>
        <v>#DIV/0!</v>
      </c>
    </row>
    <row r="10" spans="1:56" s="22" customFormat="1" ht="25.2" thickBot="1">
      <c r="A10" s="20"/>
      <c r="B10" s="20" t="s">
        <v>17</v>
      </c>
      <c r="C10" s="21">
        <f>SUM(C5:C9)</f>
        <v>77601196</v>
      </c>
      <c r="D10" s="21">
        <f t="shared" ref="D10:N10" si="24">SUM(D5:D9)</f>
        <v>77601196</v>
      </c>
      <c r="E10" s="21">
        <f t="shared" si="24"/>
        <v>77601196</v>
      </c>
      <c r="F10" s="21">
        <f t="shared" si="24"/>
        <v>0</v>
      </c>
      <c r="G10" s="21">
        <f t="shared" si="24"/>
        <v>0</v>
      </c>
      <c r="H10" s="21">
        <f t="shared" si="24"/>
        <v>0</v>
      </c>
      <c r="I10" s="21">
        <f t="shared" si="24"/>
        <v>0</v>
      </c>
      <c r="J10" s="21">
        <f t="shared" si="24"/>
        <v>0</v>
      </c>
      <c r="K10" s="21">
        <f t="shared" si="24"/>
        <v>0</v>
      </c>
      <c r="L10" s="21">
        <f t="shared" si="24"/>
        <v>0</v>
      </c>
      <c r="M10" s="21">
        <f t="shared" si="24"/>
        <v>0</v>
      </c>
      <c r="N10" s="21">
        <f t="shared" si="24"/>
        <v>0</v>
      </c>
      <c r="P10" s="20"/>
      <c r="Q10" s="20" t="s">
        <v>17</v>
      </c>
      <c r="R10" s="21">
        <f>SUM(R5:R9)</f>
        <v>105737247</v>
      </c>
      <c r="S10" s="21">
        <f t="shared" ref="S10:AC10" si="25">SUM(S5:S9)</f>
        <v>105737247</v>
      </c>
      <c r="T10" s="21">
        <f t="shared" si="25"/>
        <v>105737247</v>
      </c>
      <c r="U10" s="21">
        <f t="shared" si="25"/>
        <v>0</v>
      </c>
      <c r="V10" s="21">
        <f t="shared" si="25"/>
        <v>0</v>
      </c>
      <c r="W10" s="21">
        <f t="shared" si="25"/>
        <v>0</v>
      </c>
      <c r="X10" s="21">
        <f t="shared" si="25"/>
        <v>0</v>
      </c>
      <c r="Y10" s="21">
        <f t="shared" si="25"/>
        <v>0</v>
      </c>
      <c r="Z10" s="21">
        <f t="shared" si="25"/>
        <v>0</v>
      </c>
      <c r="AA10" s="21">
        <f t="shared" si="25"/>
        <v>0</v>
      </c>
      <c r="AB10" s="21">
        <f t="shared" si="25"/>
        <v>0</v>
      </c>
      <c r="AC10" s="21">
        <f t="shared" si="25"/>
        <v>0</v>
      </c>
      <c r="AE10" s="20"/>
      <c r="AF10" s="20" t="s">
        <v>17</v>
      </c>
      <c r="AG10" s="23">
        <f t="shared" si="0"/>
        <v>-28136051</v>
      </c>
      <c r="AH10" s="23">
        <f t="shared" si="1"/>
        <v>-36.257238870390609</v>
      </c>
      <c r="AI10" s="23">
        <f t="shared" si="2"/>
        <v>-28136051</v>
      </c>
      <c r="AJ10" s="23">
        <f t="shared" si="3"/>
        <v>-36.257238870390609</v>
      </c>
      <c r="AK10" s="23">
        <f t="shared" si="4"/>
        <v>-28136051</v>
      </c>
      <c r="AL10" s="23">
        <f t="shared" si="5"/>
        <v>-36.257238870390609</v>
      </c>
      <c r="AM10" s="23">
        <f t="shared" si="6"/>
        <v>0</v>
      </c>
      <c r="AN10" s="23" t="e">
        <f t="shared" si="7"/>
        <v>#DIV/0!</v>
      </c>
      <c r="AO10" s="23">
        <f t="shared" si="8"/>
        <v>0</v>
      </c>
      <c r="AP10" s="23" t="e">
        <f t="shared" si="9"/>
        <v>#DIV/0!</v>
      </c>
      <c r="AQ10" s="23">
        <f t="shared" si="10"/>
        <v>0</v>
      </c>
      <c r="AR10" s="23" t="e">
        <f t="shared" si="11"/>
        <v>#DIV/0!</v>
      </c>
      <c r="AS10" s="23">
        <f t="shared" si="12"/>
        <v>0</v>
      </c>
      <c r="AT10" s="23" t="e">
        <f t="shared" si="13"/>
        <v>#DIV/0!</v>
      </c>
      <c r="AU10" s="23">
        <f t="shared" si="14"/>
        <v>0</v>
      </c>
      <c r="AV10" s="23" t="e">
        <f t="shared" si="15"/>
        <v>#DIV/0!</v>
      </c>
      <c r="AW10" s="23">
        <f t="shared" si="16"/>
        <v>0</v>
      </c>
      <c r="AX10" s="23" t="e">
        <f t="shared" si="17"/>
        <v>#DIV/0!</v>
      </c>
      <c r="AY10" s="23">
        <f t="shared" si="18"/>
        <v>0</v>
      </c>
      <c r="AZ10" s="23" t="e">
        <f t="shared" si="19"/>
        <v>#DIV/0!</v>
      </c>
      <c r="BA10" s="23">
        <f t="shared" si="20"/>
        <v>0</v>
      </c>
      <c r="BB10" s="23" t="e">
        <f t="shared" si="21"/>
        <v>#DIV/0!</v>
      </c>
      <c r="BC10" s="23">
        <f t="shared" si="22"/>
        <v>0</v>
      </c>
      <c r="BD10" s="23" t="e">
        <f t="shared" si="23"/>
        <v>#DIV/0!</v>
      </c>
    </row>
    <row r="11" spans="1:56" ht="25.2" thickTop="1"/>
    <row r="12" spans="1:56">
      <c r="A12" s="37" t="s">
        <v>46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P12" s="37" t="s">
        <v>50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E12" s="37" t="s">
        <v>87</v>
      </c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</row>
    <row r="13" spans="1:56">
      <c r="A13" s="37" t="s">
        <v>1955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P13" s="37" t="s">
        <v>1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E13" s="37" t="s">
        <v>1</v>
      </c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</row>
    <row r="14" spans="1:56" s="15" customFormat="1">
      <c r="A14" s="35" t="s">
        <v>2</v>
      </c>
      <c r="B14" s="35" t="s">
        <v>3</v>
      </c>
      <c r="C14" s="38" t="s">
        <v>4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0"/>
      <c r="P14" s="35" t="s">
        <v>2</v>
      </c>
      <c r="Q14" s="35" t="s">
        <v>3</v>
      </c>
      <c r="R14" s="38" t="s">
        <v>5</v>
      </c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40"/>
      <c r="AE14" s="35" t="s">
        <v>2</v>
      </c>
      <c r="AF14" s="35" t="s">
        <v>3</v>
      </c>
      <c r="AG14" s="33">
        <v>25112</v>
      </c>
      <c r="AH14" s="34"/>
      <c r="AI14" s="33">
        <v>25143</v>
      </c>
      <c r="AJ14" s="34"/>
      <c r="AK14" s="33">
        <v>25173</v>
      </c>
      <c r="AL14" s="34"/>
      <c r="AM14" s="33">
        <v>25204</v>
      </c>
      <c r="AN14" s="34"/>
      <c r="AO14" s="33">
        <v>25235</v>
      </c>
      <c r="AP14" s="34"/>
      <c r="AQ14" s="33">
        <v>25263</v>
      </c>
      <c r="AR14" s="34"/>
      <c r="AS14" s="33">
        <v>25294</v>
      </c>
      <c r="AT14" s="34"/>
      <c r="AU14" s="33">
        <v>25324</v>
      </c>
      <c r="AV14" s="34"/>
      <c r="AW14" s="33">
        <v>25355</v>
      </c>
      <c r="AX14" s="34"/>
      <c r="AY14" s="33">
        <v>25385</v>
      </c>
      <c r="AZ14" s="34"/>
      <c r="BA14" s="33">
        <v>25416</v>
      </c>
      <c r="BB14" s="34"/>
      <c r="BC14" s="33">
        <v>25447</v>
      </c>
      <c r="BD14" s="34"/>
    </row>
    <row r="15" spans="1:56" s="15" customFormat="1">
      <c r="A15" s="36"/>
      <c r="B15" s="36"/>
      <c r="C15" s="16">
        <v>25112</v>
      </c>
      <c r="D15" s="16">
        <v>25143</v>
      </c>
      <c r="E15" s="16">
        <v>25173</v>
      </c>
      <c r="F15" s="16">
        <v>25204</v>
      </c>
      <c r="G15" s="16">
        <v>25235</v>
      </c>
      <c r="H15" s="16">
        <v>25263</v>
      </c>
      <c r="I15" s="16">
        <v>25294</v>
      </c>
      <c r="J15" s="16">
        <v>25324</v>
      </c>
      <c r="K15" s="16">
        <v>25355</v>
      </c>
      <c r="L15" s="16">
        <v>25385</v>
      </c>
      <c r="M15" s="16">
        <v>25416</v>
      </c>
      <c r="N15" s="16">
        <v>25447</v>
      </c>
      <c r="P15" s="36"/>
      <c r="Q15" s="36"/>
      <c r="R15" s="16">
        <v>25112</v>
      </c>
      <c r="S15" s="16">
        <v>25143</v>
      </c>
      <c r="T15" s="16">
        <v>25173</v>
      </c>
      <c r="U15" s="16">
        <v>25204</v>
      </c>
      <c r="V15" s="16">
        <v>25235</v>
      </c>
      <c r="W15" s="16">
        <v>25263</v>
      </c>
      <c r="X15" s="16">
        <v>25294</v>
      </c>
      <c r="Y15" s="16">
        <v>25324</v>
      </c>
      <c r="Z15" s="16">
        <v>25355</v>
      </c>
      <c r="AA15" s="16">
        <v>25385</v>
      </c>
      <c r="AB15" s="16">
        <v>25416</v>
      </c>
      <c r="AC15" s="16">
        <v>25447</v>
      </c>
      <c r="AE15" s="36"/>
      <c r="AF15" s="36"/>
      <c r="AG15" s="16" t="s">
        <v>85</v>
      </c>
      <c r="AH15" s="16" t="s">
        <v>86</v>
      </c>
      <c r="AI15" s="16" t="s">
        <v>85</v>
      </c>
      <c r="AJ15" s="16" t="s">
        <v>86</v>
      </c>
      <c r="AK15" s="16" t="s">
        <v>85</v>
      </c>
      <c r="AL15" s="16" t="s">
        <v>86</v>
      </c>
      <c r="AM15" s="16" t="s">
        <v>85</v>
      </c>
      <c r="AN15" s="16" t="s">
        <v>86</v>
      </c>
      <c r="AO15" s="16" t="s">
        <v>85</v>
      </c>
      <c r="AP15" s="16" t="s">
        <v>86</v>
      </c>
      <c r="AQ15" s="16" t="s">
        <v>85</v>
      </c>
      <c r="AR15" s="16" t="s">
        <v>86</v>
      </c>
      <c r="AS15" s="16" t="s">
        <v>85</v>
      </c>
      <c r="AT15" s="16" t="s">
        <v>86</v>
      </c>
      <c r="AU15" s="16" t="s">
        <v>85</v>
      </c>
      <c r="AV15" s="16" t="s">
        <v>86</v>
      </c>
      <c r="AW15" s="16" t="s">
        <v>85</v>
      </c>
      <c r="AX15" s="16" t="s">
        <v>86</v>
      </c>
      <c r="AY15" s="16" t="s">
        <v>85</v>
      </c>
      <c r="AZ15" s="16" t="s">
        <v>86</v>
      </c>
      <c r="BA15" s="16" t="s">
        <v>85</v>
      </c>
      <c r="BB15" s="16" t="s">
        <v>86</v>
      </c>
      <c r="BC15" s="16" t="s">
        <v>85</v>
      </c>
      <c r="BD15" s="16" t="s">
        <v>86</v>
      </c>
    </row>
    <row r="16" spans="1:56">
      <c r="A16" s="17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P16" s="17"/>
      <c r="Q16" s="18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E16" s="17"/>
      <c r="AF16" s="18"/>
      <c r="AG16" s="19"/>
      <c r="AH16" s="19"/>
      <c r="AI16" s="19"/>
      <c r="AJ16" s="19"/>
      <c r="AK16" s="19"/>
      <c r="AL16" s="19"/>
      <c r="AM16" s="19"/>
      <c r="AN16" s="19"/>
      <c r="AO16" s="18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</row>
    <row r="17" spans="1:56">
      <c r="A17" s="17">
        <v>1</v>
      </c>
      <c r="B17" s="18" t="s">
        <v>10</v>
      </c>
      <c r="C17" s="19">
        <v>13782017.66</v>
      </c>
      <c r="D17" s="19">
        <v>13962440.1</v>
      </c>
      <c r="E17" s="19">
        <v>14148876.619999999</v>
      </c>
      <c r="F17" s="19"/>
      <c r="G17" s="19"/>
      <c r="H17" s="19"/>
      <c r="I17" s="19"/>
      <c r="J17" s="19"/>
      <c r="K17" s="19"/>
      <c r="L17" s="19"/>
      <c r="M17" s="19"/>
      <c r="N17" s="19"/>
      <c r="P17" s="17">
        <v>1</v>
      </c>
      <c r="Q17" s="18" t="s">
        <v>10</v>
      </c>
      <c r="R17" s="19">
        <v>23054126.600000001</v>
      </c>
      <c r="S17" s="19">
        <v>23301491.219999999</v>
      </c>
      <c r="T17" s="19">
        <v>23524617.34</v>
      </c>
      <c r="U17" s="19"/>
      <c r="V17" s="19"/>
      <c r="W17" s="19"/>
      <c r="X17" s="19"/>
      <c r="Y17" s="19"/>
      <c r="Z17" s="19"/>
      <c r="AA17" s="19"/>
      <c r="AB17" s="19"/>
      <c r="AC17" s="19"/>
      <c r="AE17" s="17">
        <v>1</v>
      </c>
      <c r="AF17" s="18" t="s">
        <v>10</v>
      </c>
      <c r="AG17" s="19">
        <f t="shared" ref="AG17:AG21" si="26">+C17-R17</f>
        <v>-9272108.9400000013</v>
      </c>
      <c r="AH17" s="19">
        <f t="shared" ref="AH17:AH21" si="27">+AG17/C17*100</f>
        <v>-67.276861550618577</v>
      </c>
      <c r="AI17" s="19">
        <f t="shared" ref="AI17:AI21" si="28">+D17-S17</f>
        <v>-9339051.1199999992</v>
      </c>
      <c r="AJ17" s="19">
        <f t="shared" ref="AJ17:AJ21" si="29">+AI17/D17*100</f>
        <v>-66.886955669016615</v>
      </c>
      <c r="AK17" s="19">
        <f t="shared" ref="AK17:AK21" si="30">+E17-T17</f>
        <v>-9375740.7200000007</v>
      </c>
      <c r="AL17" s="19">
        <f t="shared" ref="AL17:AL21" si="31">+AK17/E17*100</f>
        <v>-66.264912556711536</v>
      </c>
      <c r="AM17" s="19">
        <f t="shared" ref="AM17:AM21" si="32">+F17-U17</f>
        <v>0</v>
      </c>
      <c r="AN17" s="19" t="e">
        <f t="shared" ref="AN17:AN21" si="33">+AM17/F17*100</f>
        <v>#DIV/0!</v>
      </c>
      <c r="AO17" s="19">
        <f t="shared" ref="AO17:AO21" si="34">+G17-V17</f>
        <v>0</v>
      </c>
      <c r="AP17" s="19" t="e">
        <f t="shared" ref="AP17:AP21" si="35">+AO17/G17*100</f>
        <v>#DIV/0!</v>
      </c>
      <c r="AQ17" s="19">
        <f t="shared" ref="AQ17:AQ21" si="36">+H17-W17</f>
        <v>0</v>
      </c>
      <c r="AR17" s="19" t="e">
        <f t="shared" ref="AR17:AR21" si="37">+AQ17/H17*100</f>
        <v>#DIV/0!</v>
      </c>
      <c r="AS17" s="19">
        <f t="shared" ref="AS17:AS21" si="38">+I17-X17</f>
        <v>0</v>
      </c>
      <c r="AT17" s="19" t="e">
        <f t="shared" ref="AT17:AT21" si="39">+AS17/I17*100</f>
        <v>#DIV/0!</v>
      </c>
      <c r="AU17" s="19">
        <f t="shared" ref="AU17:AU21" si="40">+J17-Y17</f>
        <v>0</v>
      </c>
      <c r="AV17" s="19" t="e">
        <f t="shared" ref="AV17:AV21" si="41">+AU17/J17*100</f>
        <v>#DIV/0!</v>
      </c>
      <c r="AW17" s="19">
        <f t="shared" ref="AW17:AW21" si="42">+K17-Z17</f>
        <v>0</v>
      </c>
      <c r="AX17" s="19" t="e">
        <f t="shared" ref="AX17:AX21" si="43">+AW17/K17*100</f>
        <v>#DIV/0!</v>
      </c>
      <c r="AY17" s="19">
        <f t="shared" ref="AY17:AY21" si="44">+L17-AA17</f>
        <v>0</v>
      </c>
      <c r="AZ17" s="19" t="e">
        <f t="shared" ref="AZ17:AZ21" si="45">+AY17/L17*100</f>
        <v>#DIV/0!</v>
      </c>
      <c r="BA17" s="19">
        <f t="shared" ref="BA17:BA21" si="46">+M17-AB17</f>
        <v>0</v>
      </c>
      <c r="BB17" s="19" t="e">
        <f t="shared" ref="BB17:BB21" si="47">+BA17/M17*100</f>
        <v>#DIV/0!</v>
      </c>
      <c r="BC17" s="19">
        <f t="shared" ref="BC17:BC21" si="48">+N17-AC17</f>
        <v>0</v>
      </c>
      <c r="BD17" s="19" t="e">
        <f t="shared" ref="BD17:BD21" si="49">+BC17/N17*100</f>
        <v>#DIV/0!</v>
      </c>
    </row>
    <row r="18" spans="1:56">
      <c r="A18" s="17">
        <v>2</v>
      </c>
      <c r="B18" s="18" t="s">
        <v>12</v>
      </c>
      <c r="C18" s="19">
        <v>2781523</v>
      </c>
      <c r="D18" s="19">
        <v>2781523</v>
      </c>
      <c r="E18" s="19">
        <v>2781523</v>
      </c>
      <c r="F18" s="19"/>
      <c r="G18" s="19"/>
      <c r="H18" s="19"/>
      <c r="I18" s="19"/>
      <c r="J18" s="19"/>
      <c r="K18" s="19"/>
      <c r="L18" s="19"/>
      <c r="M18" s="19"/>
      <c r="N18" s="19"/>
      <c r="P18" s="17">
        <v>2</v>
      </c>
      <c r="Q18" s="18" t="s">
        <v>12</v>
      </c>
      <c r="R18" s="19">
        <v>9660716.4100000001</v>
      </c>
      <c r="S18" s="19">
        <v>9691768.2400000002</v>
      </c>
      <c r="T18" s="19">
        <v>9722820.0700000003</v>
      </c>
      <c r="U18" s="19"/>
      <c r="V18" s="19"/>
      <c r="W18" s="19"/>
      <c r="X18" s="19"/>
      <c r="Y18" s="19"/>
      <c r="Z18" s="19"/>
      <c r="AA18" s="19"/>
      <c r="AB18" s="19"/>
      <c r="AC18" s="19"/>
      <c r="AE18" s="17">
        <v>2</v>
      </c>
      <c r="AF18" s="18" t="s">
        <v>12</v>
      </c>
      <c r="AG18" s="19">
        <f t="shared" si="26"/>
        <v>-6879193.4100000001</v>
      </c>
      <c r="AH18" s="19">
        <f t="shared" si="27"/>
        <v>-247.31750950828021</v>
      </c>
      <c r="AI18" s="19">
        <f t="shared" si="28"/>
        <v>-6910245.2400000002</v>
      </c>
      <c r="AJ18" s="19">
        <f t="shared" si="29"/>
        <v>-248.43387022145782</v>
      </c>
      <c r="AK18" s="19">
        <f t="shared" si="30"/>
        <v>-6941297.0700000003</v>
      </c>
      <c r="AL18" s="19">
        <f t="shared" si="31"/>
        <v>-249.55023093463544</v>
      </c>
      <c r="AM18" s="19">
        <f t="shared" si="32"/>
        <v>0</v>
      </c>
      <c r="AN18" s="19" t="e">
        <f t="shared" si="33"/>
        <v>#DIV/0!</v>
      </c>
      <c r="AO18" s="19">
        <f t="shared" si="34"/>
        <v>0</v>
      </c>
      <c r="AP18" s="19" t="e">
        <f t="shared" si="35"/>
        <v>#DIV/0!</v>
      </c>
      <c r="AQ18" s="19">
        <f t="shared" si="36"/>
        <v>0</v>
      </c>
      <c r="AR18" s="19" t="e">
        <f t="shared" si="37"/>
        <v>#DIV/0!</v>
      </c>
      <c r="AS18" s="19">
        <f t="shared" si="38"/>
        <v>0</v>
      </c>
      <c r="AT18" s="19" t="e">
        <f t="shared" si="39"/>
        <v>#DIV/0!</v>
      </c>
      <c r="AU18" s="19">
        <f t="shared" si="40"/>
        <v>0</v>
      </c>
      <c r="AV18" s="19" t="e">
        <f t="shared" si="41"/>
        <v>#DIV/0!</v>
      </c>
      <c r="AW18" s="19">
        <f t="shared" si="42"/>
        <v>0</v>
      </c>
      <c r="AX18" s="19" t="e">
        <f t="shared" si="43"/>
        <v>#DIV/0!</v>
      </c>
      <c r="AY18" s="19">
        <f t="shared" si="44"/>
        <v>0</v>
      </c>
      <c r="AZ18" s="19" t="e">
        <f t="shared" si="45"/>
        <v>#DIV/0!</v>
      </c>
      <c r="BA18" s="19">
        <f t="shared" si="46"/>
        <v>0</v>
      </c>
      <c r="BB18" s="19" t="e">
        <f t="shared" si="47"/>
        <v>#DIV/0!</v>
      </c>
      <c r="BC18" s="19">
        <f t="shared" si="48"/>
        <v>0</v>
      </c>
      <c r="BD18" s="19" t="e">
        <f t="shared" si="49"/>
        <v>#DIV/0!</v>
      </c>
    </row>
    <row r="19" spans="1:56">
      <c r="A19" s="17">
        <v>3</v>
      </c>
      <c r="B19" s="18" t="s">
        <v>14</v>
      </c>
      <c r="C19" s="19">
        <v>893890</v>
      </c>
      <c r="D19" s="19">
        <v>893890</v>
      </c>
      <c r="E19" s="19">
        <v>893890</v>
      </c>
      <c r="F19" s="19"/>
      <c r="G19" s="19"/>
      <c r="H19" s="19"/>
      <c r="I19" s="19"/>
      <c r="J19" s="19"/>
      <c r="K19" s="19"/>
      <c r="L19" s="19"/>
      <c r="M19" s="19"/>
      <c r="N19" s="19"/>
      <c r="P19" s="17">
        <v>3</v>
      </c>
      <c r="Q19" s="18" t="s">
        <v>14</v>
      </c>
      <c r="R19" s="19">
        <v>1460986</v>
      </c>
      <c r="S19" s="19">
        <v>1460986</v>
      </c>
      <c r="T19" s="19">
        <v>1460986</v>
      </c>
      <c r="U19" s="19"/>
      <c r="V19" s="19"/>
      <c r="W19" s="19"/>
      <c r="X19" s="19"/>
      <c r="Y19" s="19"/>
      <c r="Z19" s="19"/>
      <c r="AA19" s="19"/>
      <c r="AB19" s="19"/>
      <c r="AC19" s="19"/>
      <c r="AE19" s="17">
        <v>3</v>
      </c>
      <c r="AF19" s="18" t="s">
        <v>14</v>
      </c>
      <c r="AG19" s="19">
        <f t="shared" si="26"/>
        <v>-567096</v>
      </c>
      <c r="AH19" s="19">
        <f t="shared" si="27"/>
        <v>-63.441363031245459</v>
      </c>
      <c r="AI19" s="19">
        <f t="shared" si="28"/>
        <v>-567096</v>
      </c>
      <c r="AJ19" s="19">
        <f t="shared" si="29"/>
        <v>-63.441363031245459</v>
      </c>
      <c r="AK19" s="19">
        <f t="shared" si="30"/>
        <v>-567096</v>
      </c>
      <c r="AL19" s="19">
        <f t="shared" si="31"/>
        <v>-63.441363031245459</v>
      </c>
      <c r="AM19" s="19">
        <f t="shared" si="32"/>
        <v>0</v>
      </c>
      <c r="AN19" s="19" t="e">
        <f t="shared" si="33"/>
        <v>#DIV/0!</v>
      </c>
      <c r="AO19" s="19">
        <f t="shared" si="34"/>
        <v>0</v>
      </c>
      <c r="AP19" s="19" t="e">
        <f t="shared" si="35"/>
        <v>#DIV/0!</v>
      </c>
      <c r="AQ19" s="19">
        <f t="shared" si="36"/>
        <v>0</v>
      </c>
      <c r="AR19" s="19" t="e">
        <f t="shared" si="37"/>
        <v>#DIV/0!</v>
      </c>
      <c r="AS19" s="19">
        <f t="shared" si="38"/>
        <v>0</v>
      </c>
      <c r="AT19" s="19" t="e">
        <f t="shared" si="39"/>
        <v>#DIV/0!</v>
      </c>
      <c r="AU19" s="19">
        <f t="shared" si="40"/>
        <v>0</v>
      </c>
      <c r="AV19" s="19" t="e">
        <f t="shared" si="41"/>
        <v>#DIV/0!</v>
      </c>
      <c r="AW19" s="19">
        <f t="shared" si="42"/>
        <v>0</v>
      </c>
      <c r="AX19" s="19" t="e">
        <f t="shared" si="43"/>
        <v>#DIV/0!</v>
      </c>
      <c r="AY19" s="19">
        <f t="shared" si="44"/>
        <v>0</v>
      </c>
      <c r="AZ19" s="19" t="e">
        <f t="shared" si="45"/>
        <v>#DIV/0!</v>
      </c>
      <c r="BA19" s="19">
        <f t="shared" si="46"/>
        <v>0</v>
      </c>
      <c r="BB19" s="19" t="e">
        <f t="shared" si="47"/>
        <v>#DIV/0!</v>
      </c>
      <c r="BC19" s="19">
        <f t="shared" si="48"/>
        <v>0</v>
      </c>
      <c r="BD19" s="19" t="e">
        <f t="shared" si="49"/>
        <v>#DIV/0!</v>
      </c>
    </row>
    <row r="20" spans="1:56">
      <c r="A20" s="17">
        <v>4</v>
      </c>
      <c r="B20" s="18" t="s">
        <v>16</v>
      </c>
      <c r="C20" s="19">
        <v>901097.54</v>
      </c>
      <c r="D20" s="19">
        <v>954860.59</v>
      </c>
      <c r="E20" s="19">
        <v>1010415.74</v>
      </c>
      <c r="F20" s="19"/>
      <c r="G20" s="19"/>
      <c r="H20" s="19"/>
      <c r="I20" s="19"/>
      <c r="J20" s="19"/>
      <c r="K20" s="19"/>
      <c r="L20" s="19"/>
      <c r="M20" s="19"/>
      <c r="N20" s="19"/>
      <c r="P20" s="17">
        <v>4</v>
      </c>
      <c r="Q20" s="18" t="s">
        <v>16</v>
      </c>
      <c r="R20" s="19">
        <v>4348244.33</v>
      </c>
      <c r="S20" s="19">
        <v>4386296.07</v>
      </c>
      <c r="T20" s="19">
        <v>4424347.8099999996</v>
      </c>
      <c r="U20" s="19"/>
      <c r="V20" s="19"/>
      <c r="W20" s="19"/>
      <c r="X20" s="19"/>
      <c r="Y20" s="19"/>
      <c r="Z20" s="19"/>
      <c r="AA20" s="19"/>
      <c r="AB20" s="19"/>
      <c r="AC20" s="19"/>
      <c r="AE20" s="17">
        <v>4</v>
      </c>
      <c r="AF20" s="18" t="s">
        <v>16</v>
      </c>
      <c r="AG20" s="19">
        <f t="shared" si="26"/>
        <v>-3447146.79</v>
      </c>
      <c r="AH20" s="19">
        <f t="shared" si="27"/>
        <v>-382.54979477582418</v>
      </c>
      <c r="AI20" s="19">
        <f t="shared" si="28"/>
        <v>-3431435.4800000004</v>
      </c>
      <c r="AJ20" s="19">
        <f t="shared" si="29"/>
        <v>-359.36507548185654</v>
      </c>
      <c r="AK20" s="19">
        <f t="shared" si="30"/>
        <v>-3413932.0699999994</v>
      </c>
      <c r="AL20" s="19">
        <f t="shared" si="31"/>
        <v>-337.87399927083476</v>
      </c>
      <c r="AM20" s="19">
        <f t="shared" si="32"/>
        <v>0</v>
      </c>
      <c r="AN20" s="19" t="e">
        <f t="shared" si="33"/>
        <v>#DIV/0!</v>
      </c>
      <c r="AO20" s="19">
        <f t="shared" si="34"/>
        <v>0</v>
      </c>
      <c r="AP20" s="19" t="e">
        <f t="shared" si="35"/>
        <v>#DIV/0!</v>
      </c>
      <c r="AQ20" s="19">
        <f t="shared" si="36"/>
        <v>0</v>
      </c>
      <c r="AR20" s="19" t="e">
        <f t="shared" si="37"/>
        <v>#DIV/0!</v>
      </c>
      <c r="AS20" s="19">
        <f t="shared" si="38"/>
        <v>0</v>
      </c>
      <c r="AT20" s="19" t="e">
        <f t="shared" si="39"/>
        <v>#DIV/0!</v>
      </c>
      <c r="AU20" s="19">
        <f t="shared" si="40"/>
        <v>0</v>
      </c>
      <c r="AV20" s="19" t="e">
        <f t="shared" si="41"/>
        <v>#DIV/0!</v>
      </c>
      <c r="AW20" s="19">
        <f t="shared" si="42"/>
        <v>0</v>
      </c>
      <c r="AX20" s="19" t="e">
        <f t="shared" si="43"/>
        <v>#DIV/0!</v>
      </c>
      <c r="AY20" s="19">
        <f t="shared" si="44"/>
        <v>0</v>
      </c>
      <c r="AZ20" s="19" t="e">
        <f t="shared" si="45"/>
        <v>#DIV/0!</v>
      </c>
      <c r="BA20" s="19">
        <f t="shared" si="46"/>
        <v>0</v>
      </c>
      <c r="BB20" s="19" t="e">
        <f t="shared" si="47"/>
        <v>#DIV/0!</v>
      </c>
      <c r="BC20" s="19">
        <f t="shared" si="48"/>
        <v>0</v>
      </c>
      <c r="BD20" s="19" t="e">
        <f t="shared" si="49"/>
        <v>#DIV/0!</v>
      </c>
    </row>
    <row r="21" spans="1:56" ht="25.2" thickBot="1">
      <c r="A21" s="20"/>
      <c r="B21" s="20" t="s">
        <v>17</v>
      </c>
      <c r="C21" s="21">
        <f>SUM(C16:C20)</f>
        <v>18358528.199999999</v>
      </c>
      <c r="D21" s="21">
        <f t="shared" ref="D21:N21" si="50">SUM(D16:D20)</f>
        <v>18592713.690000001</v>
      </c>
      <c r="E21" s="21">
        <f t="shared" si="50"/>
        <v>18834705.359999996</v>
      </c>
      <c r="F21" s="21">
        <f t="shared" si="50"/>
        <v>0</v>
      </c>
      <c r="G21" s="21">
        <f t="shared" si="50"/>
        <v>0</v>
      </c>
      <c r="H21" s="21">
        <f t="shared" si="50"/>
        <v>0</v>
      </c>
      <c r="I21" s="21">
        <f t="shared" si="50"/>
        <v>0</v>
      </c>
      <c r="J21" s="21">
        <f t="shared" si="50"/>
        <v>0</v>
      </c>
      <c r="K21" s="21">
        <f t="shared" si="50"/>
        <v>0</v>
      </c>
      <c r="L21" s="21">
        <f t="shared" si="50"/>
        <v>0</v>
      </c>
      <c r="M21" s="21">
        <f t="shared" si="50"/>
        <v>0</v>
      </c>
      <c r="N21" s="21">
        <f t="shared" si="50"/>
        <v>0</v>
      </c>
      <c r="P21" s="20"/>
      <c r="Q21" s="20" t="s">
        <v>17</v>
      </c>
      <c r="R21" s="21">
        <f>SUM(R16:R20)</f>
        <v>38524073.340000004</v>
      </c>
      <c r="S21" s="21">
        <f t="shared" ref="S21:AC21" si="51">SUM(S16:S20)</f>
        <v>38840541.530000001</v>
      </c>
      <c r="T21" s="21">
        <f t="shared" si="51"/>
        <v>39132771.219999999</v>
      </c>
      <c r="U21" s="21">
        <f t="shared" si="51"/>
        <v>0</v>
      </c>
      <c r="V21" s="21">
        <f t="shared" si="51"/>
        <v>0</v>
      </c>
      <c r="W21" s="21">
        <f t="shared" si="51"/>
        <v>0</v>
      </c>
      <c r="X21" s="21">
        <f t="shared" si="51"/>
        <v>0</v>
      </c>
      <c r="Y21" s="21">
        <f t="shared" si="51"/>
        <v>0</v>
      </c>
      <c r="Z21" s="21">
        <f t="shared" si="51"/>
        <v>0</v>
      </c>
      <c r="AA21" s="21">
        <f t="shared" si="51"/>
        <v>0</v>
      </c>
      <c r="AB21" s="21">
        <f t="shared" si="51"/>
        <v>0</v>
      </c>
      <c r="AC21" s="21">
        <f t="shared" si="51"/>
        <v>0</v>
      </c>
      <c r="AE21" s="20"/>
      <c r="AF21" s="20" t="s">
        <v>17</v>
      </c>
      <c r="AG21" s="23">
        <f t="shared" si="26"/>
        <v>-20165545.140000004</v>
      </c>
      <c r="AH21" s="23">
        <f t="shared" si="27"/>
        <v>-109.84292923873933</v>
      </c>
      <c r="AI21" s="23">
        <f t="shared" si="28"/>
        <v>-20247827.84</v>
      </c>
      <c r="AJ21" s="23">
        <f t="shared" si="29"/>
        <v>-108.90195039624686</v>
      </c>
      <c r="AK21" s="23">
        <f t="shared" si="30"/>
        <v>-20298065.860000003</v>
      </c>
      <c r="AL21" s="23">
        <f t="shared" si="31"/>
        <v>-107.76948973732186</v>
      </c>
      <c r="AM21" s="23">
        <f t="shared" si="32"/>
        <v>0</v>
      </c>
      <c r="AN21" s="23" t="e">
        <f t="shared" si="33"/>
        <v>#DIV/0!</v>
      </c>
      <c r="AO21" s="23">
        <f t="shared" si="34"/>
        <v>0</v>
      </c>
      <c r="AP21" s="23" t="e">
        <f t="shared" si="35"/>
        <v>#DIV/0!</v>
      </c>
      <c r="AQ21" s="23">
        <f t="shared" si="36"/>
        <v>0</v>
      </c>
      <c r="AR21" s="23" t="e">
        <f t="shared" si="37"/>
        <v>#DIV/0!</v>
      </c>
      <c r="AS21" s="23">
        <f t="shared" si="38"/>
        <v>0</v>
      </c>
      <c r="AT21" s="23" t="e">
        <f t="shared" si="39"/>
        <v>#DIV/0!</v>
      </c>
      <c r="AU21" s="23">
        <f t="shared" si="40"/>
        <v>0</v>
      </c>
      <c r="AV21" s="23" t="e">
        <f t="shared" si="41"/>
        <v>#DIV/0!</v>
      </c>
      <c r="AW21" s="23">
        <f t="shared" si="42"/>
        <v>0</v>
      </c>
      <c r="AX21" s="23" t="e">
        <f t="shared" si="43"/>
        <v>#DIV/0!</v>
      </c>
      <c r="AY21" s="23">
        <f t="shared" si="44"/>
        <v>0</v>
      </c>
      <c r="AZ21" s="23" t="e">
        <f t="shared" si="45"/>
        <v>#DIV/0!</v>
      </c>
      <c r="BA21" s="23">
        <f t="shared" si="46"/>
        <v>0</v>
      </c>
      <c r="BB21" s="23" t="e">
        <f t="shared" si="47"/>
        <v>#DIV/0!</v>
      </c>
      <c r="BC21" s="23">
        <f t="shared" si="48"/>
        <v>0</v>
      </c>
      <c r="BD21" s="23" t="e">
        <f t="shared" si="49"/>
        <v>#DIV/0!</v>
      </c>
    </row>
    <row r="22" spans="1:56" ht="25.2" thickTop="1"/>
    <row r="23" spans="1:56">
      <c r="A23" s="37" t="s">
        <v>47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P23" s="37" t="s">
        <v>51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E23" s="37" t="s">
        <v>88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</row>
    <row r="24" spans="1:56">
      <c r="A24" s="37" t="s">
        <v>1955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P24" s="37" t="s">
        <v>1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E24" s="37" t="s">
        <v>1</v>
      </c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</row>
    <row r="25" spans="1:56" s="25" customFormat="1">
      <c r="A25" s="35" t="s">
        <v>2</v>
      </c>
      <c r="B25" s="35" t="s">
        <v>3</v>
      </c>
      <c r="C25" s="38" t="s">
        <v>4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P25" s="35" t="s">
        <v>2</v>
      </c>
      <c r="Q25" s="35" t="s">
        <v>3</v>
      </c>
      <c r="R25" s="38" t="s">
        <v>5</v>
      </c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/>
      <c r="AE25" s="35" t="s">
        <v>2</v>
      </c>
      <c r="AF25" s="35" t="s">
        <v>3</v>
      </c>
      <c r="AG25" s="33">
        <v>25112</v>
      </c>
      <c r="AH25" s="34"/>
      <c r="AI25" s="33">
        <v>25143</v>
      </c>
      <c r="AJ25" s="34"/>
      <c r="AK25" s="33">
        <v>25173</v>
      </c>
      <c r="AL25" s="34"/>
      <c r="AM25" s="33">
        <v>25204</v>
      </c>
      <c r="AN25" s="34"/>
      <c r="AO25" s="33">
        <v>25235</v>
      </c>
      <c r="AP25" s="34"/>
      <c r="AQ25" s="33">
        <v>25263</v>
      </c>
      <c r="AR25" s="34"/>
      <c r="AS25" s="33">
        <v>25294</v>
      </c>
      <c r="AT25" s="34"/>
      <c r="AU25" s="33">
        <v>25324</v>
      </c>
      <c r="AV25" s="34"/>
      <c r="AW25" s="33">
        <v>25355</v>
      </c>
      <c r="AX25" s="34"/>
      <c r="AY25" s="33">
        <v>25385</v>
      </c>
      <c r="AZ25" s="34"/>
      <c r="BA25" s="33">
        <v>25416</v>
      </c>
      <c r="BB25" s="34"/>
      <c r="BC25" s="33">
        <v>25447</v>
      </c>
      <c r="BD25" s="34"/>
    </row>
    <row r="26" spans="1:56" s="25" customFormat="1">
      <c r="A26" s="36"/>
      <c r="B26" s="36"/>
      <c r="C26" s="16">
        <v>25112</v>
      </c>
      <c r="D26" s="16">
        <v>25143</v>
      </c>
      <c r="E26" s="16">
        <v>25173</v>
      </c>
      <c r="F26" s="16">
        <v>25204</v>
      </c>
      <c r="G26" s="16">
        <v>25235</v>
      </c>
      <c r="H26" s="16">
        <v>25263</v>
      </c>
      <c r="I26" s="16">
        <v>25294</v>
      </c>
      <c r="J26" s="16">
        <v>25324</v>
      </c>
      <c r="K26" s="16">
        <v>25355</v>
      </c>
      <c r="L26" s="16">
        <v>25385</v>
      </c>
      <c r="M26" s="16">
        <v>25416</v>
      </c>
      <c r="N26" s="16">
        <v>25447</v>
      </c>
      <c r="P26" s="36"/>
      <c r="Q26" s="36"/>
      <c r="R26" s="16">
        <v>25112</v>
      </c>
      <c r="S26" s="16">
        <v>25143</v>
      </c>
      <c r="T26" s="16">
        <v>25173</v>
      </c>
      <c r="U26" s="16">
        <v>25204</v>
      </c>
      <c r="V26" s="16">
        <v>25235</v>
      </c>
      <c r="W26" s="16">
        <v>25263</v>
      </c>
      <c r="X26" s="16">
        <v>25294</v>
      </c>
      <c r="Y26" s="16">
        <v>25324</v>
      </c>
      <c r="Z26" s="16">
        <v>25355</v>
      </c>
      <c r="AA26" s="16">
        <v>25385</v>
      </c>
      <c r="AB26" s="16">
        <v>25416</v>
      </c>
      <c r="AC26" s="16">
        <v>25447</v>
      </c>
      <c r="AE26" s="36"/>
      <c r="AF26" s="36"/>
      <c r="AG26" s="16" t="s">
        <v>85</v>
      </c>
      <c r="AH26" s="16" t="s">
        <v>86</v>
      </c>
      <c r="AI26" s="16" t="s">
        <v>85</v>
      </c>
      <c r="AJ26" s="16" t="s">
        <v>86</v>
      </c>
      <c r="AK26" s="16" t="s">
        <v>85</v>
      </c>
      <c r="AL26" s="16" t="s">
        <v>86</v>
      </c>
      <c r="AM26" s="16" t="s">
        <v>85</v>
      </c>
      <c r="AN26" s="16" t="s">
        <v>86</v>
      </c>
      <c r="AO26" s="16" t="s">
        <v>85</v>
      </c>
      <c r="AP26" s="16" t="s">
        <v>86</v>
      </c>
      <c r="AQ26" s="16" t="s">
        <v>85</v>
      </c>
      <c r="AR26" s="16" t="s">
        <v>86</v>
      </c>
      <c r="AS26" s="16" t="s">
        <v>85</v>
      </c>
      <c r="AT26" s="16" t="s">
        <v>86</v>
      </c>
      <c r="AU26" s="16" t="s">
        <v>85</v>
      </c>
      <c r="AV26" s="16" t="s">
        <v>86</v>
      </c>
      <c r="AW26" s="16" t="s">
        <v>85</v>
      </c>
      <c r="AX26" s="16" t="s">
        <v>86</v>
      </c>
      <c r="AY26" s="16" t="s">
        <v>85</v>
      </c>
      <c r="AZ26" s="16" t="s">
        <v>86</v>
      </c>
      <c r="BA26" s="16" t="s">
        <v>85</v>
      </c>
      <c r="BB26" s="16" t="s">
        <v>86</v>
      </c>
      <c r="BC26" s="16" t="s">
        <v>85</v>
      </c>
      <c r="BD26" s="16" t="s">
        <v>86</v>
      </c>
    </row>
    <row r="27" spans="1:56">
      <c r="A27" s="17">
        <v>1</v>
      </c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6"/>
      <c r="P27" s="17">
        <v>1</v>
      </c>
      <c r="Q27" s="18" t="s">
        <v>18</v>
      </c>
      <c r="R27" s="19">
        <v>1241555</v>
      </c>
      <c r="S27" s="19">
        <v>1241555</v>
      </c>
      <c r="T27" s="19">
        <v>1241555</v>
      </c>
      <c r="U27" s="19"/>
      <c r="V27" s="19"/>
      <c r="W27" s="19"/>
      <c r="X27" s="19"/>
      <c r="Y27" s="19"/>
      <c r="Z27" s="19"/>
      <c r="AA27" s="19"/>
      <c r="AB27" s="19"/>
      <c r="AC27" s="19"/>
      <c r="AE27" s="17">
        <v>1</v>
      </c>
      <c r="AF27" s="18" t="s">
        <v>18</v>
      </c>
      <c r="AG27" s="19">
        <f t="shared" ref="AG27:AG41" si="52">+C27-R27</f>
        <v>-1241555</v>
      </c>
      <c r="AH27" s="19" t="e">
        <f t="shared" ref="AH27:AH41" si="53">+AG27/C27*100</f>
        <v>#DIV/0!</v>
      </c>
      <c r="AI27" s="19">
        <f t="shared" ref="AI27:AI41" si="54">+D27-S27</f>
        <v>-1241555</v>
      </c>
      <c r="AJ27" s="19" t="e">
        <f t="shared" ref="AJ27:AJ41" si="55">+AI27/D27*100</f>
        <v>#DIV/0!</v>
      </c>
      <c r="AK27" s="19">
        <f t="shared" ref="AK27:AK41" si="56">+E27-T27</f>
        <v>-1241555</v>
      </c>
      <c r="AL27" s="19" t="e">
        <f t="shared" ref="AL27:AL41" si="57">+AK27/E27*100</f>
        <v>#DIV/0!</v>
      </c>
      <c r="AM27" s="19">
        <f t="shared" ref="AM27:AM41" si="58">+F27-U27</f>
        <v>0</v>
      </c>
      <c r="AN27" s="19" t="e">
        <f t="shared" ref="AN27:AN41" si="59">+AM27/F27*100</f>
        <v>#DIV/0!</v>
      </c>
      <c r="AO27" s="19">
        <f t="shared" ref="AO27:AO41" si="60">+G27-V27</f>
        <v>0</v>
      </c>
      <c r="AP27" s="19" t="e">
        <f t="shared" ref="AP27:AP41" si="61">+AO27/G27*100</f>
        <v>#DIV/0!</v>
      </c>
      <c r="AQ27" s="19">
        <f t="shared" ref="AQ27:AQ41" si="62">+H27-W27</f>
        <v>0</v>
      </c>
      <c r="AR27" s="19" t="e">
        <f t="shared" ref="AR27:AR41" si="63">+AQ27/H27*100</f>
        <v>#DIV/0!</v>
      </c>
      <c r="AS27" s="19">
        <f t="shared" ref="AS27:AS41" si="64">+I27-X27</f>
        <v>0</v>
      </c>
      <c r="AT27" s="19" t="e">
        <f t="shared" ref="AT27:AT41" si="65">+AS27/I27*100</f>
        <v>#DIV/0!</v>
      </c>
      <c r="AU27" s="19">
        <f t="shared" ref="AU27:AU41" si="66">+J27-Y27</f>
        <v>0</v>
      </c>
      <c r="AV27" s="19" t="e">
        <f t="shared" ref="AV27:AV41" si="67">+AU27/J27*100</f>
        <v>#DIV/0!</v>
      </c>
      <c r="AW27" s="19">
        <f t="shared" ref="AW27:AW41" si="68">+K27-Z27</f>
        <v>0</v>
      </c>
      <c r="AX27" s="19" t="e">
        <f t="shared" ref="AX27:AX41" si="69">+AW27/K27*100</f>
        <v>#DIV/0!</v>
      </c>
      <c r="AY27" s="19">
        <f t="shared" ref="AY27:AY41" si="70">+L27-AA27</f>
        <v>0</v>
      </c>
      <c r="AZ27" s="19" t="e">
        <f t="shared" ref="AZ27:AZ41" si="71">+AY27/L27*100</f>
        <v>#DIV/0!</v>
      </c>
      <c r="BA27" s="19">
        <f t="shared" ref="BA27:BA41" si="72">+M27-AB27</f>
        <v>0</v>
      </c>
      <c r="BB27" s="19" t="e">
        <f t="shared" ref="BB27:BB41" si="73">+BA27/M27*100</f>
        <v>#DIV/0!</v>
      </c>
      <c r="BC27" s="19">
        <f t="shared" ref="BC27:BC41" si="74">+N27-AC27</f>
        <v>0</v>
      </c>
      <c r="BD27" s="19" t="e">
        <f t="shared" ref="BD27:BD41" si="75">+BC27/N27*100</f>
        <v>#DIV/0!</v>
      </c>
    </row>
    <row r="28" spans="1:56">
      <c r="A28" s="17">
        <v>2</v>
      </c>
      <c r="B28" s="18" t="s">
        <v>20</v>
      </c>
      <c r="C28" s="19">
        <v>2499800</v>
      </c>
      <c r="D28" s="19">
        <v>2499800</v>
      </c>
      <c r="E28" s="19">
        <v>2499800</v>
      </c>
      <c r="F28" s="19"/>
      <c r="G28" s="19"/>
      <c r="H28" s="19"/>
      <c r="I28" s="19"/>
      <c r="J28" s="19"/>
      <c r="K28" s="19"/>
      <c r="L28" s="19"/>
      <c r="M28" s="19"/>
      <c r="N28" s="19"/>
      <c r="O28" s="26"/>
      <c r="P28" s="17">
        <v>2</v>
      </c>
      <c r="Q28" s="18" t="s">
        <v>20</v>
      </c>
      <c r="R28" s="19">
        <v>5075100</v>
      </c>
      <c r="S28" s="19">
        <v>5075100</v>
      </c>
      <c r="T28" s="19">
        <v>5075100</v>
      </c>
      <c r="U28" s="19"/>
      <c r="V28" s="19"/>
      <c r="W28" s="19"/>
      <c r="X28" s="19"/>
      <c r="Y28" s="19"/>
      <c r="Z28" s="19"/>
      <c r="AA28" s="19"/>
      <c r="AB28" s="19"/>
      <c r="AC28" s="19"/>
      <c r="AE28" s="17">
        <v>2</v>
      </c>
      <c r="AF28" s="18" t="s">
        <v>20</v>
      </c>
      <c r="AG28" s="19">
        <f t="shared" si="52"/>
        <v>-2575300</v>
      </c>
      <c r="AH28" s="19">
        <f t="shared" si="53"/>
        <v>-103.02024161932954</v>
      </c>
      <c r="AI28" s="19">
        <f t="shared" si="54"/>
        <v>-2575300</v>
      </c>
      <c r="AJ28" s="19">
        <f t="shared" si="55"/>
        <v>-103.02024161932954</v>
      </c>
      <c r="AK28" s="19">
        <f t="shared" si="56"/>
        <v>-2575300</v>
      </c>
      <c r="AL28" s="19">
        <f t="shared" si="57"/>
        <v>-103.02024161932954</v>
      </c>
      <c r="AM28" s="19">
        <f t="shared" si="58"/>
        <v>0</v>
      </c>
      <c r="AN28" s="19" t="e">
        <f t="shared" si="59"/>
        <v>#DIV/0!</v>
      </c>
      <c r="AO28" s="19">
        <f t="shared" si="60"/>
        <v>0</v>
      </c>
      <c r="AP28" s="19" t="e">
        <f t="shared" si="61"/>
        <v>#DIV/0!</v>
      </c>
      <c r="AQ28" s="19">
        <f t="shared" si="62"/>
        <v>0</v>
      </c>
      <c r="AR28" s="19" t="e">
        <f t="shared" si="63"/>
        <v>#DIV/0!</v>
      </c>
      <c r="AS28" s="19">
        <f t="shared" si="64"/>
        <v>0</v>
      </c>
      <c r="AT28" s="19" t="e">
        <f t="shared" si="65"/>
        <v>#DIV/0!</v>
      </c>
      <c r="AU28" s="19">
        <f t="shared" si="66"/>
        <v>0</v>
      </c>
      <c r="AV28" s="19" t="e">
        <f t="shared" si="67"/>
        <v>#DIV/0!</v>
      </c>
      <c r="AW28" s="19">
        <f t="shared" si="68"/>
        <v>0</v>
      </c>
      <c r="AX28" s="19" t="e">
        <f t="shared" si="69"/>
        <v>#DIV/0!</v>
      </c>
      <c r="AY28" s="19">
        <f t="shared" si="70"/>
        <v>0</v>
      </c>
      <c r="AZ28" s="19" t="e">
        <f t="shared" si="71"/>
        <v>#DIV/0!</v>
      </c>
      <c r="BA28" s="19">
        <f t="shared" si="72"/>
        <v>0</v>
      </c>
      <c r="BB28" s="19" t="e">
        <f t="shared" si="73"/>
        <v>#DIV/0!</v>
      </c>
      <c r="BC28" s="19">
        <f t="shared" si="74"/>
        <v>0</v>
      </c>
      <c r="BD28" s="19" t="e">
        <f t="shared" si="75"/>
        <v>#DIV/0!</v>
      </c>
    </row>
    <row r="29" spans="1:56">
      <c r="A29" s="17">
        <v>3</v>
      </c>
      <c r="B29" s="18" t="s">
        <v>22</v>
      </c>
      <c r="C29" s="19">
        <v>1493000</v>
      </c>
      <c r="D29" s="19">
        <v>1493000</v>
      </c>
      <c r="E29" s="19">
        <v>1493000</v>
      </c>
      <c r="F29" s="19"/>
      <c r="G29" s="19"/>
      <c r="H29" s="19"/>
      <c r="I29" s="19"/>
      <c r="J29" s="19"/>
      <c r="K29" s="19"/>
      <c r="L29" s="19"/>
      <c r="M29" s="19"/>
      <c r="N29" s="19"/>
      <c r="O29" s="26"/>
      <c r="P29" s="17">
        <v>3</v>
      </c>
      <c r="Q29" s="18" t="s">
        <v>22</v>
      </c>
      <c r="R29" s="19">
        <v>55900</v>
      </c>
      <c r="S29" s="19">
        <v>55900</v>
      </c>
      <c r="T29" s="19">
        <v>55900</v>
      </c>
      <c r="U29" s="19"/>
      <c r="V29" s="19"/>
      <c r="W29" s="19"/>
      <c r="X29" s="19"/>
      <c r="Y29" s="19"/>
      <c r="Z29" s="19"/>
      <c r="AA29" s="19"/>
      <c r="AB29" s="19"/>
      <c r="AC29" s="19"/>
      <c r="AE29" s="17">
        <v>3</v>
      </c>
      <c r="AF29" s="18" t="s">
        <v>22</v>
      </c>
      <c r="AG29" s="19">
        <f t="shared" si="52"/>
        <v>1437100</v>
      </c>
      <c r="AH29" s="19">
        <f t="shared" si="53"/>
        <v>96.255860683188217</v>
      </c>
      <c r="AI29" s="19">
        <f t="shared" si="54"/>
        <v>1437100</v>
      </c>
      <c r="AJ29" s="19">
        <f t="shared" si="55"/>
        <v>96.255860683188217</v>
      </c>
      <c r="AK29" s="19">
        <f t="shared" si="56"/>
        <v>1437100</v>
      </c>
      <c r="AL29" s="19">
        <f t="shared" si="57"/>
        <v>96.255860683188217</v>
      </c>
      <c r="AM29" s="19">
        <f t="shared" si="58"/>
        <v>0</v>
      </c>
      <c r="AN29" s="19" t="e">
        <f t="shared" si="59"/>
        <v>#DIV/0!</v>
      </c>
      <c r="AO29" s="19">
        <f t="shared" si="60"/>
        <v>0</v>
      </c>
      <c r="AP29" s="19" t="e">
        <f t="shared" si="61"/>
        <v>#DIV/0!</v>
      </c>
      <c r="AQ29" s="19">
        <f t="shared" si="62"/>
        <v>0</v>
      </c>
      <c r="AR29" s="19" t="e">
        <f t="shared" si="63"/>
        <v>#DIV/0!</v>
      </c>
      <c r="AS29" s="19">
        <f t="shared" si="64"/>
        <v>0</v>
      </c>
      <c r="AT29" s="19" t="e">
        <f t="shared" si="65"/>
        <v>#DIV/0!</v>
      </c>
      <c r="AU29" s="19">
        <f t="shared" si="66"/>
        <v>0</v>
      </c>
      <c r="AV29" s="19" t="e">
        <f t="shared" si="67"/>
        <v>#DIV/0!</v>
      </c>
      <c r="AW29" s="19">
        <f t="shared" si="68"/>
        <v>0</v>
      </c>
      <c r="AX29" s="19" t="e">
        <f t="shared" si="69"/>
        <v>#DIV/0!</v>
      </c>
      <c r="AY29" s="19">
        <f t="shared" si="70"/>
        <v>0</v>
      </c>
      <c r="AZ29" s="19" t="e">
        <f t="shared" si="71"/>
        <v>#DIV/0!</v>
      </c>
      <c r="BA29" s="19">
        <f t="shared" si="72"/>
        <v>0</v>
      </c>
      <c r="BB29" s="19" t="e">
        <f t="shared" si="73"/>
        <v>#DIV/0!</v>
      </c>
      <c r="BC29" s="19">
        <f t="shared" si="74"/>
        <v>0</v>
      </c>
      <c r="BD29" s="19" t="e">
        <f t="shared" si="75"/>
        <v>#DIV/0!</v>
      </c>
    </row>
    <row r="30" spans="1:56">
      <c r="A30" s="17">
        <v>4</v>
      </c>
      <c r="B30" s="18" t="s">
        <v>24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6"/>
      <c r="P30" s="17">
        <v>4</v>
      </c>
      <c r="Q30" s="18" t="s">
        <v>24</v>
      </c>
      <c r="R30" s="19">
        <v>296749.59999999998</v>
      </c>
      <c r="S30" s="19">
        <v>296749.59999999998</v>
      </c>
      <c r="T30" s="19">
        <v>296749.59999999998</v>
      </c>
      <c r="U30" s="19"/>
      <c r="V30" s="19"/>
      <c r="W30" s="19"/>
      <c r="X30" s="19"/>
      <c r="Y30" s="19"/>
      <c r="Z30" s="19"/>
      <c r="AA30" s="19"/>
      <c r="AB30" s="19"/>
      <c r="AC30" s="19"/>
      <c r="AE30" s="17">
        <v>4</v>
      </c>
      <c r="AF30" s="18" t="s">
        <v>24</v>
      </c>
      <c r="AG30" s="19">
        <f t="shared" si="52"/>
        <v>-296749.59999999998</v>
      </c>
      <c r="AH30" s="19" t="e">
        <f t="shared" si="53"/>
        <v>#DIV/0!</v>
      </c>
      <c r="AI30" s="19">
        <f t="shared" si="54"/>
        <v>-296749.59999999998</v>
      </c>
      <c r="AJ30" s="19" t="e">
        <f t="shared" si="55"/>
        <v>#DIV/0!</v>
      </c>
      <c r="AK30" s="19">
        <f t="shared" si="56"/>
        <v>-296749.59999999998</v>
      </c>
      <c r="AL30" s="19" t="e">
        <f t="shared" si="57"/>
        <v>#DIV/0!</v>
      </c>
      <c r="AM30" s="19">
        <f t="shared" si="58"/>
        <v>0</v>
      </c>
      <c r="AN30" s="19" t="e">
        <f t="shared" si="59"/>
        <v>#DIV/0!</v>
      </c>
      <c r="AO30" s="19">
        <f t="shared" si="60"/>
        <v>0</v>
      </c>
      <c r="AP30" s="19" t="e">
        <f t="shared" si="61"/>
        <v>#DIV/0!</v>
      </c>
      <c r="AQ30" s="19">
        <f t="shared" si="62"/>
        <v>0</v>
      </c>
      <c r="AR30" s="19" t="e">
        <f t="shared" si="63"/>
        <v>#DIV/0!</v>
      </c>
      <c r="AS30" s="19">
        <f t="shared" si="64"/>
        <v>0</v>
      </c>
      <c r="AT30" s="19" t="e">
        <f t="shared" si="65"/>
        <v>#DIV/0!</v>
      </c>
      <c r="AU30" s="19">
        <f t="shared" si="66"/>
        <v>0</v>
      </c>
      <c r="AV30" s="19" t="e">
        <f t="shared" si="67"/>
        <v>#DIV/0!</v>
      </c>
      <c r="AW30" s="19">
        <f t="shared" si="68"/>
        <v>0</v>
      </c>
      <c r="AX30" s="19" t="e">
        <f t="shared" si="69"/>
        <v>#DIV/0!</v>
      </c>
      <c r="AY30" s="19">
        <f t="shared" si="70"/>
        <v>0</v>
      </c>
      <c r="AZ30" s="19" t="e">
        <f t="shared" si="71"/>
        <v>#DIV/0!</v>
      </c>
      <c r="BA30" s="19">
        <f t="shared" si="72"/>
        <v>0</v>
      </c>
      <c r="BB30" s="19" t="e">
        <f t="shared" si="73"/>
        <v>#DIV/0!</v>
      </c>
      <c r="BC30" s="19">
        <f t="shared" si="74"/>
        <v>0</v>
      </c>
      <c r="BD30" s="19" t="e">
        <f t="shared" si="75"/>
        <v>#DIV/0!</v>
      </c>
    </row>
    <row r="31" spans="1:56">
      <c r="A31" s="17">
        <v>5</v>
      </c>
      <c r="B31" s="18" t="s">
        <v>26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6"/>
      <c r="P31" s="17">
        <v>5</v>
      </c>
      <c r="Q31" s="18" t="s">
        <v>26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E31" s="17">
        <v>5</v>
      </c>
      <c r="AF31" s="18" t="s">
        <v>26</v>
      </c>
      <c r="AG31" s="19">
        <f t="shared" si="52"/>
        <v>0</v>
      </c>
      <c r="AH31" s="19" t="e">
        <f t="shared" si="53"/>
        <v>#DIV/0!</v>
      </c>
      <c r="AI31" s="19">
        <f t="shared" si="54"/>
        <v>0</v>
      </c>
      <c r="AJ31" s="19" t="e">
        <f t="shared" si="55"/>
        <v>#DIV/0!</v>
      </c>
      <c r="AK31" s="19">
        <f t="shared" si="56"/>
        <v>0</v>
      </c>
      <c r="AL31" s="19" t="e">
        <f t="shared" si="57"/>
        <v>#DIV/0!</v>
      </c>
      <c r="AM31" s="19">
        <f t="shared" si="58"/>
        <v>0</v>
      </c>
      <c r="AN31" s="19" t="e">
        <f t="shared" si="59"/>
        <v>#DIV/0!</v>
      </c>
      <c r="AO31" s="19">
        <f t="shared" si="60"/>
        <v>0</v>
      </c>
      <c r="AP31" s="19" t="e">
        <f t="shared" si="61"/>
        <v>#DIV/0!</v>
      </c>
      <c r="AQ31" s="19">
        <f t="shared" si="62"/>
        <v>0</v>
      </c>
      <c r="AR31" s="19" t="e">
        <f t="shared" si="63"/>
        <v>#DIV/0!</v>
      </c>
      <c r="AS31" s="19">
        <f t="shared" si="64"/>
        <v>0</v>
      </c>
      <c r="AT31" s="19" t="e">
        <f t="shared" si="65"/>
        <v>#DIV/0!</v>
      </c>
      <c r="AU31" s="19">
        <f t="shared" si="66"/>
        <v>0</v>
      </c>
      <c r="AV31" s="19" t="e">
        <f t="shared" si="67"/>
        <v>#DIV/0!</v>
      </c>
      <c r="AW31" s="19">
        <f t="shared" si="68"/>
        <v>0</v>
      </c>
      <c r="AX31" s="19" t="e">
        <f t="shared" si="69"/>
        <v>#DIV/0!</v>
      </c>
      <c r="AY31" s="19">
        <f t="shared" si="70"/>
        <v>0</v>
      </c>
      <c r="AZ31" s="19" t="e">
        <f t="shared" si="71"/>
        <v>#DIV/0!</v>
      </c>
      <c r="BA31" s="19">
        <f t="shared" si="72"/>
        <v>0</v>
      </c>
      <c r="BB31" s="19" t="e">
        <f t="shared" si="73"/>
        <v>#DIV/0!</v>
      </c>
      <c r="BC31" s="19">
        <f t="shared" si="74"/>
        <v>0</v>
      </c>
      <c r="BD31" s="19" t="e">
        <f t="shared" si="75"/>
        <v>#DIV/0!</v>
      </c>
    </row>
    <row r="32" spans="1:56">
      <c r="A32" s="17">
        <v>6</v>
      </c>
      <c r="B32" s="18" t="s">
        <v>28</v>
      </c>
      <c r="C32" s="19">
        <v>11623295</v>
      </c>
      <c r="D32" s="19">
        <v>11623295</v>
      </c>
      <c r="E32" s="19">
        <v>11623295</v>
      </c>
      <c r="F32" s="19"/>
      <c r="G32" s="19"/>
      <c r="H32" s="19"/>
      <c r="I32" s="19"/>
      <c r="J32" s="19"/>
      <c r="K32" s="19"/>
      <c r="L32" s="19"/>
      <c r="M32" s="19"/>
      <c r="N32" s="19"/>
      <c r="O32" s="26"/>
      <c r="P32" s="17">
        <v>6</v>
      </c>
      <c r="Q32" s="18" t="s">
        <v>28</v>
      </c>
      <c r="R32" s="19">
        <v>15920322.75</v>
      </c>
      <c r="S32" s="19">
        <v>15920322.75</v>
      </c>
      <c r="T32" s="19">
        <v>15920322.75</v>
      </c>
      <c r="U32" s="19"/>
      <c r="V32" s="19"/>
      <c r="W32" s="19"/>
      <c r="X32" s="19"/>
      <c r="Y32" s="19"/>
      <c r="Z32" s="19"/>
      <c r="AA32" s="19"/>
      <c r="AB32" s="19"/>
      <c r="AC32" s="19"/>
      <c r="AE32" s="17">
        <v>6</v>
      </c>
      <c r="AF32" s="18" t="s">
        <v>28</v>
      </c>
      <c r="AG32" s="19">
        <f t="shared" si="52"/>
        <v>-4297027.75</v>
      </c>
      <c r="AH32" s="19">
        <f t="shared" si="53"/>
        <v>-36.969101704809177</v>
      </c>
      <c r="AI32" s="19">
        <f t="shared" si="54"/>
        <v>-4297027.75</v>
      </c>
      <c r="AJ32" s="19">
        <f t="shared" si="55"/>
        <v>-36.969101704809177</v>
      </c>
      <c r="AK32" s="19">
        <f t="shared" si="56"/>
        <v>-4297027.75</v>
      </c>
      <c r="AL32" s="19">
        <f t="shared" si="57"/>
        <v>-36.969101704809177</v>
      </c>
      <c r="AM32" s="19">
        <f t="shared" si="58"/>
        <v>0</v>
      </c>
      <c r="AN32" s="19" t="e">
        <f t="shared" si="59"/>
        <v>#DIV/0!</v>
      </c>
      <c r="AO32" s="19">
        <f t="shared" si="60"/>
        <v>0</v>
      </c>
      <c r="AP32" s="19" t="e">
        <f t="shared" si="61"/>
        <v>#DIV/0!</v>
      </c>
      <c r="AQ32" s="19">
        <f t="shared" si="62"/>
        <v>0</v>
      </c>
      <c r="AR32" s="19" t="e">
        <f t="shared" si="63"/>
        <v>#DIV/0!</v>
      </c>
      <c r="AS32" s="19">
        <f t="shared" si="64"/>
        <v>0</v>
      </c>
      <c r="AT32" s="19" t="e">
        <f t="shared" si="65"/>
        <v>#DIV/0!</v>
      </c>
      <c r="AU32" s="19">
        <f t="shared" si="66"/>
        <v>0</v>
      </c>
      <c r="AV32" s="19" t="e">
        <f t="shared" si="67"/>
        <v>#DIV/0!</v>
      </c>
      <c r="AW32" s="19">
        <f t="shared" si="68"/>
        <v>0</v>
      </c>
      <c r="AX32" s="19" t="e">
        <f t="shared" si="69"/>
        <v>#DIV/0!</v>
      </c>
      <c r="AY32" s="19">
        <f t="shared" si="70"/>
        <v>0</v>
      </c>
      <c r="AZ32" s="19" t="e">
        <f t="shared" si="71"/>
        <v>#DIV/0!</v>
      </c>
      <c r="BA32" s="19">
        <f t="shared" si="72"/>
        <v>0</v>
      </c>
      <c r="BB32" s="19" t="e">
        <f t="shared" si="73"/>
        <v>#DIV/0!</v>
      </c>
      <c r="BC32" s="19">
        <f t="shared" si="74"/>
        <v>0</v>
      </c>
      <c r="BD32" s="19" t="e">
        <f t="shared" si="75"/>
        <v>#DIV/0!</v>
      </c>
    </row>
    <row r="33" spans="1:56">
      <c r="A33" s="17">
        <v>7</v>
      </c>
      <c r="B33" s="18" t="s">
        <v>30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6"/>
      <c r="P33" s="17">
        <v>7</v>
      </c>
      <c r="Q33" s="18" t="s">
        <v>30</v>
      </c>
      <c r="R33" s="19">
        <v>1864376.22</v>
      </c>
      <c r="S33" s="19">
        <v>1864376.22</v>
      </c>
      <c r="T33" s="19">
        <v>1864376.22</v>
      </c>
      <c r="U33" s="19"/>
      <c r="V33" s="19"/>
      <c r="W33" s="19"/>
      <c r="X33" s="19"/>
      <c r="Y33" s="19"/>
      <c r="Z33" s="19"/>
      <c r="AA33" s="19"/>
      <c r="AB33" s="19"/>
      <c r="AC33" s="19"/>
      <c r="AE33" s="17">
        <v>7</v>
      </c>
      <c r="AF33" s="18" t="s">
        <v>30</v>
      </c>
      <c r="AG33" s="19">
        <f t="shared" si="52"/>
        <v>-1864376.22</v>
      </c>
      <c r="AH33" s="19" t="e">
        <f t="shared" si="53"/>
        <v>#DIV/0!</v>
      </c>
      <c r="AI33" s="19">
        <f t="shared" si="54"/>
        <v>-1864376.22</v>
      </c>
      <c r="AJ33" s="19" t="e">
        <f t="shared" si="55"/>
        <v>#DIV/0!</v>
      </c>
      <c r="AK33" s="19">
        <f t="shared" si="56"/>
        <v>-1864376.22</v>
      </c>
      <c r="AL33" s="19" t="e">
        <f t="shared" si="57"/>
        <v>#DIV/0!</v>
      </c>
      <c r="AM33" s="19">
        <f t="shared" si="58"/>
        <v>0</v>
      </c>
      <c r="AN33" s="19" t="e">
        <f t="shared" si="59"/>
        <v>#DIV/0!</v>
      </c>
      <c r="AO33" s="19">
        <f t="shared" si="60"/>
        <v>0</v>
      </c>
      <c r="AP33" s="19" t="e">
        <f t="shared" si="61"/>
        <v>#DIV/0!</v>
      </c>
      <c r="AQ33" s="19">
        <f t="shared" si="62"/>
        <v>0</v>
      </c>
      <c r="AR33" s="19" t="e">
        <f t="shared" si="63"/>
        <v>#DIV/0!</v>
      </c>
      <c r="AS33" s="19">
        <f t="shared" si="64"/>
        <v>0</v>
      </c>
      <c r="AT33" s="19" t="e">
        <f t="shared" si="65"/>
        <v>#DIV/0!</v>
      </c>
      <c r="AU33" s="19">
        <f t="shared" si="66"/>
        <v>0</v>
      </c>
      <c r="AV33" s="19" t="e">
        <f t="shared" si="67"/>
        <v>#DIV/0!</v>
      </c>
      <c r="AW33" s="19">
        <f t="shared" si="68"/>
        <v>0</v>
      </c>
      <c r="AX33" s="19" t="e">
        <f t="shared" si="69"/>
        <v>#DIV/0!</v>
      </c>
      <c r="AY33" s="19">
        <f t="shared" si="70"/>
        <v>0</v>
      </c>
      <c r="AZ33" s="19" t="e">
        <f t="shared" si="71"/>
        <v>#DIV/0!</v>
      </c>
      <c r="BA33" s="19">
        <f t="shared" si="72"/>
        <v>0</v>
      </c>
      <c r="BB33" s="19" t="e">
        <f t="shared" si="73"/>
        <v>#DIV/0!</v>
      </c>
      <c r="BC33" s="19">
        <f t="shared" si="74"/>
        <v>0</v>
      </c>
      <c r="BD33" s="19" t="e">
        <f t="shared" si="75"/>
        <v>#DIV/0!</v>
      </c>
    </row>
    <row r="34" spans="1:56">
      <c r="A34" s="17">
        <v>8</v>
      </c>
      <c r="B34" s="18" t="s">
        <v>32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6"/>
      <c r="P34" s="17">
        <v>8</v>
      </c>
      <c r="Q34" s="18" t="s">
        <v>32</v>
      </c>
      <c r="R34" s="19">
        <v>892691.83</v>
      </c>
      <c r="S34" s="19">
        <v>892691.83</v>
      </c>
      <c r="T34" s="19">
        <v>892691.83</v>
      </c>
      <c r="U34" s="19"/>
      <c r="V34" s="19"/>
      <c r="W34" s="19"/>
      <c r="X34" s="19"/>
      <c r="Y34" s="19"/>
      <c r="Z34" s="19"/>
      <c r="AA34" s="19"/>
      <c r="AB34" s="19"/>
      <c r="AC34" s="19"/>
      <c r="AE34" s="17">
        <v>8</v>
      </c>
      <c r="AF34" s="18" t="s">
        <v>32</v>
      </c>
      <c r="AG34" s="19">
        <f t="shared" si="52"/>
        <v>-892691.83</v>
      </c>
      <c r="AH34" s="19" t="e">
        <f t="shared" si="53"/>
        <v>#DIV/0!</v>
      </c>
      <c r="AI34" s="19">
        <f t="shared" si="54"/>
        <v>-892691.83</v>
      </c>
      <c r="AJ34" s="19" t="e">
        <f t="shared" si="55"/>
        <v>#DIV/0!</v>
      </c>
      <c r="AK34" s="19">
        <f t="shared" si="56"/>
        <v>-892691.83</v>
      </c>
      <c r="AL34" s="19" t="e">
        <f t="shared" si="57"/>
        <v>#DIV/0!</v>
      </c>
      <c r="AM34" s="19">
        <f t="shared" si="58"/>
        <v>0</v>
      </c>
      <c r="AN34" s="19" t="e">
        <f t="shared" si="59"/>
        <v>#DIV/0!</v>
      </c>
      <c r="AO34" s="19">
        <f t="shared" si="60"/>
        <v>0</v>
      </c>
      <c r="AP34" s="19" t="e">
        <f t="shared" si="61"/>
        <v>#DIV/0!</v>
      </c>
      <c r="AQ34" s="19">
        <f t="shared" si="62"/>
        <v>0</v>
      </c>
      <c r="AR34" s="19" t="e">
        <f t="shared" si="63"/>
        <v>#DIV/0!</v>
      </c>
      <c r="AS34" s="19">
        <f t="shared" si="64"/>
        <v>0</v>
      </c>
      <c r="AT34" s="19" t="e">
        <f t="shared" si="65"/>
        <v>#DIV/0!</v>
      </c>
      <c r="AU34" s="19">
        <f t="shared" si="66"/>
        <v>0</v>
      </c>
      <c r="AV34" s="19" t="e">
        <f t="shared" si="67"/>
        <v>#DIV/0!</v>
      </c>
      <c r="AW34" s="19">
        <f t="shared" si="68"/>
        <v>0</v>
      </c>
      <c r="AX34" s="19" t="e">
        <f t="shared" si="69"/>
        <v>#DIV/0!</v>
      </c>
      <c r="AY34" s="19">
        <f t="shared" si="70"/>
        <v>0</v>
      </c>
      <c r="AZ34" s="19" t="e">
        <f t="shared" si="71"/>
        <v>#DIV/0!</v>
      </c>
      <c r="BA34" s="19">
        <f t="shared" si="72"/>
        <v>0</v>
      </c>
      <c r="BB34" s="19" t="e">
        <f t="shared" si="73"/>
        <v>#DIV/0!</v>
      </c>
      <c r="BC34" s="19">
        <f t="shared" si="74"/>
        <v>0</v>
      </c>
      <c r="BD34" s="19" t="e">
        <f t="shared" si="75"/>
        <v>#DIV/0!</v>
      </c>
    </row>
    <row r="35" spans="1:56">
      <c r="A35" s="17">
        <v>9</v>
      </c>
      <c r="B35" s="18" t="s">
        <v>34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6"/>
      <c r="P35" s="17">
        <v>9</v>
      </c>
      <c r="Q35" s="18" t="s">
        <v>34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E35" s="17">
        <v>9</v>
      </c>
      <c r="AF35" s="18" t="s">
        <v>34</v>
      </c>
      <c r="AG35" s="19">
        <f t="shared" si="52"/>
        <v>0</v>
      </c>
      <c r="AH35" s="19" t="e">
        <f t="shared" si="53"/>
        <v>#DIV/0!</v>
      </c>
      <c r="AI35" s="19">
        <f t="shared" si="54"/>
        <v>0</v>
      </c>
      <c r="AJ35" s="19" t="e">
        <f t="shared" si="55"/>
        <v>#DIV/0!</v>
      </c>
      <c r="AK35" s="19">
        <f t="shared" si="56"/>
        <v>0</v>
      </c>
      <c r="AL35" s="19" t="e">
        <f t="shared" si="57"/>
        <v>#DIV/0!</v>
      </c>
      <c r="AM35" s="19">
        <f t="shared" si="58"/>
        <v>0</v>
      </c>
      <c r="AN35" s="19" t="e">
        <f t="shared" si="59"/>
        <v>#DIV/0!</v>
      </c>
      <c r="AO35" s="19">
        <f t="shared" si="60"/>
        <v>0</v>
      </c>
      <c r="AP35" s="19" t="e">
        <f t="shared" si="61"/>
        <v>#DIV/0!</v>
      </c>
      <c r="AQ35" s="19">
        <f t="shared" si="62"/>
        <v>0</v>
      </c>
      <c r="AR35" s="19" t="e">
        <f t="shared" si="63"/>
        <v>#DIV/0!</v>
      </c>
      <c r="AS35" s="19">
        <f t="shared" si="64"/>
        <v>0</v>
      </c>
      <c r="AT35" s="19" t="e">
        <f t="shared" si="65"/>
        <v>#DIV/0!</v>
      </c>
      <c r="AU35" s="19">
        <f t="shared" si="66"/>
        <v>0</v>
      </c>
      <c r="AV35" s="19" t="e">
        <f t="shared" si="67"/>
        <v>#DIV/0!</v>
      </c>
      <c r="AW35" s="19">
        <f t="shared" si="68"/>
        <v>0</v>
      </c>
      <c r="AX35" s="19" t="e">
        <f t="shared" si="69"/>
        <v>#DIV/0!</v>
      </c>
      <c r="AY35" s="19">
        <f t="shared" si="70"/>
        <v>0</v>
      </c>
      <c r="AZ35" s="19" t="e">
        <f t="shared" si="71"/>
        <v>#DIV/0!</v>
      </c>
      <c r="BA35" s="19">
        <f t="shared" si="72"/>
        <v>0</v>
      </c>
      <c r="BB35" s="19" t="e">
        <f t="shared" si="73"/>
        <v>#DIV/0!</v>
      </c>
      <c r="BC35" s="19">
        <f t="shared" si="74"/>
        <v>0</v>
      </c>
      <c r="BD35" s="19" t="e">
        <f t="shared" si="75"/>
        <v>#DIV/0!</v>
      </c>
    </row>
    <row r="36" spans="1:56">
      <c r="A36" s="17">
        <v>10</v>
      </c>
      <c r="B36" s="18" t="s">
        <v>36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6"/>
      <c r="P36" s="17">
        <v>10</v>
      </c>
      <c r="Q36" s="18" t="s">
        <v>36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E36" s="17">
        <v>10</v>
      </c>
      <c r="AF36" s="18" t="s">
        <v>36</v>
      </c>
      <c r="AG36" s="19">
        <f t="shared" si="52"/>
        <v>0</v>
      </c>
      <c r="AH36" s="19" t="e">
        <f t="shared" si="53"/>
        <v>#DIV/0!</v>
      </c>
      <c r="AI36" s="19">
        <f t="shared" si="54"/>
        <v>0</v>
      </c>
      <c r="AJ36" s="19" t="e">
        <f t="shared" si="55"/>
        <v>#DIV/0!</v>
      </c>
      <c r="AK36" s="19">
        <f t="shared" si="56"/>
        <v>0</v>
      </c>
      <c r="AL36" s="19" t="e">
        <f t="shared" si="57"/>
        <v>#DIV/0!</v>
      </c>
      <c r="AM36" s="19">
        <f t="shared" si="58"/>
        <v>0</v>
      </c>
      <c r="AN36" s="19" t="e">
        <f t="shared" si="59"/>
        <v>#DIV/0!</v>
      </c>
      <c r="AO36" s="19">
        <f t="shared" si="60"/>
        <v>0</v>
      </c>
      <c r="AP36" s="19" t="e">
        <f t="shared" si="61"/>
        <v>#DIV/0!</v>
      </c>
      <c r="AQ36" s="19">
        <f t="shared" si="62"/>
        <v>0</v>
      </c>
      <c r="AR36" s="19" t="e">
        <f t="shared" si="63"/>
        <v>#DIV/0!</v>
      </c>
      <c r="AS36" s="19">
        <f t="shared" si="64"/>
        <v>0</v>
      </c>
      <c r="AT36" s="19" t="e">
        <f t="shared" si="65"/>
        <v>#DIV/0!</v>
      </c>
      <c r="AU36" s="19">
        <f t="shared" si="66"/>
        <v>0</v>
      </c>
      <c r="AV36" s="19" t="e">
        <f t="shared" si="67"/>
        <v>#DIV/0!</v>
      </c>
      <c r="AW36" s="19">
        <f t="shared" si="68"/>
        <v>0</v>
      </c>
      <c r="AX36" s="19" t="e">
        <f t="shared" si="69"/>
        <v>#DIV/0!</v>
      </c>
      <c r="AY36" s="19">
        <f t="shared" si="70"/>
        <v>0</v>
      </c>
      <c r="AZ36" s="19" t="e">
        <f t="shared" si="71"/>
        <v>#DIV/0!</v>
      </c>
      <c r="BA36" s="19">
        <f t="shared" si="72"/>
        <v>0</v>
      </c>
      <c r="BB36" s="19" t="e">
        <f t="shared" si="73"/>
        <v>#DIV/0!</v>
      </c>
      <c r="BC36" s="19">
        <f t="shared" si="74"/>
        <v>0</v>
      </c>
      <c r="BD36" s="19" t="e">
        <f t="shared" si="75"/>
        <v>#DIV/0!</v>
      </c>
    </row>
    <row r="37" spans="1:56">
      <c r="A37" s="17">
        <v>11</v>
      </c>
      <c r="B37" s="18" t="s">
        <v>38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6"/>
      <c r="P37" s="17">
        <v>11</v>
      </c>
      <c r="Q37" s="18" t="s">
        <v>38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E37" s="17">
        <v>11</v>
      </c>
      <c r="AF37" s="18" t="s">
        <v>38</v>
      </c>
      <c r="AG37" s="19">
        <f t="shared" si="52"/>
        <v>0</v>
      </c>
      <c r="AH37" s="19" t="e">
        <f t="shared" si="53"/>
        <v>#DIV/0!</v>
      </c>
      <c r="AI37" s="19">
        <f t="shared" si="54"/>
        <v>0</v>
      </c>
      <c r="AJ37" s="19" t="e">
        <f t="shared" si="55"/>
        <v>#DIV/0!</v>
      </c>
      <c r="AK37" s="19">
        <f t="shared" si="56"/>
        <v>0</v>
      </c>
      <c r="AL37" s="19" t="e">
        <f t="shared" si="57"/>
        <v>#DIV/0!</v>
      </c>
      <c r="AM37" s="19">
        <f t="shared" si="58"/>
        <v>0</v>
      </c>
      <c r="AN37" s="19" t="e">
        <f t="shared" si="59"/>
        <v>#DIV/0!</v>
      </c>
      <c r="AO37" s="19">
        <f t="shared" si="60"/>
        <v>0</v>
      </c>
      <c r="AP37" s="19" t="e">
        <f t="shared" si="61"/>
        <v>#DIV/0!</v>
      </c>
      <c r="AQ37" s="19">
        <f t="shared" si="62"/>
        <v>0</v>
      </c>
      <c r="AR37" s="19" t="e">
        <f t="shared" si="63"/>
        <v>#DIV/0!</v>
      </c>
      <c r="AS37" s="19">
        <f t="shared" si="64"/>
        <v>0</v>
      </c>
      <c r="AT37" s="19" t="e">
        <f t="shared" si="65"/>
        <v>#DIV/0!</v>
      </c>
      <c r="AU37" s="19">
        <f t="shared" si="66"/>
        <v>0</v>
      </c>
      <c r="AV37" s="19" t="e">
        <f t="shared" si="67"/>
        <v>#DIV/0!</v>
      </c>
      <c r="AW37" s="19">
        <f t="shared" si="68"/>
        <v>0</v>
      </c>
      <c r="AX37" s="19" t="e">
        <f t="shared" si="69"/>
        <v>#DIV/0!</v>
      </c>
      <c r="AY37" s="19">
        <f t="shared" si="70"/>
        <v>0</v>
      </c>
      <c r="AZ37" s="19" t="e">
        <f t="shared" si="71"/>
        <v>#DIV/0!</v>
      </c>
      <c r="BA37" s="19">
        <f t="shared" si="72"/>
        <v>0</v>
      </c>
      <c r="BB37" s="19" t="e">
        <f t="shared" si="73"/>
        <v>#DIV/0!</v>
      </c>
      <c r="BC37" s="19">
        <f t="shared" si="74"/>
        <v>0</v>
      </c>
      <c r="BD37" s="19" t="e">
        <f t="shared" si="75"/>
        <v>#DIV/0!</v>
      </c>
    </row>
    <row r="38" spans="1:56">
      <c r="A38" s="17">
        <v>12</v>
      </c>
      <c r="B38" s="18" t="s">
        <v>40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6"/>
      <c r="P38" s="17">
        <v>12</v>
      </c>
      <c r="Q38" s="18" t="s">
        <v>40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E38" s="17">
        <v>12</v>
      </c>
      <c r="AF38" s="18" t="s">
        <v>40</v>
      </c>
      <c r="AG38" s="19">
        <f t="shared" si="52"/>
        <v>0</v>
      </c>
      <c r="AH38" s="19" t="e">
        <f t="shared" si="53"/>
        <v>#DIV/0!</v>
      </c>
      <c r="AI38" s="19">
        <f t="shared" si="54"/>
        <v>0</v>
      </c>
      <c r="AJ38" s="19" t="e">
        <f t="shared" si="55"/>
        <v>#DIV/0!</v>
      </c>
      <c r="AK38" s="19">
        <f t="shared" si="56"/>
        <v>0</v>
      </c>
      <c r="AL38" s="19" t="e">
        <f t="shared" si="57"/>
        <v>#DIV/0!</v>
      </c>
      <c r="AM38" s="19">
        <f t="shared" si="58"/>
        <v>0</v>
      </c>
      <c r="AN38" s="19" t="e">
        <f t="shared" si="59"/>
        <v>#DIV/0!</v>
      </c>
      <c r="AO38" s="19">
        <f t="shared" si="60"/>
        <v>0</v>
      </c>
      <c r="AP38" s="19" t="e">
        <f t="shared" si="61"/>
        <v>#DIV/0!</v>
      </c>
      <c r="AQ38" s="19">
        <f t="shared" si="62"/>
        <v>0</v>
      </c>
      <c r="AR38" s="19" t="e">
        <f t="shared" si="63"/>
        <v>#DIV/0!</v>
      </c>
      <c r="AS38" s="19">
        <f t="shared" si="64"/>
        <v>0</v>
      </c>
      <c r="AT38" s="19" t="e">
        <f t="shared" si="65"/>
        <v>#DIV/0!</v>
      </c>
      <c r="AU38" s="19">
        <f t="shared" si="66"/>
        <v>0</v>
      </c>
      <c r="AV38" s="19" t="e">
        <f t="shared" si="67"/>
        <v>#DIV/0!</v>
      </c>
      <c r="AW38" s="19">
        <f t="shared" si="68"/>
        <v>0</v>
      </c>
      <c r="AX38" s="19" t="e">
        <f t="shared" si="69"/>
        <v>#DIV/0!</v>
      </c>
      <c r="AY38" s="19">
        <f t="shared" si="70"/>
        <v>0</v>
      </c>
      <c r="AZ38" s="19" t="e">
        <f t="shared" si="71"/>
        <v>#DIV/0!</v>
      </c>
      <c r="BA38" s="19">
        <f t="shared" si="72"/>
        <v>0</v>
      </c>
      <c r="BB38" s="19" t="e">
        <f t="shared" si="73"/>
        <v>#DIV/0!</v>
      </c>
      <c r="BC38" s="19">
        <f t="shared" si="74"/>
        <v>0</v>
      </c>
      <c r="BD38" s="19" t="e">
        <f t="shared" si="75"/>
        <v>#DIV/0!</v>
      </c>
    </row>
    <row r="39" spans="1:56">
      <c r="A39" s="17">
        <v>13</v>
      </c>
      <c r="B39" s="18" t="s">
        <v>42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6"/>
      <c r="P39" s="17">
        <v>13</v>
      </c>
      <c r="Q39" s="18" t="s">
        <v>42</v>
      </c>
      <c r="R39" s="19">
        <v>74106</v>
      </c>
      <c r="S39" s="19">
        <v>74106</v>
      </c>
      <c r="T39" s="19">
        <v>74106</v>
      </c>
      <c r="U39" s="19"/>
      <c r="V39" s="19"/>
      <c r="W39" s="19"/>
      <c r="X39" s="19"/>
      <c r="Y39" s="19"/>
      <c r="Z39" s="19"/>
      <c r="AA39" s="19"/>
      <c r="AB39" s="19"/>
      <c r="AC39" s="19"/>
      <c r="AE39" s="17">
        <v>13</v>
      </c>
      <c r="AF39" s="18" t="s">
        <v>42</v>
      </c>
      <c r="AG39" s="19">
        <f t="shared" si="52"/>
        <v>-74106</v>
      </c>
      <c r="AH39" s="19" t="e">
        <f t="shared" si="53"/>
        <v>#DIV/0!</v>
      </c>
      <c r="AI39" s="19">
        <f t="shared" si="54"/>
        <v>-74106</v>
      </c>
      <c r="AJ39" s="19" t="e">
        <f t="shared" si="55"/>
        <v>#DIV/0!</v>
      </c>
      <c r="AK39" s="19">
        <f t="shared" si="56"/>
        <v>-74106</v>
      </c>
      <c r="AL39" s="19" t="e">
        <f t="shared" si="57"/>
        <v>#DIV/0!</v>
      </c>
      <c r="AM39" s="19">
        <f t="shared" si="58"/>
        <v>0</v>
      </c>
      <c r="AN39" s="19" t="e">
        <f t="shared" si="59"/>
        <v>#DIV/0!</v>
      </c>
      <c r="AO39" s="19">
        <f t="shared" si="60"/>
        <v>0</v>
      </c>
      <c r="AP39" s="19" t="e">
        <f t="shared" si="61"/>
        <v>#DIV/0!</v>
      </c>
      <c r="AQ39" s="19">
        <f t="shared" si="62"/>
        <v>0</v>
      </c>
      <c r="AR39" s="19" t="e">
        <f t="shared" si="63"/>
        <v>#DIV/0!</v>
      </c>
      <c r="AS39" s="19">
        <f t="shared" si="64"/>
        <v>0</v>
      </c>
      <c r="AT39" s="19" t="e">
        <f t="shared" si="65"/>
        <v>#DIV/0!</v>
      </c>
      <c r="AU39" s="19">
        <f t="shared" si="66"/>
        <v>0</v>
      </c>
      <c r="AV39" s="19" t="e">
        <f t="shared" si="67"/>
        <v>#DIV/0!</v>
      </c>
      <c r="AW39" s="19">
        <f t="shared" si="68"/>
        <v>0</v>
      </c>
      <c r="AX39" s="19" t="e">
        <f t="shared" si="69"/>
        <v>#DIV/0!</v>
      </c>
      <c r="AY39" s="19">
        <f t="shared" si="70"/>
        <v>0</v>
      </c>
      <c r="AZ39" s="19" t="e">
        <f t="shared" si="71"/>
        <v>#DIV/0!</v>
      </c>
      <c r="BA39" s="19">
        <f t="shared" si="72"/>
        <v>0</v>
      </c>
      <c r="BB39" s="19" t="e">
        <f t="shared" si="73"/>
        <v>#DIV/0!</v>
      </c>
      <c r="BC39" s="19">
        <f t="shared" si="74"/>
        <v>0</v>
      </c>
      <c r="BD39" s="19" t="e">
        <f t="shared" si="75"/>
        <v>#DIV/0!</v>
      </c>
    </row>
    <row r="40" spans="1:56">
      <c r="A40" s="17">
        <v>14</v>
      </c>
      <c r="B40" s="18" t="s">
        <v>44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26"/>
      <c r="P40" s="17">
        <v>14</v>
      </c>
      <c r="Q40" s="18" t="s">
        <v>44</v>
      </c>
      <c r="R40" s="19">
        <v>240130.84</v>
      </c>
      <c r="S40" s="19">
        <v>240130.84</v>
      </c>
      <c r="T40" s="19">
        <v>240130.84</v>
      </c>
      <c r="U40" s="19"/>
      <c r="V40" s="19"/>
      <c r="W40" s="19"/>
      <c r="X40" s="19"/>
      <c r="Y40" s="19"/>
      <c r="Z40" s="19"/>
      <c r="AA40" s="19"/>
      <c r="AB40" s="19"/>
      <c r="AC40" s="19"/>
      <c r="AE40" s="17">
        <v>14</v>
      </c>
      <c r="AF40" s="18" t="s">
        <v>44</v>
      </c>
      <c r="AG40" s="19">
        <f t="shared" si="52"/>
        <v>-240130.84</v>
      </c>
      <c r="AH40" s="19" t="e">
        <f t="shared" si="53"/>
        <v>#DIV/0!</v>
      </c>
      <c r="AI40" s="19">
        <f t="shared" si="54"/>
        <v>-240130.84</v>
      </c>
      <c r="AJ40" s="19" t="e">
        <f t="shared" si="55"/>
        <v>#DIV/0!</v>
      </c>
      <c r="AK40" s="19">
        <f t="shared" si="56"/>
        <v>-240130.84</v>
      </c>
      <c r="AL40" s="19" t="e">
        <f t="shared" si="57"/>
        <v>#DIV/0!</v>
      </c>
      <c r="AM40" s="19">
        <f t="shared" si="58"/>
        <v>0</v>
      </c>
      <c r="AN40" s="19" t="e">
        <f t="shared" si="59"/>
        <v>#DIV/0!</v>
      </c>
      <c r="AO40" s="19">
        <f t="shared" si="60"/>
        <v>0</v>
      </c>
      <c r="AP40" s="19" t="e">
        <f t="shared" si="61"/>
        <v>#DIV/0!</v>
      </c>
      <c r="AQ40" s="19">
        <f t="shared" si="62"/>
        <v>0</v>
      </c>
      <c r="AR40" s="19" t="e">
        <f t="shared" si="63"/>
        <v>#DIV/0!</v>
      </c>
      <c r="AS40" s="19">
        <f t="shared" si="64"/>
        <v>0</v>
      </c>
      <c r="AT40" s="19" t="e">
        <f t="shared" si="65"/>
        <v>#DIV/0!</v>
      </c>
      <c r="AU40" s="19">
        <f t="shared" si="66"/>
        <v>0</v>
      </c>
      <c r="AV40" s="19" t="e">
        <f t="shared" si="67"/>
        <v>#DIV/0!</v>
      </c>
      <c r="AW40" s="19">
        <f t="shared" si="68"/>
        <v>0</v>
      </c>
      <c r="AX40" s="19" t="e">
        <f t="shared" si="69"/>
        <v>#DIV/0!</v>
      </c>
      <c r="AY40" s="19">
        <f t="shared" si="70"/>
        <v>0</v>
      </c>
      <c r="AZ40" s="19" t="e">
        <f t="shared" si="71"/>
        <v>#DIV/0!</v>
      </c>
      <c r="BA40" s="19">
        <f t="shared" si="72"/>
        <v>0</v>
      </c>
      <c r="BB40" s="19" t="e">
        <f t="shared" si="73"/>
        <v>#DIV/0!</v>
      </c>
      <c r="BC40" s="19">
        <f t="shared" si="74"/>
        <v>0</v>
      </c>
      <c r="BD40" s="19" t="e">
        <f t="shared" si="75"/>
        <v>#DIV/0!</v>
      </c>
    </row>
    <row r="41" spans="1:56" ht="25.2" thickBot="1">
      <c r="A41" s="17"/>
      <c r="B41" s="20" t="s">
        <v>17</v>
      </c>
      <c r="C41" s="27">
        <f>SUM(C27:C40)</f>
        <v>15616095</v>
      </c>
      <c r="D41" s="27">
        <f t="shared" ref="D41:N41" si="76">SUM(D27:D40)</f>
        <v>15616095</v>
      </c>
      <c r="E41" s="27">
        <f t="shared" si="76"/>
        <v>15616095</v>
      </c>
      <c r="F41" s="27">
        <f t="shared" si="76"/>
        <v>0</v>
      </c>
      <c r="G41" s="27">
        <f t="shared" si="76"/>
        <v>0</v>
      </c>
      <c r="H41" s="27">
        <f t="shared" si="76"/>
        <v>0</v>
      </c>
      <c r="I41" s="27">
        <f t="shared" si="76"/>
        <v>0</v>
      </c>
      <c r="J41" s="27">
        <f t="shared" si="76"/>
        <v>0</v>
      </c>
      <c r="K41" s="27">
        <f t="shared" si="76"/>
        <v>0</v>
      </c>
      <c r="L41" s="27">
        <f t="shared" si="76"/>
        <v>0</v>
      </c>
      <c r="M41" s="27">
        <f t="shared" si="76"/>
        <v>0</v>
      </c>
      <c r="N41" s="27">
        <f t="shared" si="76"/>
        <v>0</v>
      </c>
      <c r="P41" s="17"/>
      <c r="Q41" s="20" t="s">
        <v>17</v>
      </c>
      <c r="R41" s="27">
        <f>SUM(R27:R40)</f>
        <v>25660932.239999998</v>
      </c>
      <c r="S41" s="27">
        <f t="shared" ref="S41:AC41" si="77">SUM(S27:S40)</f>
        <v>25660932.239999998</v>
      </c>
      <c r="T41" s="27">
        <f t="shared" si="77"/>
        <v>25660932.239999998</v>
      </c>
      <c r="U41" s="27">
        <f t="shared" si="77"/>
        <v>0</v>
      </c>
      <c r="V41" s="27">
        <f t="shared" si="77"/>
        <v>0</v>
      </c>
      <c r="W41" s="27">
        <f t="shared" si="77"/>
        <v>0</v>
      </c>
      <c r="X41" s="27">
        <f t="shared" si="77"/>
        <v>0</v>
      </c>
      <c r="Y41" s="27">
        <f t="shared" si="77"/>
        <v>0</v>
      </c>
      <c r="Z41" s="27">
        <f t="shared" si="77"/>
        <v>0</v>
      </c>
      <c r="AA41" s="27">
        <f t="shared" si="77"/>
        <v>0</v>
      </c>
      <c r="AB41" s="27">
        <f t="shared" si="77"/>
        <v>0</v>
      </c>
      <c r="AC41" s="27">
        <f t="shared" si="77"/>
        <v>0</v>
      </c>
      <c r="AE41" s="17"/>
      <c r="AF41" s="20" t="s">
        <v>17</v>
      </c>
      <c r="AG41" s="23">
        <f t="shared" si="52"/>
        <v>-10044837.239999998</v>
      </c>
      <c r="AH41" s="23">
        <f t="shared" si="53"/>
        <v>-64.323617652172317</v>
      </c>
      <c r="AI41" s="23">
        <f t="shared" si="54"/>
        <v>-10044837.239999998</v>
      </c>
      <c r="AJ41" s="23">
        <f t="shared" si="55"/>
        <v>-64.323617652172317</v>
      </c>
      <c r="AK41" s="23">
        <f t="shared" si="56"/>
        <v>-10044837.239999998</v>
      </c>
      <c r="AL41" s="23">
        <f t="shared" si="57"/>
        <v>-64.323617652172317</v>
      </c>
      <c r="AM41" s="23">
        <f t="shared" si="58"/>
        <v>0</v>
      </c>
      <c r="AN41" s="23" t="e">
        <f t="shared" si="59"/>
        <v>#DIV/0!</v>
      </c>
      <c r="AO41" s="23">
        <f t="shared" si="60"/>
        <v>0</v>
      </c>
      <c r="AP41" s="23" t="e">
        <f t="shared" si="61"/>
        <v>#DIV/0!</v>
      </c>
      <c r="AQ41" s="23">
        <f t="shared" si="62"/>
        <v>0</v>
      </c>
      <c r="AR41" s="23" t="e">
        <f t="shared" si="63"/>
        <v>#DIV/0!</v>
      </c>
      <c r="AS41" s="23">
        <f t="shared" si="64"/>
        <v>0</v>
      </c>
      <c r="AT41" s="23" t="e">
        <f t="shared" si="65"/>
        <v>#DIV/0!</v>
      </c>
      <c r="AU41" s="23">
        <f t="shared" si="66"/>
        <v>0</v>
      </c>
      <c r="AV41" s="23" t="e">
        <f t="shared" si="67"/>
        <v>#DIV/0!</v>
      </c>
      <c r="AW41" s="23">
        <f t="shared" si="68"/>
        <v>0</v>
      </c>
      <c r="AX41" s="23" t="e">
        <f t="shared" si="69"/>
        <v>#DIV/0!</v>
      </c>
      <c r="AY41" s="23">
        <f t="shared" si="70"/>
        <v>0</v>
      </c>
      <c r="AZ41" s="23" t="e">
        <f t="shared" si="71"/>
        <v>#DIV/0!</v>
      </c>
      <c r="BA41" s="23">
        <f t="shared" si="72"/>
        <v>0</v>
      </c>
      <c r="BB41" s="23" t="e">
        <f t="shared" si="73"/>
        <v>#DIV/0!</v>
      </c>
      <c r="BC41" s="23">
        <f t="shared" si="74"/>
        <v>0</v>
      </c>
      <c r="BD41" s="23" t="e">
        <f t="shared" si="75"/>
        <v>#DIV/0!</v>
      </c>
    </row>
    <row r="42" spans="1:56" ht="25.2" thickTop="1"/>
    <row r="43" spans="1:56">
      <c r="A43" s="37" t="s">
        <v>48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P43" s="37" t="s">
        <v>52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E43" s="37" t="s">
        <v>89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1:56">
      <c r="A44" s="37" t="s">
        <v>1955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P44" s="37" t="s">
        <v>1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E44" s="37" t="s">
        <v>1</v>
      </c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</row>
    <row r="45" spans="1:56" s="15" customFormat="1">
      <c r="A45" s="35" t="s">
        <v>2</v>
      </c>
      <c r="B45" s="35" t="s">
        <v>3</v>
      </c>
      <c r="C45" s="38" t="s">
        <v>4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P45" s="35" t="s">
        <v>2</v>
      </c>
      <c r="Q45" s="35" t="s">
        <v>3</v>
      </c>
      <c r="R45" s="38" t="s">
        <v>5</v>
      </c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40"/>
      <c r="AE45" s="35" t="s">
        <v>2</v>
      </c>
      <c r="AF45" s="35" t="s">
        <v>3</v>
      </c>
      <c r="AG45" s="33">
        <v>25112</v>
      </c>
      <c r="AH45" s="34"/>
      <c r="AI45" s="33">
        <v>25143</v>
      </c>
      <c r="AJ45" s="34"/>
      <c r="AK45" s="33">
        <v>25173</v>
      </c>
      <c r="AL45" s="34"/>
      <c r="AM45" s="33">
        <v>25204</v>
      </c>
      <c r="AN45" s="34"/>
      <c r="AO45" s="33">
        <v>25235</v>
      </c>
      <c r="AP45" s="34"/>
      <c r="AQ45" s="33">
        <v>25263</v>
      </c>
      <c r="AR45" s="34"/>
      <c r="AS45" s="33">
        <v>25294</v>
      </c>
      <c r="AT45" s="34"/>
      <c r="AU45" s="33">
        <v>25324</v>
      </c>
      <c r="AV45" s="34"/>
      <c r="AW45" s="33">
        <v>25355</v>
      </c>
      <c r="AX45" s="34"/>
      <c r="AY45" s="33">
        <v>25385</v>
      </c>
      <c r="AZ45" s="34"/>
      <c r="BA45" s="33">
        <v>25416</v>
      </c>
      <c r="BB45" s="34"/>
      <c r="BC45" s="33">
        <v>25447</v>
      </c>
      <c r="BD45" s="34"/>
    </row>
    <row r="46" spans="1:56" s="15" customFormat="1">
      <c r="A46" s="36"/>
      <c r="B46" s="36"/>
      <c r="C46" s="16">
        <v>25112</v>
      </c>
      <c r="D46" s="16">
        <v>25143</v>
      </c>
      <c r="E46" s="16">
        <v>25173</v>
      </c>
      <c r="F46" s="16">
        <v>25204</v>
      </c>
      <c r="G46" s="16">
        <v>25235</v>
      </c>
      <c r="H46" s="16">
        <v>25263</v>
      </c>
      <c r="I46" s="16">
        <v>25294</v>
      </c>
      <c r="J46" s="16">
        <v>25324</v>
      </c>
      <c r="K46" s="16">
        <v>25355</v>
      </c>
      <c r="L46" s="16">
        <v>25385</v>
      </c>
      <c r="M46" s="16">
        <v>25416</v>
      </c>
      <c r="N46" s="16">
        <v>25447</v>
      </c>
      <c r="P46" s="36"/>
      <c r="Q46" s="36"/>
      <c r="R46" s="16">
        <v>25112</v>
      </c>
      <c r="S46" s="16">
        <v>25143</v>
      </c>
      <c r="T46" s="16">
        <v>25173</v>
      </c>
      <c r="U46" s="16">
        <v>25204</v>
      </c>
      <c r="V46" s="16">
        <v>25235</v>
      </c>
      <c r="W46" s="16">
        <v>25263</v>
      </c>
      <c r="X46" s="16">
        <v>25294</v>
      </c>
      <c r="Y46" s="16">
        <v>25324</v>
      </c>
      <c r="Z46" s="16">
        <v>25355</v>
      </c>
      <c r="AA46" s="16">
        <v>25385</v>
      </c>
      <c r="AB46" s="16">
        <v>25416</v>
      </c>
      <c r="AC46" s="16">
        <v>25447</v>
      </c>
      <c r="AE46" s="36"/>
      <c r="AF46" s="36"/>
      <c r="AG46" s="16" t="s">
        <v>85</v>
      </c>
      <c r="AH46" s="16" t="s">
        <v>86</v>
      </c>
      <c r="AI46" s="16" t="s">
        <v>85</v>
      </c>
      <c r="AJ46" s="16" t="s">
        <v>86</v>
      </c>
      <c r="AK46" s="16" t="s">
        <v>85</v>
      </c>
      <c r="AL46" s="16" t="s">
        <v>86</v>
      </c>
      <c r="AM46" s="16" t="s">
        <v>85</v>
      </c>
      <c r="AN46" s="16" t="s">
        <v>86</v>
      </c>
      <c r="AO46" s="16" t="s">
        <v>85</v>
      </c>
      <c r="AP46" s="16" t="s">
        <v>86</v>
      </c>
      <c r="AQ46" s="16" t="s">
        <v>85</v>
      </c>
      <c r="AR46" s="16" t="s">
        <v>86</v>
      </c>
      <c r="AS46" s="16" t="s">
        <v>85</v>
      </c>
      <c r="AT46" s="16" t="s">
        <v>86</v>
      </c>
      <c r="AU46" s="16" t="s">
        <v>85</v>
      </c>
      <c r="AV46" s="16" t="s">
        <v>86</v>
      </c>
      <c r="AW46" s="16" t="s">
        <v>85</v>
      </c>
      <c r="AX46" s="16" t="s">
        <v>86</v>
      </c>
      <c r="AY46" s="16" t="s">
        <v>85</v>
      </c>
      <c r="AZ46" s="16" t="s">
        <v>86</v>
      </c>
      <c r="BA46" s="16" t="s">
        <v>85</v>
      </c>
      <c r="BB46" s="16" t="s">
        <v>86</v>
      </c>
      <c r="BC46" s="16" t="s">
        <v>85</v>
      </c>
      <c r="BD46" s="16" t="s">
        <v>86</v>
      </c>
    </row>
    <row r="47" spans="1:56">
      <c r="A47" s="17">
        <v>1</v>
      </c>
      <c r="B47" s="18" t="s">
        <v>19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P47" s="17">
        <v>1</v>
      </c>
      <c r="Q47" s="18" t="s">
        <v>19</v>
      </c>
      <c r="R47" s="19">
        <v>1241472</v>
      </c>
      <c r="S47" s="19">
        <v>1241472</v>
      </c>
      <c r="T47" s="19">
        <v>1241472</v>
      </c>
      <c r="U47" s="19"/>
      <c r="V47" s="19"/>
      <c r="W47" s="19"/>
      <c r="X47" s="19"/>
      <c r="Y47" s="19"/>
      <c r="Z47" s="19"/>
      <c r="AA47" s="19"/>
      <c r="AB47" s="19"/>
      <c r="AC47" s="19"/>
      <c r="AE47" s="17">
        <v>1</v>
      </c>
      <c r="AF47" s="18" t="s">
        <v>19</v>
      </c>
      <c r="AG47" s="19">
        <f t="shared" ref="AG47:AG61" si="78">+C47-R47</f>
        <v>-1241472</v>
      </c>
      <c r="AH47" s="19" t="e">
        <f t="shared" ref="AH47:AH61" si="79">+AG47/C47*100</f>
        <v>#DIV/0!</v>
      </c>
      <c r="AI47" s="19">
        <f t="shared" ref="AI47:AI61" si="80">+D47-S47</f>
        <v>-1241472</v>
      </c>
      <c r="AJ47" s="19" t="e">
        <f t="shared" ref="AJ47:AJ61" si="81">+AI47/D47*100</f>
        <v>#DIV/0!</v>
      </c>
      <c r="AK47" s="19">
        <f t="shared" ref="AK47:AK61" si="82">+E47-T47</f>
        <v>-1241472</v>
      </c>
      <c r="AL47" s="19" t="e">
        <f t="shared" ref="AL47:AL61" si="83">+AK47/E47*100</f>
        <v>#DIV/0!</v>
      </c>
      <c r="AM47" s="19">
        <f t="shared" ref="AM47:AM61" si="84">+F47-U47</f>
        <v>0</v>
      </c>
      <c r="AN47" s="19" t="e">
        <f t="shared" ref="AN47:AN61" si="85">+AM47/F47*100</f>
        <v>#DIV/0!</v>
      </c>
      <c r="AO47" s="19">
        <f t="shared" ref="AO47:AO61" si="86">+G47-V47</f>
        <v>0</v>
      </c>
      <c r="AP47" s="19" t="e">
        <f t="shared" ref="AP47:AP61" si="87">+AO47/G47*100</f>
        <v>#DIV/0!</v>
      </c>
      <c r="AQ47" s="19">
        <f t="shared" ref="AQ47:AQ61" si="88">+H47-W47</f>
        <v>0</v>
      </c>
      <c r="AR47" s="19" t="e">
        <f t="shared" ref="AR47:AR61" si="89">+AQ47/H47*100</f>
        <v>#DIV/0!</v>
      </c>
      <c r="AS47" s="19">
        <f t="shared" ref="AS47:AS61" si="90">+I47-X47</f>
        <v>0</v>
      </c>
      <c r="AT47" s="19" t="e">
        <f t="shared" ref="AT47:AT61" si="91">+AS47/I47*100</f>
        <v>#DIV/0!</v>
      </c>
      <c r="AU47" s="19">
        <f t="shared" ref="AU47:AU61" si="92">+J47-Y47</f>
        <v>0</v>
      </c>
      <c r="AV47" s="19" t="e">
        <f t="shared" ref="AV47:AV61" si="93">+AU47/J47*100</f>
        <v>#DIV/0!</v>
      </c>
      <c r="AW47" s="19">
        <f t="shared" ref="AW47:AW61" si="94">+K47-Z47</f>
        <v>0</v>
      </c>
      <c r="AX47" s="19" t="e">
        <f t="shared" ref="AX47:AX61" si="95">+AW47/K47*100</f>
        <v>#DIV/0!</v>
      </c>
      <c r="AY47" s="19">
        <f t="shared" ref="AY47:AY61" si="96">+L47-AA47</f>
        <v>0</v>
      </c>
      <c r="AZ47" s="19" t="e">
        <f t="shared" ref="AZ47:AZ61" si="97">+AY47/L47*100</f>
        <v>#DIV/0!</v>
      </c>
      <c r="BA47" s="19">
        <f t="shared" ref="BA47:BA61" si="98">+M47-AB47</f>
        <v>0</v>
      </c>
      <c r="BB47" s="19" t="e">
        <f t="shared" ref="BB47:BB61" si="99">+BA47/M47*100</f>
        <v>#DIV/0!</v>
      </c>
      <c r="BC47" s="19">
        <f t="shared" ref="BC47:BC61" si="100">+N47-AC47</f>
        <v>0</v>
      </c>
      <c r="BD47" s="19" t="e">
        <f t="shared" ref="BD47:BD61" si="101">+BC47/N47*100</f>
        <v>#DIV/0!</v>
      </c>
    </row>
    <row r="48" spans="1:56">
      <c r="A48" s="17">
        <v>2</v>
      </c>
      <c r="B48" s="18" t="s">
        <v>21</v>
      </c>
      <c r="C48" s="19">
        <v>1992100.27</v>
      </c>
      <c r="D48" s="19">
        <v>2027937.89</v>
      </c>
      <c r="E48" s="19">
        <v>2064970.11</v>
      </c>
      <c r="F48" s="19"/>
      <c r="G48" s="19"/>
      <c r="H48" s="19"/>
      <c r="I48" s="19"/>
      <c r="J48" s="19"/>
      <c r="K48" s="19"/>
      <c r="L48" s="19"/>
      <c r="M48" s="19"/>
      <c r="N48" s="19"/>
      <c r="P48" s="17">
        <v>2</v>
      </c>
      <c r="Q48" s="18" t="s">
        <v>21</v>
      </c>
      <c r="R48" s="19">
        <v>4491809.18</v>
      </c>
      <c r="S48" s="19">
        <v>4533472.51</v>
      </c>
      <c r="T48" s="19">
        <v>4575135.84</v>
      </c>
      <c r="U48" s="19"/>
      <c r="V48" s="19"/>
      <c r="W48" s="19"/>
      <c r="X48" s="19"/>
      <c r="Y48" s="19"/>
      <c r="Z48" s="19"/>
      <c r="AA48" s="19"/>
      <c r="AB48" s="19"/>
      <c r="AC48" s="19"/>
      <c r="AE48" s="17">
        <v>2</v>
      </c>
      <c r="AF48" s="18" t="s">
        <v>21</v>
      </c>
      <c r="AG48" s="19">
        <f t="shared" si="78"/>
        <v>-2499708.9099999997</v>
      </c>
      <c r="AH48" s="19">
        <f t="shared" si="79"/>
        <v>-125.48107882139887</v>
      </c>
      <c r="AI48" s="19">
        <f t="shared" si="80"/>
        <v>-2505534.62</v>
      </c>
      <c r="AJ48" s="19">
        <f t="shared" si="81"/>
        <v>-123.55085588937835</v>
      </c>
      <c r="AK48" s="19">
        <f t="shared" si="82"/>
        <v>-2510165.7299999995</v>
      </c>
      <c r="AL48" s="19">
        <f t="shared" si="83"/>
        <v>-121.55942199085872</v>
      </c>
      <c r="AM48" s="19">
        <f t="shared" si="84"/>
        <v>0</v>
      </c>
      <c r="AN48" s="19" t="e">
        <f t="shared" si="85"/>
        <v>#DIV/0!</v>
      </c>
      <c r="AO48" s="19">
        <f t="shared" si="86"/>
        <v>0</v>
      </c>
      <c r="AP48" s="19" t="e">
        <f t="shared" si="87"/>
        <v>#DIV/0!</v>
      </c>
      <c r="AQ48" s="19">
        <f t="shared" si="88"/>
        <v>0</v>
      </c>
      <c r="AR48" s="19" t="e">
        <f t="shared" si="89"/>
        <v>#DIV/0!</v>
      </c>
      <c r="AS48" s="19">
        <f t="shared" si="90"/>
        <v>0</v>
      </c>
      <c r="AT48" s="19" t="e">
        <f t="shared" si="91"/>
        <v>#DIV/0!</v>
      </c>
      <c r="AU48" s="19">
        <f t="shared" si="92"/>
        <v>0</v>
      </c>
      <c r="AV48" s="19" t="e">
        <f t="shared" si="93"/>
        <v>#DIV/0!</v>
      </c>
      <c r="AW48" s="19">
        <f t="shared" si="94"/>
        <v>0</v>
      </c>
      <c r="AX48" s="19" t="e">
        <f t="shared" si="95"/>
        <v>#DIV/0!</v>
      </c>
      <c r="AY48" s="19">
        <f t="shared" si="96"/>
        <v>0</v>
      </c>
      <c r="AZ48" s="19" t="e">
        <f t="shared" si="97"/>
        <v>#DIV/0!</v>
      </c>
      <c r="BA48" s="19">
        <f t="shared" si="98"/>
        <v>0</v>
      </c>
      <c r="BB48" s="19" t="e">
        <f t="shared" si="99"/>
        <v>#DIV/0!</v>
      </c>
      <c r="BC48" s="19">
        <f t="shared" si="100"/>
        <v>0</v>
      </c>
      <c r="BD48" s="19" t="e">
        <f t="shared" si="101"/>
        <v>#DIV/0!</v>
      </c>
    </row>
    <row r="49" spans="1:56">
      <c r="A49" s="17">
        <v>3</v>
      </c>
      <c r="B49" s="18" t="s">
        <v>23</v>
      </c>
      <c r="C49" s="19">
        <v>1492999</v>
      </c>
      <c r="D49" s="19">
        <v>1492999</v>
      </c>
      <c r="E49" s="19">
        <v>1492999</v>
      </c>
      <c r="F49" s="19"/>
      <c r="G49" s="19"/>
      <c r="H49" s="19"/>
      <c r="I49" s="19"/>
      <c r="J49" s="19"/>
      <c r="K49" s="19"/>
      <c r="L49" s="19"/>
      <c r="M49" s="19"/>
      <c r="N49" s="19"/>
      <c r="P49" s="17">
        <v>3</v>
      </c>
      <c r="Q49" s="18" t="s">
        <v>23</v>
      </c>
      <c r="R49" s="19">
        <v>55894</v>
      </c>
      <c r="S49" s="19">
        <v>55894</v>
      </c>
      <c r="T49" s="19">
        <v>55894</v>
      </c>
      <c r="U49" s="19"/>
      <c r="V49" s="19"/>
      <c r="W49" s="19"/>
      <c r="X49" s="19"/>
      <c r="Y49" s="19"/>
      <c r="Z49" s="19"/>
      <c r="AA49" s="19"/>
      <c r="AB49" s="19"/>
      <c r="AC49" s="19"/>
      <c r="AE49" s="17">
        <v>3</v>
      </c>
      <c r="AF49" s="18" t="s">
        <v>23</v>
      </c>
      <c r="AG49" s="19">
        <f t="shared" si="78"/>
        <v>1437105</v>
      </c>
      <c r="AH49" s="19">
        <f t="shared" si="79"/>
        <v>96.256260051078399</v>
      </c>
      <c r="AI49" s="19">
        <f t="shared" si="80"/>
        <v>1437105</v>
      </c>
      <c r="AJ49" s="19">
        <f t="shared" si="81"/>
        <v>96.256260051078399</v>
      </c>
      <c r="AK49" s="19">
        <f t="shared" si="82"/>
        <v>1437105</v>
      </c>
      <c r="AL49" s="19">
        <f t="shared" si="83"/>
        <v>96.256260051078399</v>
      </c>
      <c r="AM49" s="19">
        <f t="shared" si="84"/>
        <v>0</v>
      </c>
      <c r="AN49" s="19" t="e">
        <f t="shared" si="85"/>
        <v>#DIV/0!</v>
      </c>
      <c r="AO49" s="19">
        <f t="shared" si="86"/>
        <v>0</v>
      </c>
      <c r="AP49" s="19" t="e">
        <f t="shared" si="87"/>
        <v>#DIV/0!</v>
      </c>
      <c r="AQ49" s="19">
        <f t="shared" si="88"/>
        <v>0</v>
      </c>
      <c r="AR49" s="19" t="e">
        <f t="shared" si="89"/>
        <v>#DIV/0!</v>
      </c>
      <c r="AS49" s="19">
        <f t="shared" si="90"/>
        <v>0</v>
      </c>
      <c r="AT49" s="19" t="e">
        <f t="shared" si="91"/>
        <v>#DIV/0!</v>
      </c>
      <c r="AU49" s="19">
        <f t="shared" si="92"/>
        <v>0</v>
      </c>
      <c r="AV49" s="19" t="e">
        <f t="shared" si="93"/>
        <v>#DIV/0!</v>
      </c>
      <c r="AW49" s="19">
        <f t="shared" si="94"/>
        <v>0</v>
      </c>
      <c r="AX49" s="19" t="e">
        <f t="shared" si="95"/>
        <v>#DIV/0!</v>
      </c>
      <c r="AY49" s="19">
        <f t="shared" si="96"/>
        <v>0</v>
      </c>
      <c r="AZ49" s="19" t="e">
        <f t="shared" si="97"/>
        <v>#DIV/0!</v>
      </c>
      <c r="BA49" s="19">
        <f t="shared" si="98"/>
        <v>0</v>
      </c>
      <c r="BB49" s="19" t="e">
        <f t="shared" si="99"/>
        <v>#DIV/0!</v>
      </c>
      <c r="BC49" s="19">
        <f t="shared" si="100"/>
        <v>0</v>
      </c>
      <c r="BD49" s="19" t="e">
        <f t="shared" si="101"/>
        <v>#DIV/0!</v>
      </c>
    </row>
    <row r="50" spans="1:56">
      <c r="A50" s="17">
        <v>4</v>
      </c>
      <c r="B50" s="18" t="s">
        <v>25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P50" s="17">
        <v>4</v>
      </c>
      <c r="Q50" s="18" t="s">
        <v>25</v>
      </c>
      <c r="R50" s="19">
        <v>296738.59999999998</v>
      </c>
      <c r="S50" s="19">
        <v>296738.59999999998</v>
      </c>
      <c r="T50" s="19">
        <v>296738.59999999998</v>
      </c>
      <c r="U50" s="19"/>
      <c r="V50" s="19"/>
      <c r="W50" s="19"/>
      <c r="X50" s="19"/>
      <c r="Y50" s="19"/>
      <c r="Z50" s="19"/>
      <c r="AA50" s="19"/>
      <c r="AB50" s="19"/>
      <c r="AC50" s="19"/>
      <c r="AE50" s="17">
        <v>4</v>
      </c>
      <c r="AF50" s="18" t="s">
        <v>25</v>
      </c>
      <c r="AG50" s="19">
        <f t="shared" si="78"/>
        <v>-296738.59999999998</v>
      </c>
      <c r="AH50" s="19" t="e">
        <f t="shared" si="79"/>
        <v>#DIV/0!</v>
      </c>
      <c r="AI50" s="19">
        <f t="shared" si="80"/>
        <v>-296738.59999999998</v>
      </c>
      <c r="AJ50" s="19" t="e">
        <f t="shared" si="81"/>
        <v>#DIV/0!</v>
      </c>
      <c r="AK50" s="19">
        <f t="shared" si="82"/>
        <v>-296738.59999999998</v>
      </c>
      <c r="AL50" s="19" t="e">
        <f t="shared" si="83"/>
        <v>#DIV/0!</v>
      </c>
      <c r="AM50" s="19">
        <f t="shared" si="84"/>
        <v>0</v>
      </c>
      <c r="AN50" s="19" t="e">
        <f t="shared" si="85"/>
        <v>#DIV/0!</v>
      </c>
      <c r="AO50" s="19">
        <f t="shared" si="86"/>
        <v>0</v>
      </c>
      <c r="AP50" s="19" t="e">
        <f t="shared" si="87"/>
        <v>#DIV/0!</v>
      </c>
      <c r="AQ50" s="19">
        <f t="shared" si="88"/>
        <v>0</v>
      </c>
      <c r="AR50" s="19" t="e">
        <f t="shared" si="89"/>
        <v>#DIV/0!</v>
      </c>
      <c r="AS50" s="19">
        <f t="shared" si="90"/>
        <v>0</v>
      </c>
      <c r="AT50" s="19" t="e">
        <f t="shared" si="91"/>
        <v>#DIV/0!</v>
      </c>
      <c r="AU50" s="19">
        <f t="shared" si="92"/>
        <v>0</v>
      </c>
      <c r="AV50" s="19" t="e">
        <f t="shared" si="93"/>
        <v>#DIV/0!</v>
      </c>
      <c r="AW50" s="19">
        <f t="shared" si="94"/>
        <v>0</v>
      </c>
      <c r="AX50" s="19" t="e">
        <f t="shared" si="95"/>
        <v>#DIV/0!</v>
      </c>
      <c r="AY50" s="19">
        <f t="shared" si="96"/>
        <v>0</v>
      </c>
      <c r="AZ50" s="19" t="e">
        <f t="shared" si="97"/>
        <v>#DIV/0!</v>
      </c>
      <c r="BA50" s="19">
        <f t="shared" si="98"/>
        <v>0</v>
      </c>
      <c r="BB50" s="19" t="e">
        <f t="shared" si="99"/>
        <v>#DIV/0!</v>
      </c>
      <c r="BC50" s="19">
        <f t="shared" si="100"/>
        <v>0</v>
      </c>
      <c r="BD50" s="19" t="e">
        <f t="shared" si="101"/>
        <v>#DIV/0!</v>
      </c>
    </row>
    <row r="51" spans="1:56">
      <c r="A51" s="17">
        <v>5</v>
      </c>
      <c r="B51" s="18" t="s">
        <v>27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P51" s="17">
        <v>5</v>
      </c>
      <c r="Q51" s="18" t="s">
        <v>27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E51" s="17">
        <v>5</v>
      </c>
      <c r="AF51" s="18" t="s">
        <v>27</v>
      </c>
      <c r="AG51" s="19">
        <f t="shared" si="78"/>
        <v>0</v>
      </c>
      <c r="AH51" s="19" t="e">
        <f t="shared" si="79"/>
        <v>#DIV/0!</v>
      </c>
      <c r="AI51" s="19">
        <f t="shared" si="80"/>
        <v>0</v>
      </c>
      <c r="AJ51" s="19" t="e">
        <f t="shared" si="81"/>
        <v>#DIV/0!</v>
      </c>
      <c r="AK51" s="19">
        <f t="shared" si="82"/>
        <v>0</v>
      </c>
      <c r="AL51" s="19" t="e">
        <f t="shared" si="83"/>
        <v>#DIV/0!</v>
      </c>
      <c r="AM51" s="19">
        <f t="shared" si="84"/>
        <v>0</v>
      </c>
      <c r="AN51" s="19" t="e">
        <f t="shared" si="85"/>
        <v>#DIV/0!</v>
      </c>
      <c r="AO51" s="19">
        <f t="shared" si="86"/>
        <v>0</v>
      </c>
      <c r="AP51" s="19" t="e">
        <f t="shared" si="87"/>
        <v>#DIV/0!</v>
      </c>
      <c r="AQ51" s="19">
        <f t="shared" si="88"/>
        <v>0</v>
      </c>
      <c r="AR51" s="19" t="e">
        <f t="shared" si="89"/>
        <v>#DIV/0!</v>
      </c>
      <c r="AS51" s="19">
        <f t="shared" si="90"/>
        <v>0</v>
      </c>
      <c r="AT51" s="19" t="e">
        <f t="shared" si="91"/>
        <v>#DIV/0!</v>
      </c>
      <c r="AU51" s="19">
        <f t="shared" si="92"/>
        <v>0</v>
      </c>
      <c r="AV51" s="19" t="e">
        <f t="shared" si="93"/>
        <v>#DIV/0!</v>
      </c>
      <c r="AW51" s="19">
        <f t="shared" si="94"/>
        <v>0</v>
      </c>
      <c r="AX51" s="19" t="e">
        <f t="shared" si="95"/>
        <v>#DIV/0!</v>
      </c>
      <c r="AY51" s="19">
        <f t="shared" si="96"/>
        <v>0</v>
      </c>
      <c r="AZ51" s="19" t="e">
        <f t="shared" si="97"/>
        <v>#DIV/0!</v>
      </c>
      <c r="BA51" s="19">
        <f t="shared" si="98"/>
        <v>0</v>
      </c>
      <c r="BB51" s="19" t="e">
        <f t="shared" si="99"/>
        <v>#DIV/0!</v>
      </c>
      <c r="BC51" s="19">
        <f t="shared" si="100"/>
        <v>0</v>
      </c>
      <c r="BD51" s="19" t="e">
        <f t="shared" si="101"/>
        <v>#DIV/0!</v>
      </c>
    </row>
    <row r="52" spans="1:56">
      <c r="A52" s="17">
        <v>6</v>
      </c>
      <c r="B52" s="18" t="s">
        <v>29</v>
      </c>
      <c r="C52" s="19">
        <v>6751766.9900000002</v>
      </c>
      <c r="D52" s="19">
        <v>6890894.8499999996</v>
      </c>
      <c r="E52" s="19">
        <v>7034660.2800000003</v>
      </c>
      <c r="F52" s="19"/>
      <c r="G52" s="19"/>
      <c r="H52" s="19"/>
      <c r="I52" s="19"/>
      <c r="J52" s="19"/>
      <c r="K52" s="19"/>
      <c r="L52" s="19"/>
      <c r="M52" s="19"/>
      <c r="N52" s="19"/>
      <c r="P52" s="17">
        <v>6</v>
      </c>
      <c r="Q52" s="18" t="s">
        <v>29</v>
      </c>
      <c r="R52" s="19">
        <v>11635644.74</v>
      </c>
      <c r="S52" s="19">
        <v>11778016.32</v>
      </c>
      <c r="T52" s="19">
        <v>11920387.9</v>
      </c>
      <c r="U52" s="19"/>
      <c r="V52" s="19"/>
      <c r="W52" s="19"/>
      <c r="X52" s="19"/>
      <c r="Y52" s="19"/>
      <c r="Z52" s="19"/>
      <c r="AA52" s="19"/>
      <c r="AB52" s="19"/>
      <c r="AC52" s="19"/>
      <c r="AE52" s="17">
        <v>6</v>
      </c>
      <c r="AF52" s="18" t="s">
        <v>29</v>
      </c>
      <c r="AG52" s="19">
        <f t="shared" si="78"/>
        <v>-4883877.75</v>
      </c>
      <c r="AH52" s="19">
        <f t="shared" si="79"/>
        <v>-72.334808906075708</v>
      </c>
      <c r="AI52" s="19">
        <f t="shared" si="80"/>
        <v>-4887121.4700000007</v>
      </c>
      <c r="AJ52" s="19">
        <f t="shared" si="81"/>
        <v>-70.921434391064622</v>
      </c>
      <c r="AK52" s="19">
        <f t="shared" si="82"/>
        <v>-4885727.62</v>
      </c>
      <c r="AL52" s="19">
        <f t="shared" si="83"/>
        <v>-69.45221838061525</v>
      </c>
      <c r="AM52" s="19">
        <f t="shared" si="84"/>
        <v>0</v>
      </c>
      <c r="AN52" s="19" t="e">
        <f t="shared" si="85"/>
        <v>#DIV/0!</v>
      </c>
      <c r="AO52" s="19">
        <f t="shared" si="86"/>
        <v>0</v>
      </c>
      <c r="AP52" s="19" t="e">
        <f t="shared" si="87"/>
        <v>#DIV/0!</v>
      </c>
      <c r="AQ52" s="19">
        <f t="shared" si="88"/>
        <v>0</v>
      </c>
      <c r="AR52" s="19" t="e">
        <f t="shared" si="89"/>
        <v>#DIV/0!</v>
      </c>
      <c r="AS52" s="19">
        <f t="shared" si="90"/>
        <v>0</v>
      </c>
      <c r="AT52" s="19" t="e">
        <f t="shared" si="91"/>
        <v>#DIV/0!</v>
      </c>
      <c r="AU52" s="19">
        <f t="shared" si="92"/>
        <v>0</v>
      </c>
      <c r="AV52" s="19" t="e">
        <f t="shared" si="93"/>
        <v>#DIV/0!</v>
      </c>
      <c r="AW52" s="19">
        <f t="shared" si="94"/>
        <v>0</v>
      </c>
      <c r="AX52" s="19" t="e">
        <f t="shared" si="95"/>
        <v>#DIV/0!</v>
      </c>
      <c r="AY52" s="19">
        <f t="shared" si="96"/>
        <v>0</v>
      </c>
      <c r="AZ52" s="19" t="e">
        <f t="shared" si="97"/>
        <v>#DIV/0!</v>
      </c>
      <c r="BA52" s="19">
        <f t="shared" si="98"/>
        <v>0</v>
      </c>
      <c r="BB52" s="19" t="e">
        <f t="shared" si="99"/>
        <v>#DIV/0!</v>
      </c>
      <c r="BC52" s="19">
        <f t="shared" si="100"/>
        <v>0</v>
      </c>
      <c r="BD52" s="19" t="e">
        <f t="shared" si="101"/>
        <v>#DIV/0!</v>
      </c>
    </row>
    <row r="53" spans="1:56">
      <c r="A53" s="17">
        <v>7</v>
      </c>
      <c r="B53" s="18" t="s">
        <v>31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P53" s="17">
        <v>7</v>
      </c>
      <c r="Q53" s="18" t="s">
        <v>31</v>
      </c>
      <c r="R53" s="19">
        <v>1864297.22</v>
      </c>
      <c r="S53" s="19">
        <v>1864297.22</v>
      </c>
      <c r="T53" s="19">
        <v>1864297.22</v>
      </c>
      <c r="U53" s="19"/>
      <c r="V53" s="19"/>
      <c r="W53" s="19"/>
      <c r="X53" s="19"/>
      <c r="Y53" s="19"/>
      <c r="Z53" s="19"/>
      <c r="AA53" s="19"/>
      <c r="AB53" s="19"/>
      <c r="AC53" s="19"/>
      <c r="AE53" s="17">
        <v>7</v>
      </c>
      <c r="AF53" s="18" t="s">
        <v>31</v>
      </c>
      <c r="AG53" s="19">
        <f t="shared" si="78"/>
        <v>-1864297.22</v>
      </c>
      <c r="AH53" s="19" t="e">
        <f t="shared" si="79"/>
        <v>#DIV/0!</v>
      </c>
      <c r="AI53" s="19">
        <f t="shared" si="80"/>
        <v>-1864297.22</v>
      </c>
      <c r="AJ53" s="19" t="e">
        <f t="shared" si="81"/>
        <v>#DIV/0!</v>
      </c>
      <c r="AK53" s="19">
        <f t="shared" si="82"/>
        <v>-1864297.22</v>
      </c>
      <c r="AL53" s="19" t="e">
        <f t="shared" si="83"/>
        <v>#DIV/0!</v>
      </c>
      <c r="AM53" s="19">
        <f t="shared" si="84"/>
        <v>0</v>
      </c>
      <c r="AN53" s="19" t="e">
        <f t="shared" si="85"/>
        <v>#DIV/0!</v>
      </c>
      <c r="AO53" s="19">
        <f t="shared" si="86"/>
        <v>0</v>
      </c>
      <c r="AP53" s="19" t="e">
        <f t="shared" si="87"/>
        <v>#DIV/0!</v>
      </c>
      <c r="AQ53" s="19">
        <f t="shared" si="88"/>
        <v>0</v>
      </c>
      <c r="AR53" s="19" t="e">
        <f t="shared" si="89"/>
        <v>#DIV/0!</v>
      </c>
      <c r="AS53" s="19">
        <f t="shared" si="90"/>
        <v>0</v>
      </c>
      <c r="AT53" s="19" t="e">
        <f t="shared" si="91"/>
        <v>#DIV/0!</v>
      </c>
      <c r="AU53" s="19">
        <f t="shared" si="92"/>
        <v>0</v>
      </c>
      <c r="AV53" s="19" t="e">
        <f t="shared" si="93"/>
        <v>#DIV/0!</v>
      </c>
      <c r="AW53" s="19">
        <f t="shared" si="94"/>
        <v>0</v>
      </c>
      <c r="AX53" s="19" t="e">
        <f t="shared" si="95"/>
        <v>#DIV/0!</v>
      </c>
      <c r="AY53" s="19">
        <f t="shared" si="96"/>
        <v>0</v>
      </c>
      <c r="AZ53" s="19" t="e">
        <f t="shared" si="97"/>
        <v>#DIV/0!</v>
      </c>
      <c r="BA53" s="19">
        <f t="shared" si="98"/>
        <v>0</v>
      </c>
      <c r="BB53" s="19" t="e">
        <f t="shared" si="99"/>
        <v>#DIV/0!</v>
      </c>
      <c r="BC53" s="19">
        <f t="shared" si="100"/>
        <v>0</v>
      </c>
      <c r="BD53" s="19" t="e">
        <f t="shared" si="101"/>
        <v>#DIV/0!</v>
      </c>
    </row>
    <row r="54" spans="1:56">
      <c r="A54" s="17">
        <v>8</v>
      </c>
      <c r="B54" s="18" t="s">
        <v>33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P54" s="17">
        <v>8</v>
      </c>
      <c r="Q54" s="18" t="s">
        <v>33</v>
      </c>
      <c r="R54" s="19">
        <v>892672.83</v>
      </c>
      <c r="S54" s="19">
        <v>892672.83</v>
      </c>
      <c r="T54" s="19">
        <v>892672.83</v>
      </c>
      <c r="U54" s="19"/>
      <c r="V54" s="19"/>
      <c r="W54" s="19"/>
      <c r="X54" s="19"/>
      <c r="Y54" s="19"/>
      <c r="Z54" s="19"/>
      <c r="AA54" s="19"/>
      <c r="AB54" s="19"/>
      <c r="AC54" s="19"/>
      <c r="AE54" s="17">
        <v>8</v>
      </c>
      <c r="AF54" s="18" t="s">
        <v>33</v>
      </c>
      <c r="AG54" s="19">
        <f t="shared" si="78"/>
        <v>-892672.83</v>
      </c>
      <c r="AH54" s="19" t="e">
        <f t="shared" si="79"/>
        <v>#DIV/0!</v>
      </c>
      <c r="AI54" s="19">
        <f t="shared" si="80"/>
        <v>-892672.83</v>
      </c>
      <c r="AJ54" s="19" t="e">
        <f t="shared" si="81"/>
        <v>#DIV/0!</v>
      </c>
      <c r="AK54" s="19">
        <f t="shared" si="82"/>
        <v>-892672.83</v>
      </c>
      <c r="AL54" s="19" t="e">
        <f t="shared" si="83"/>
        <v>#DIV/0!</v>
      </c>
      <c r="AM54" s="19">
        <f t="shared" si="84"/>
        <v>0</v>
      </c>
      <c r="AN54" s="19" t="e">
        <f t="shared" si="85"/>
        <v>#DIV/0!</v>
      </c>
      <c r="AO54" s="19">
        <f t="shared" si="86"/>
        <v>0</v>
      </c>
      <c r="AP54" s="19" t="e">
        <f t="shared" si="87"/>
        <v>#DIV/0!</v>
      </c>
      <c r="AQ54" s="19">
        <f t="shared" si="88"/>
        <v>0</v>
      </c>
      <c r="AR54" s="19" t="e">
        <f t="shared" si="89"/>
        <v>#DIV/0!</v>
      </c>
      <c r="AS54" s="19">
        <f t="shared" si="90"/>
        <v>0</v>
      </c>
      <c r="AT54" s="19" t="e">
        <f t="shared" si="91"/>
        <v>#DIV/0!</v>
      </c>
      <c r="AU54" s="19">
        <f t="shared" si="92"/>
        <v>0</v>
      </c>
      <c r="AV54" s="19" t="e">
        <f t="shared" si="93"/>
        <v>#DIV/0!</v>
      </c>
      <c r="AW54" s="19">
        <f t="shared" si="94"/>
        <v>0</v>
      </c>
      <c r="AX54" s="19" t="e">
        <f t="shared" si="95"/>
        <v>#DIV/0!</v>
      </c>
      <c r="AY54" s="19">
        <f t="shared" si="96"/>
        <v>0</v>
      </c>
      <c r="AZ54" s="19" t="e">
        <f t="shared" si="97"/>
        <v>#DIV/0!</v>
      </c>
      <c r="BA54" s="19">
        <f t="shared" si="98"/>
        <v>0</v>
      </c>
      <c r="BB54" s="19" t="e">
        <f t="shared" si="99"/>
        <v>#DIV/0!</v>
      </c>
      <c r="BC54" s="19">
        <f t="shared" si="100"/>
        <v>0</v>
      </c>
      <c r="BD54" s="19" t="e">
        <f t="shared" si="101"/>
        <v>#DIV/0!</v>
      </c>
    </row>
    <row r="55" spans="1:56">
      <c r="A55" s="17">
        <v>9</v>
      </c>
      <c r="B55" s="18" t="s">
        <v>35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P55" s="17">
        <v>9</v>
      </c>
      <c r="Q55" s="18" t="s">
        <v>35</v>
      </c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E55" s="17">
        <v>9</v>
      </c>
      <c r="AF55" s="18" t="s">
        <v>35</v>
      </c>
      <c r="AG55" s="19">
        <f t="shared" si="78"/>
        <v>0</v>
      </c>
      <c r="AH55" s="19" t="e">
        <f t="shared" si="79"/>
        <v>#DIV/0!</v>
      </c>
      <c r="AI55" s="19">
        <f t="shared" si="80"/>
        <v>0</v>
      </c>
      <c r="AJ55" s="19" t="e">
        <f t="shared" si="81"/>
        <v>#DIV/0!</v>
      </c>
      <c r="AK55" s="19">
        <f t="shared" si="82"/>
        <v>0</v>
      </c>
      <c r="AL55" s="19" t="e">
        <f t="shared" si="83"/>
        <v>#DIV/0!</v>
      </c>
      <c r="AM55" s="19">
        <f t="shared" si="84"/>
        <v>0</v>
      </c>
      <c r="AN55" s="19" t="e">
        <f t="shared" si="85"/>
        <v>#DIV/0!</v>
      </c>
      <c r="AO55" s="19">
        <f t="shared" si="86"/>
        <v>0</v>
      </c>
      <c r="AP55" s="19" t="e">
        <f t="shared" si="87"/>
        <v>#DIV/0!</v>
      </c>
      <c r="AQ55" s="19">
        <f t="shared" si="88"/>
        <v>0</v>
      </c>
      <c r="AR55" s="19" t="e">
        <f t="shared" si="89"/>
        <v>#DIV/0!</v>
      </c>
      <c r="AS55" s="19">
        <f t="shared" si="90"/>
        <v>0</v>
      </c>
      <c r="AT55" s="19" t="e">
        <f t="shared" si="91"/>
        <v>#DIV/0!</v>
      </c>
      <c r="AU55" s="19">
        <f t="shared" si="92"/>
        <v>0</v>
      </c>
      <c r="AV55" s="19" t="e">
        <f t="shared" si="93"/>
        <v>#DIV/0!</v>
      </c>
      <c r="AW55" s="19">
        <f t="shared" si="94"/>
        <v>0</v>
      </c>
      <c r="AX55" s="19" t="e">
        <f t="shared" si="95"/>
        <v>#DIV/0!</v>
      </c>
      <c r="AY55" s="19">
        <f t="shared" si="96"/>
        <v>0</v>
      </c>
      <c r="AZ55" s="19" t="e">
        <f t="shared" si="97"/>
        <v>#DIV/0!</v>
      </c>
      <c r="BA55" s="19">
        <f t="shared" si="98"/>
        <v>0</v>
      </c>
      <c r="BB55" s="19" t="e">
        <f t="shared" si="99"/>
        <v>#DIV/0!</v>
      </c>
      <c r="BC55" s="19">
        <f t="shared" si="100"/>
        <v>0</v>
      </c>
      <c r="BD55" s="19" t="e">
        <f t="shared" si="101"/>
        <v>#DIV/0!</v>
      </c>
    </row>
    <row r="56" spans="1:56">
      <c r="A56" s="17">
        <v>10</v>
      </c>
      <c r="B56" s="18" t="s">
        <v>37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P56" s="17">
        <v>10</v>
      </c>
      <c r="Q56" s="18" t="s">
        <v>37</v>
      </c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E56" s="17">
        <v>10</v>
      </c>
      <c r="AF56" s="18" t="s">
        <v>37</v>
      </c>
      <c r="AG56" s="19">
        <f t="shared" si="78"/>
        <v>0</v>
      </c>
      <c r="AH56" s="19" t="e">
        <f t="shared" si="79"/>
        <v>#DIV/0!</v>
      </c>
      <c r="AI56" s="19">
        <f t="shared" si="80"/>
        <v>0</v>
      </c>
      <c r="AJ56" s="19" t="e">
        <f t="shared" si="81"/>
        <v>#DIV/0!</v>
      </c>
      <c r="AK56" s="19">
        <f t="shared" si="82"/>
        <v>0</v>
      </c>
      <c r="AL56" s="19" t="e">
        <f t="shared" si="83"/>
        <v>#DIV/0!</v>
      </c>
      <c r="AM56" s="19">
        <f t="shared" si="84"/>
        <v>0</v>
      </c>
      <c r="AN56" s="19" t="e">
        <f t="shared" si="85"/>
        <v>#DIV/0!</v>
      </c>
      <c r="AO56" s="19">
        <f t="shared" si="86"/>
        <v>0</v>
      </c>
      <c r="AP56" s="19" t="e">
        <f t="shared" si="87"/>
        <v>#DIV/0!</v>
      </c>
      <c r="AQ56" s="19">
        <f t="shared" si="88"/>
        <v>0</v>
      </c>
      <c r="AR56" s="19" t="e">
        <f t="shared" si="89"/>
        <v>#DIV/0!</v>
      </c>
      <c r="AS56" s="19">
        <f t="shared" si="90"/>
        <v>0</v>
      </c>
      <c r="AT56" s="19" t="e">
        <f t="shared" si="91"/>
        <v>#DIV/0!</v>
      </c>
      <c r="AU56" s="19">
        <f t="shared" si="92"/>
        <v>0</v>
      </c>
      <c r="AV56" s="19" t="e">
        <f t="shared" si="93"/>
        <v>#DIV/0!</v>
      </c>
      <c r="AW56" s="19">
        <f t="shared" si="94"/>
        <v>0</v>
      </c>
      <c r="AX56" s="19" t="e">
        <f t="shared" si="95"/>
        <v>#DIV/0!</v>
      </c>
      <c r="AY56" s="19">
        <f t="shared" si="96"/>
        <v>0</v>
      </c>
      <c r="AZ56" s="19" t="e">
        <f t="shared" si="97"/>
        <v>#DIV/0!</v>
      </c>
      <c r="BA56" s="19">
        <f t="shared" si="98"/>
        <v>0</v>
      </c>
      <c r="BB56" s="19" t="e">
        <f t="shared" si="99"/>
        <v>#DIV/0!</v>
      </c>
      <c r="BC56" s="19">
        <f t="shared" si="100"/>
        <v>0</v>
      </c>
      <c r="BD56" s="19" t="e">
        <f t="shared" si="101"/>
        <v>#DIV/0!</v>
      </c>
    </row>
    <row r="57" spans="1:56">
      <c r="A57" s="17">
        <v>11</v>
      </c>
      <c r="B57" s="18" t="s">
        <v>39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P57" s="17">
        <v>11</v>
      </c>
      <c r="Q57" s="18" t="s">
        <v>39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E57" s="17">
        <v>11</v>
      </c>
      <c r="AF57" s="18" t="s">
        <v>39</v>
      </c>
      <c r="AG57" s="19">
        <f t="shared" si="78"/>
        <v>0</v>
      </c>
      <c r="AH57" s="19" t="e">
        <f t="shared" si="79"/>
        <v>#DIV/0!</v>
      </c>
      <c r="AI57" s="19">
        <f t="shared" si="80"/>
        <v>0</v>
      </c>
      <c r="AJ57" s="19" t="e">
        <f t="shared" si="81"/>
        <v>#DIV/0!</v>
      </c>
      <c r="AK57" s="19">
        <f t="shared" si="82"/>
        <v>0</v>
      </c>
      <c r="AL57" s="19" t="e">
        <f t="shared" si="83"/>
        <v>#DIV/0!</v>
      </c>
      <c r="AM57" s="19">
        <f t="shared" si="84"/>
        <v>0</v>
      </c>
      <c r="AN57" s="19" t="e">
        <f t="shared" si="85"/>
        <v>#DIV/0!</v>
      </c>
      <c r="AO57" s="19">
        <f t="shared" si="86"/>
        <v>0</v>
      </c>
      <c r="AP57" s="19" t="e">
        <f t="shared" si="87"/>
        <v>#DIV/0!</v>
      </c>
      <c r="AQ57" s="19">
        <f t="shared" si="88"/>
        <v>0</v>
      </c>
      <c r="AR57" s="19" t="e">
        <f t="shared" si="89"/>
        <v>#DIV/0!</v>
      </c>
      <c r="AS57" s="19">
        <f t="shared" si="90"/>
        <v>0</v>
      </c>
      <c r="AT57" s="19" t="e">
        <f t="shared" si="91"/>
        <v>#DIV/0!</v>
      </c>
      <c r="AU57" s="19">
        <f t="shared" si="92"/>
        <v>0</v>
      </c>
      <c r="AV57" s="19" t="e">
        <f t="shared" si="93"/>
        <v>#DIV/0!</v>
      </c>
      <c r="AW57" s="19">
        <f t="shared" si="94"/>
        <v>0</v>
      </c>
      <c r="AX57" s="19" t="e">
        <f t="shared" si="95"/>
        <v>#DIV/0!</v>
      </c>
      <c r="AY57" s="19">
        <f t="shared" si="96"/>
        <v>0</v>
      </c>
      <c r="AZ57" s="19" t="e">
        <f t="shared" si="97"/>
        <v>#DIV/0!</v>
      </c>
      <c r="BA57" s="19">
        <f t="shared" si="98"/>
        <v>0</v>
      </c>
      <c r="BB57" s="19" t="e">
        <f t="shared" si="99"/>
        <v>#DIV/0!</v>
      </c>
      <c r="BC57" s="19">
        <f t="shared" si="100"/>
        <v>0</v>
      </c>
      <c r="BD57" s="19" t="e">
        <f t="shared" si="101"/>
        <v>#DIV/0!</v>
      </c>
    </row>
    <row r="58" spans="1:56">
      <c r="A58" s="17">
        <v>12</v>
      </c>
      <c r="B58" s="18" t="s">
        <v>41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P58" s="17">
        <v>12</v>
      </c>
      <c r="Q58" s="18" t="s">
        <v>41</v>
      </c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E58" s="17">
        <v>12</v>
      </c>
      <c r="AF58" s="18" t="s">
        <v>41</v>
      </c>
      <c r="AG58" s="19">
        <f t="shared" si="78"/>
        <v>0</v>
      </c>
      <c r="AH58" s="19" t="e">
        <f t="shared" si="79"/>
        <v>#DIV/0!</v>
      </c>
      <c r="AI58" s="19">
        <f t="shared" si="80"/>
        <v>0</v>
      </c>
      <c r="AJ58" s="19" t="e">
        <f t="shared" si="81"/>
        <v>#DIV/0!</v>
      </c>
      <c r="AK58" s="19">
        <f t="shared" si="82"/>
        <v>0</v>
      </c>
      <c r="AL58" s="19" t="e">
        <f t="shared" si="83"/>
        <v>#DIV/0!</v>
      </c>
      <c r="AM58" s="19">
        <f t="shared" si="84"/>
        <v>0</v>
      </c>
      <c r="AN58" s="19" t="e">
        <f t="shared" si="85"/>
        <v>#DIV/0!</v>
      </c>
      <c r="AO58" s="19">
        <f t="shared" si="86"/>
        <v>0</v>
      </c>
      <c r="AP58" s="19" t="e">
        <f t="shared" si="87"/>
        <v>#DIV/0!</v>
      </c>
      <c r="AQ58" s="19">
        <f t="shared" si="88"/>
        <v>0</v>
      </c>
      <c r="AR58" s="19" t="e">
        <f t="shared" si="89"/>
        <v>#DIV/0!</v>
      </c>
      <c r="AS58" s="19">
        <f t="shared" si="90"/>
        <v>0</v>
      </c>
      <c r="AT58" s="19" t="e">
        <f t="shared" si="91"/>
        <v>#DIV/0!</v>
      </c>
      <c r="AU58" s="19">
        <f t="shared" si="92"/>
        <v>0</v>
      </c>
      <c r="AV58" s="19" t="e">
        <f t="shared" si="93"/>
        <v>#DIV/0!</v>
      </c>
      <c r="AW58" s="19">
        <f t="shared" si="94"/>
        <v>0</v>
      </c>
      <c r="AX58" s="19" t="e">
        <f t="shared" si="95"/>
        <v>#DIV/0!</v>
      </c>
      <c r="AY58" s="19">
        <f t="shared" si="96"/>
        <v>0</v>
      </c>
      <c r="AZ58" s="19" t="e">
        <f t="shared" si="97"/>
        <v>#DIV/0!</v>
      </c>
      <c r="BA58" s="19">
        <f t="shared" si="98"/>
        <v>0</v>
      </c>
      <c r="BB58" s="19" t="e">
        <f t="shared" si="99"/>
        <v>#DIV/0!</v>
      </c>
      <c r="BC58" s="19">
        <f t="shared" si="100"/>
        <v>0</v>
      </c>
      <c r="BD58" s="19" t="e">
        <f t="shared" si="101"/>
        <v>#DIV/0!</v>
      </c>
    </row>
    <row r="59" spans="1:56">
      <c r="A59" s="17">
        <v>13</v>
      </c>
      <c r="B59" s="18" t="s">
        <v>43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P59" s="17">
        <v>13</v>
      </c>
      <c r="Q59" s="18" t="s">
        <v>43</v>
      </c>
      <c r="R59" s="19">
        <v>74103</v>
      </c>
      <c r="S59" s="19">
        <v>74103</v>
      </c>
      <c r="T59" s="19">
        <v>74103</v>
      </c>
      <c r="U59" s="19"/>
      <c r="V59" s="19"/>
      <c r="W59" s="19"/>
      <c r="X59" s="19"/>
      <c r="Y59" s="19"/>
      <c r="Z59" s="19"/>
      <c r="AA59" s="19"/>
      <c r="AB59" s="19"/>
      <c r="AC59" s="19"/>
      <c r="AE59" s="17">
        <v>13</v>
      </c>
      <c r="AF59" s="18" t="s">
        <v>43</v>
      </c>
      <c r="AG59" s="19">
        <f t="shared" si="78"/>
        <v>-74103</v>
      </c>
      <c r="AH59" s="19" t="e">
        <f t="shared" si="79"/>
        <v>#DIV/0!</v>
      </c>
      <c r="AI59" s="19">
        <f t="shared" si="80"/>
        <v>-74103</v>
      </c>
      <c r="AJ59" s="19" t="e">
        <f t="shared" si="81"/>
        <v>#DIV/0!</v>
      </c>
      <c r="AK59" s="19">
        <f t="shared" si="82"/>
        <v>-74103</v>
      </c>
      <c r="AL59" s="19" t="e">
        <f t="shared" si="83"/>
        <v>#DIV/0!</v>
      </c>
      <c r="AM59" s="19">
        <f t="shared" si="84"/>
        <v>0</v>
      </c>
      <c r="AN59" s="19" t="e">
        <f t="shared" si="85"/>
        <v>#DIV/0!</v>
      </c>
      <c r="AO59" s="19">
        <f t="shared" si="86"/>
        <v>0</v>
      </c>
      <c r="AP59" s="19" t="e">
        <f t="shared" si="87"/>
        <v>#DIV/0!</v>
      </c>
      <c r="AQ59" s="19">
        <f t="shared" si="88"/>
        <v>0</v>
      </c>
      <c r="AR59" s="19" t="e">
        <f t="shared" si="89"/>
        <v>#DIV/0!</v>
      </c>
      <c r="AS59" s="19">
        <f t="shared" si="90"/>
        <v>0</v>
      </c>
      <c r="AT59" s="19" t="e">
        <f t="shared" si="91"/>
        <v>#DIV/0!</v>
      </c>
      <c r="AU59" s="19">
        <f t="shared" si="92"/>
        <v>0</v>
      </c>
      <c r="AV59" s="19" t="e">
        <f t="shared" si="93"/>
        <v>#DIV/0!</v>
      </c>
      <c r="AW59" s="19">
        <f t="shared" si="94"/>
        <v>0</v>
      </c>
      <c r="AX59" s="19" t="e">
        <f t="shared" si="95"/>
        <v>#DIV/0!</v>
      </c>
      <c r="AY59" s="19">
        <f t="shared" si="96"/>
        <v>0</v>
      </c>
      <c r="AZ59" s="19" t="e">
        <f t="shared" si="97"/>
        <v>#DIV/0!</v>
      </c>
      <c r="BA59" s="19">
        <f t="shared" si="98"/>
        <v>0</v>
      </c>
      <c r="BB59" s="19" t="e">
        <f t="shared" si="99"/>
        <v>#DIV/0!</v>
      </c>
      <c r="BC59" s="19">
        <f t="shared" si="100"/>
        <v>0</v>
      </c>
      <c r="BD59" s="19" t="e">
        <f t="shared" si="101"/>
        <v>#DIV/0!</v>
      </c>
    </row>
    <row r="60" spans="1:56">
      <c r="A60" s="17">
        <v>14</v>
      </c>
      <c r="B60" s="18" t="s">
        <v>44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P60" s="17">
        <v>14</v>
      </c>
      <c r="Q60" s="18" t="s">
        <v>44</v>
      </c>
      <c r="R60" s="19">
        <v>240129.84</v>
      </c>
      <c r="S60" s="19">
        <v>240129.84</v>
      </c>
      <c r="T60" s="19">
        <v>240129.84</v>
      </c>
      <c r="U60" s="19"/>
      <c r="V60" s="19"/>
      <c r="W60" s="19"/>
      <c r="X60" s="19"/>
      <c r="Y60" s="19"/>
      <c r="Z60" s="19"/>
      <c r="AA60" s="19"/>
      <c r="AB60" s="19"/>
      <c r="AC60" s="19"/>
      <c r="AE60" s="17">
        <v>14</v>
      </c>
      <c r="AF60" s="18" t="s">
        <v>44</v>
      </c>
      <c r="AG60" s="19">
        <f t="shared" si="78"/>
        <v>-240129.84</v>
      </c>
      <c r="AH60" s="19" t="e">
        <f t="shared" si="79"/>
        <v>#DIV/0!</v>
      </c>
      <c r="AI60" s="19">
        <f t="shared" si="80"/>
        <v>-240129.84</v>
      </c>
      <c r="AJ60" s="19" t="e">
        <f t="shared" si="81"/>
        <v>#DIV/0!</v>
      </c>
      <c r="AK60" s="19">
        <f t="shared" si="82"/>
        <v>-240129.84</v>
      </c>
      <c r="AL60" s="19" t="e">
        <f t="shared" si="83"/>
        <v>#DIV/0!</v>
      </c>
      <c r="AM60" s="19">
        <f t="shared" si="84"/>
        <v>0</v>
      </c>
      <c r="AN60" s="19" t="e">
        <f t="shared" si="85"/>
        <v>#DIV/0!</v>
      </c>
      <c r="AO60" s="19">
        <f t="shared" si="86"/>
        <v>0</v>
      </c>
      <c r="AP60" s="19" t="e">
        <f t="shared" si="87"/>
        <v>#DIV/0!</v>
      </c>
      <c r="AQ60" s="19">
        <f t="shared" si="88"/>
        <v>0</v>
      </c>
      <c r="AR60" s="19" t="e">
        <f t="shared" si="89"/>
        <v>#DIV/0!</v>
      </c>
      <c r="AS60" s="19">
        <f t="shared" si="90"/>
        <v>0</v>
      </c>
      <c r="AT60" s="19" t="e">
        <f t="shared" si="91"/>
        <v>#DIV/0!</v>
      </c>
      <c r="AU60" s="19">
        <f t="shared" si="92"/>
        <v>0</v>
      </c>
      <c r="AV60" s="19" t="e">
        <f t="shared" si="93"/>
        <v>#DIV/0!</v>
      </c>
      <c r="AW60" s="19">
        <f t="shared" si="94"/>
        <v>0</v>
      </c>
      <c r="AX60" s="19" t="e">
        <f t="shared" si="95"/>
        <v>#DIV/0!</v>
      </c>
      <c r="AY60" s="19">
        <f t="shared" si="96"/>
        <v>0</v>
      </c>
      <c r="AZ60" s="19" t="e">
        <f t="shared" si="97"/>
        <v>#DIV/0!</v>
      </c>
      <c r="BA60" s="19">
        <f t="shared" si="98"/>
        <v>0</v>
      </c>
      <c r="BB60" s="19" t="e">
        <f t="shared" si="99"/>
        <v>#DIV/0!</v>
      </c>
      <c r="BC60" s="19">
        <f t="shared" si="100"/>
        <v>0</v>
      </c>
      <c r="BD60" s="19" t="e">
        <f t="shared" si="101"/>
        <v>#DIV/0!</v>
      </c>
    </row>
    <row r="61" spans="1:56" ht="25.2" thickBot="1">
      <c r="A61" s="17"/>
      <c r="B61" s="20" t="s">
        <v>17</v>
      </c>
      <c r="C61" s="27">
        <f>SUM(C47:C60)</f>
        <v>10236866.26</v>
      </c>
      <c r="D61" s="27">
        <f t="shared" ref="D61:N61" si="102">SUM(D47:D60)</f>
        <v>10411831.739999998</v>
      </c>
      <c r="E61" s="27">
        <f t="shared" si="102"/>
        <v>10592629.390000001</v>
      </c>
      <c r="F61" s="27">
        <f t="shared" si="102"/>
        <v>0</v>
      </c>
      <c r="G61" s="27">
        <f t="shared" si="102"/>
        <v>0</v>
      </c>
      <c r="H61" s="27">
        <f t="shared" si="102"/>
        <v>0</v>
      </c>
      <c r="I61" s="27">
        <f t="shared" si="102"/>
        <v>0</v>
      </c>
      <c r="J61" s="27">
        <f t="shared" si="102"/>
        <v>0</v>
      </c>
      <c r="K61" s="27">
        <f t="shared" si="102"/>
        <v>0</v>
      </c>
      <c r="L61" s="27">
        <f t="shared" si="102"/>
        <v>0</v>
      </c>
      <c r="M61" s="27">
        <f t="shared" si="102"/>
        <v>0</v>
      </c>
      <c r="N61" s="27">
        <f t="shared" si="102"/>
        <v>0</v>
      </c>
      <c r="P61" s="17"/>
      <c r="Q61" s="20" t="s">
        <v>17</v>
      </c>
      <c r="R61" s="27">
        <f>SUM(R47:R60)</f>
        <v>20792761.409999996</v>
      </c>
      <c r="S61" s="27">
        <f t="shared" ref="S61:AC61" si="103">SUM(S47:S60)</f>
        <v>20976796.319999997</v>
      </c>
      <c r="T61" s="27">
        <f t="shared" si="103"/>
        <v>21160831.229999997</v>
      </c>
      <c r="U61" s="27">
        <f t="shared" si="103"/>
        <v>0</v>
      </c>
      <c r="V61" s="27">
        <f t="shared" si="103"/>
        <v>0</v>
      </c>
      <c r="W61" s="27">
        <f t="shared" si="103"/>
        <v>0</v>
      </c>
      <c r="X61" s="27">
        <f t="shared" si="103"/>
        <v>0</v>
      </c>
      <c r="Y61" s="27">
        <f t="shared" si="103"/>
        <v>0</v>
      </c>
      <c r="Z61" s="27">
        <f t="shared" si="103"/>
        <v>0</v>
      </c>
      <c r="AA61" s="27">
        <f t="shared" si="103"/>
        <v>0</v>
      </c>
      <c r="AB61" s="27">
        <f t="shared" si="103"/>
        <v>0</v>
      </c>
      <c r="AC61" s="27">
        <f t="shared" si="103"/>
        <v>0</v>
      </c>
      <c r="AE61" s="17"/>
      <c r="AF61" s="20" t="s">
        <v>17</v>
      </c>
      <c r="AG61" s="23">
        <f t="shared" si="78"/>
        <v>-10555895.149999997</v>
      </c>
      <c r="AH61" s="23">
        <f t="shared" si="79"/>
        <v>-103.116470235101</v>
      </c>
      <c r="AI61" s="23">
        <f t="shared" si="80"/>
        <v>-10564964.579999998</v>
      </c>
      <c r="AJ61" s="23">
        <f t="shared" si="81"/>
        <v>-101.47075792064231</v>
      </c>
      <c r="AK61" s="23">
        <f t="shared" si="82"/>
        <v>-10568201.839999996</v>
      </c>
      <c r="AL61" s="23">
        <f t="shared" si="83"/>
        <v>-99.769391063345751</v>
      </c>
      <c r="AM61" s="23">
        <f t="shared" si="84"/>
        <v>0</v>
      </c>
      <c r="AN61" s="23" t="e">
        <f t="shared" si="85"/>
        <v>#DIV/0!</v>
      </c>
      <c r="AO61" s="23">
        <f t="shared" si="86"/>
        <v>0</v>
      </c>
      <c r="AP61" s="23" t="e">
        <f t="shared" si="87"/>
        <v>#DIV/0!</v>
      </c>
      <c r="AQ61" s="23">
        <f t="shared" si="88"/>
        <v>0</v>
      </c>
      <c r="AR61" s="23" t="e">
        <f t="shared" si="89"/>
        <v>#DIV/0!</v>
      </c>
      <c r="AS61" s="23">
        <f t="shared" si="90"/>
        <v>0</v>
      </c>
      <c r="AT61" s="23" t="e">
        <f t="shared" si="91"/>
        <v>#DIV/0!</v>
      </c>
      <c r="AU61" s="23">
        <f t="shared" si="92"/>
        <v>0</v>
      </c>
      <c r="AV61" s="23" t="e">
        <f t="shared" si="93"/>
        <v>#DIV/0!</v>
      </c>
      <c r="AW61" s="23">
        <f t="shared" si="94"/>
        <v>0</v>
      </c>
      <c r="AX61" s="23" t="e">
        <f t="shared" si="95"/>
        <v>#DIV/0!</v>
      </c>
      <c r="AY61" s="23">
        <f t="shared" si="96"/>
        <v>0</v>
      </c>
      <c r="AZ61" s="23" t="e">
        <f t="shared" si="97"/>
        <v>#DIV/0!</v>
      </c>
      <c r="BA61" s="23">
        <f t="shared" si="98"/>
        <v>0</v>
      </c>
      <c r="BB61" s="23" t="e">
        <f t="shared" si="99"/>
        <v>#DIV/0!</v>
      </c>
      <c r="BC61" s="23">
        <f t="shared" si="100"/>
        <v>0</v>
      </c>
      <c r="BD61" s="23" t="e">
        <f t="shared" si="101"/>
        <v>#DIV/0!</v>
      </c>
    </row>
    <row r="62" spans="1:56" ht="25.2" thickTop="1"/>
    <row r="63" spans="1:56">
      <c r="A63" s="32" t="s">
        <v>1942</v>
      </c>
      <c r="B63" s="32"/>
      <c r="C63" s="32"/>
      <c r="D63" s="32"/>
      <c r="E63" s="32"/>
      <c r="F63" s="32"/>
      <c r="G63" s="32"/>
      <c r="H63" s="32"/>
      <c r="I63" s="32"/>
    </row>
    <row r="64" spans="1:56" customFormat="1" ht="21">
      <c r="A64" s="28" t="s">
        <v>659</v>
      </c>
      <c r="B64" s="28" t="s">
        <v>660</v>
      </c>
      <c r="C64" s="28" t="s">
        <v>661</v>
      </c>
      <c r="D64" s="28" t="s">
        <v>662</v>
      </c>
      <c r="E64" s="28" t="s">
        <v>663</v>
      </c>
      <c r="F64" s="28" t="s">
        <v>664</v>
      </c>
      <c r="G64" s="28" t="s">
        <v>665</v>
      </c>
    </row>
    <row r="65" spans="1:9" customFormat="1" ht="21">
      <c r="A65" s="28" t="s">
        <v>319</v>
      </c>
      <c r="B65" s="28" t="s">
        <v>91</v>
      </c>
      <c r="C65" s="28" t="s">
        <v>198</v>
      </c>
      <c r="D65" s="28" t="s">
        <v>320</v>
      </c>
      <c r="E65" s="29">
        <v>448268</v>
      </c>
      <c r="F65" s="29">
        <v>-448267</v>
      </c>
      <c r="G65" s="29">
        <v>1</v>
      </c>
      <c r="H65" t="s">
        <v>1420</v>
      </c>
      <c r="I65" t="s">
        <v>11</v>
      </c>
    </row>
    <row r="66" spans="1:9" customFormat="1" ht="21">
      <c r="A66" s="28" t="s">
        <v>321</v>
      </c>
      <c r="B66" s="28" t="s">
        <v>91</v>
      </c>
      <c r="C66" s="28" t="s">
        <v>198</v>
      </c>
      <c r="D66" s="28" t="s">
        <v>320</v>
      </c>
      <c r="E66" s="29">
        <v>472511</v>
      </c>
      <c r="F66" s="29">
        <v>-472510</v>
      </c>
      <c r="G66" s="29">
        <v>1</v>
      </c>
      <c r="H66" t="s">
        <v>1420</v>
      </c>
      <c r="I66" t="s">
        <v>11</v>
      </c>
    </row>
    <row r="67" spans="1:9" customFormat="1" ht="21">
      <c r="A67" s="28" t="s">
        <v>322</v>
      </c>
      <c r="B67" s="28" t="s">
        <v>91</v>
      </c>
      <c r="C67" s="28" t="s">
        <v>198</v>
      </c>
      <c r="D67" s="28" t="s">
        <v>323</v>
      </c>
      <c r="E67" s="29">
        <v>733916</v>
      </c>
      <c r="F67" s="29">
        <v>-733915</v>
      </c>
      <c r="G67" s="29">
        <v>1</v>
      </c>
      <c r="H67" t="s">
        <v>1420</v>
      </c>
      <c r="I67" t="s">
        <v>11</v>
      </c>
    </row>
    <row r="68" spans="1:9" customFormat="1" ht="21">
      <c r="A68" s="28" t="s">
        <v>324</v>
      </c>
      <c r="B68" s="28" t="s">
        <v>91</v>
      </c>
      <c r="C68" s="28" t="s">
        <v>198</v>
      </c>
      <c r="D68" s="28" t="s">
        <v>325</v>
      </c>
      <c r="E68" s="29">
        <v>1126832</v>
      </c>
      <c r="F68" s="29">
        <v>-1126831</v>
      </c>
      <c r="G68" s="29">
        <v>1</v>
      </c>
      <c r="H68" t="s">
        <v>1420</v>
      </c>
      <c r="I68" t="s">
        <v>11</v>
      </c>
    </row>
    <row r="69" spans="1:9" customFormat="1" ht="21">
      <c r="A69" s="28" t="s">
        <v>550</v>
      </c>
      <c r="B69" s="28" t="s">
        <v>91</v>
      </c>
      <c r="C69" s="28" t="s">
        <v>198</v>
      </c>
      <c r="D69" s="28" t="s">
        <v>551</v>
      </c>
      <c r="E69" s="29">
        <v>7777092</v>
      </c>
      <c r="F69" s="29">
        <v>-7777091</v>
      </c>
      <c r="G69" s="29">
        <v>1</v>
      </c>
      <c r="H69" t="s">
        <v>1420</v>
      </c>
      <c r="I69" t="s">
        <v>9</v>
      </c>
    </row>
    <row r="70" spans="1:9" customFormat="1" ht="21">
      <c r="A70" s="28" t="s">
        <v>552</v>
      </c>
      <c r="B70" s="28" t="s">
        <v>91</v>
      </c>
      <c r="C70" s="28" t="s">
        <v>198</v>
      </c>
      <c r="D70" s="28" t="s">
        <v>553</v>
      </c>
      <c r="E70" s="29">
        <v>97860</v>
      </c>
      <c r="F70" s="29">
        <v>-97859</v>
      </c>
      <c r="G70" s="29">
        <v>1</v>
      </c>
      <c r="H70" t="s">
        <v>1420</v>
      </c>
      <c r="I70" t="s">
        <v>9</v>
      </c>
    </row>
    <row r="71" spans="1:9" customFormat="1" ht="21">
      <c r="A71" s="28" t="s">
        <v>552</v>
      </c>
      <c r="B71" s="28" t="s">
        <v>108</v>
      </c>
      <c r="C71" s="28" t="s">
        <v>198</v>
      </c>
      <c r="D71" s="28" t="s">
        <v>553</v>
      </c>
      <c r="E71" s="29">
        <v>3164140</v>
      </c>
      <c r="F71" s="29">
        <v>-3164139</v>
      </c>
      <c r="G71" s="29">
        <v>1</v>
      </c>
      <c r="H71" t="s">
        <v>1420</v>
      </c>
      <c r="I71" t="s">
        <v>9</v>
      </c>
    </row>
    <row r="72" spans="1:9" customFormat="1" ht="21">
      <c r="A72" s="28" t="s">
        <v>554</v>
      </c>
      <c r="B72" s="28" t="s">
        <v>91</v>
      </c>
      <c r="C72" s="28" t="s">
        <v>92</v>
      </c>
      <c r="D72" s="28" t="s">
        <v>551</v>
      </c>
      <c r="E72" s="29">
        <v>53641532</v>
      </c>
      <c r="F72" s="29">
        <v>-3264045.08</v>
      </c>
      <c r="G72" s="29">
        <v>50377486.920000002</v>
      </c>
      <c r="H72" t="s">
        <v>1420</v>
      </c>
      <c r="I72" t="s">
        <v>9</v>
      </c>
    </row>
    <row r="73" spans="1:9" customFormat="1" ht="21">
      <c r="A73" s="28" t="s">
        <v>554</v>
      </c>
      <c r="B73" s="28" t="s">
        <v>108</v>
      </c>
      <c r="C73" s="28" t="s">
        <v>92</v>
      </c>
      <c r="D73" s="28" t="s">
        <v>551</v>
      </c>
      <c r="E73" s="29">
        <v>909178.51</v>
      </c>
      <c r="F73" s="29">
        <v>-909177.51</v>
      </c>
      <c r="G73" s="29">
        <v>1</v>
      </c>
      <c r="H73" t="s">
        <v>1420</v>
      </c>
      <c r="I73" t="s">
        <v>9</v>
      </c>
    </row>
    <row r="74" spans="1:9" customFormat="1" ht="21">
      <c r="A74" s="28" t="s">
        <v>554</v>
      </c>
      <c r="B74" s="28" t="s">
        <v>480</v>
      </c>
      <c r="C74" s="28" t="s">
        <v>92</v>
      </c>
      <c r="D74" s="28" t="s">
        <v>555</v>
      </c>
      <c r="E74" s="29">
        <v>322818</v>
      </c>
      <c r="F74" s="29">
        <v>-19643.22</v>
      </c>
      <c r="G74" s="29">
        <v>303174.78000000003</v>
      </c>
      <c r="H74" t="s">
        <v>1420</v>
      </c>
      <c r="I74" t="s">
        <v>9</v>
      </c>
    </row>
    <row r="75" spans="1:9" customFormat="1" ht="21">
      <c r="A75" s="28" t="s">
        <v>554</v>
      </c>
      <c r="B75" s="28" t="s">
        <v>482</v>
      </c>
      <c r="C75" s="28" t="s">
        <v>92</v>
      </c>
      <c r="D75" s="28" t="s">
        <v>551</v>
      </c>
      <c r="E75" s="29">
        <v>5471.49</v>
      </c>
      <c r="F75" s="29">
        <v>-5470.49</v>
      </c>
      <c r="G75" s="29">
        <v>1</v>
      </c>
      <c r="H75" t="s">
        <v>1420</v>
      </c>
      <c r="I75" t="s">
        <v>9</v>
      </c>
    </row>
    <row r="76" spans="1:9" customFormat="1" ht="21">
      <c r="A76" s="28" t="s">
        <v>1421</v>
      </c>
      <c r="B76" s="28" t="s">
        <v>91</v>
      </c>
      <c r="C76" s="28" t="s">
        <v>198</v>
      </c>
      <c r="D76" s="28" t="s">
        <v>1422</v>
      </c>
      <c r="E76" s="29">
        <v>682990</v>
      </c>
      <c r="F76" s="29">
        <v>-682989</v>
      </c>
      <c r="G76" s="29">
        <v>1</v>
      </c>
      <c r="H76" t="s">
        <v>1420</v>
      </c>
      <c r="I76" t="s">
        <v>13</v>
      </c>
    </row>
    <row r="77" spans="1:9" customFormat="1" ht="21">
      <c r="A77" s="28" t="s">
        <v>1423</v>
      </c>
      <c r="B77" s="28" t="s">
        <v>91</v>
      </c>
      <c r="C77" s="28" t="s">
        <v>198</v>
      </c>
      <c r="D77" s="28" t="s">
        <v>1424</v>
      </c>
      <c r="E77" s="29">
        <v>210902</v>
      </c>
      <c r="F77" s="29">
        <v>-210901</v>
      </c>
      <c r="G77" s="29">
        <v>1</v>
      </c>
      <c r="H77" t="s">
        <v>1420</v>
      </c>
      <c r="I77" t="s">
        <v>13</v>
      </c>
    </row>
    <row r="78" spans="1:9" customFormat="1" ht="21">
      <c r="A78" s="28" t="s">
        <v>1425</v>
      </c>
      <c r="B78" s="28" t="s">
        <v>91</v>
      </c>
      <c r="C78" s="28" t="s">
        <v>198</v>
      </c>
      <c r="D78" s="28" t="s">
        <v>1426</v>
      </c>
      <c r="E78" s="29">
        <v>1393764.17</v>
      </c>
      <c r="F78" s="29">
        <v>-99776.91</v>
      </c>
      <c r="G78" s="29">
        <v>1293987.26</v>
      </c>
      <c r="H78" t="s">
        <v>1420</v>
      </c>
      <c r="I78" t="s">
        <v>15</v>
      </c>
    </row>
    <row r="79" spans="1:9" customFormat="1" ht="21">
      <c r="A79" s="28" t="s">
        <v>1425</v>
      </c>
      <c r="B79" s="28" t="s">
        <v>108</v>
      </c>
      <c r="C79" s="28" t="s">
        <v>198</v>
      </c>
      <c r="D79" s="28" t="s">
        <v>1426</v>
      </c>
      <c r="E79" s="29">
        <v>336425.83</v>
      </c>
      <c r="F79" s="29">
        <v>-336424.83</v>
      </c>
      <c r="G79" s="29">
        <v>1</v>
      </c>
      <c r="H79" t="s">
        <v>1420</v>
      </c>
      <c r="I79" t="s">
        <v>15</v>
      </c>
    </row>
    <row r="80" spans="1:9" customFormat="1" ht="21">
      <c r="A80" s="28" t="s">
        <v>1427</v>
      </c>
      <c r="B80" s="28" t="s">
        <v>91</v>
      </c>
      <c r="C80" s="28" t="s">
        <v>198</v>
      </c>
      <c r="D80" s="28" t="s">
        <v>1428</v>
      </c>
      <c r="E80" s="29">
        <v>367495</v>
      </c>
      <c r="F80" s="29">
        <v>-367494</v>
      </c>
      <c r="G80" s="29">
        <v>1</v>
      </c>
      <c r="H80" t="s">
        <v>1420</v>
      </c>
      <c r="I80" t="s">
        <v>15</v>
      </c>
    </row>
    <row r="81" spans="1:9" customFormat="1" ht="21">
      <c r="A81" s="28" t="s">
        <v>1429</v>
      </c>
      <c r="B81" s="28" t="s">
        <v>91</v>
      </c>
      <c r="C81" s="28" t="s">
        <v>1430</v>
      </c>
      <c r="D81" s="28" t="s">
        <v>1431</v>
      </c>
      <c r="E81" s="29">
        <v>5910000</v>
      </c>
      <c r="F81" s="29">
        <v>-531090.41</v>
      </c>
      <c r="G81" s="29">
        <v>5378909.5899999999</v>
      </c>
      <c r="H81" t="s">
        <v>1420</v>
      </c>
      <c r="I81" t="s">
        <v>15</v>
      </c>
    </row>
    <row r="82" spans="1:9" customFormat="1" ht="21">
      <c r="A82" s="28" t="s">
        <v>1432</v>
      </c>
      <c r="B82" s="28" t="s">
        <v>91</v>
      </c>
      <c r="C82" s="28" t="s">
        <v>605</v>
      </c>
      <c r="D82" s="28" t="s">
        <v>1433</v>
      </c>
      <c r="E82" s="29">
        <v>2499800</v>
      </c>
      <c r="F82" s="29">
        <v>-2281190.4700000002</v>
      </c>
      <c r="G82" s="29">
        <v>218609.53</v>
      </c>
      <c r="H82" t="s">
        <v>1420</v>
      </c>
      <c r="I82" t="s">
        <v>675</v>
      </c>
    </row>
    <row r="83" spans="1:9" customFormat="1" ht="21">
      <c r="A83" s="28" t="s">
        <v>1434</v>
      </c>
      <c r="B83" s="28" t="s">
        <v>91</v>
      </c>
      <c r="C83" s="28" t="s">
        <v>1263</v>
      </c>
      <c r="D83" s="28" t="s">
        <v>1264</v>
      </c>
      <c r="E83" s="29">
        <v>1799800</v>
      </c>
      <c r="F83" s="29">
        <v>-1799799</v>
      </c>
      <c r="G83" s="29">
        <v>1</v>
      </c>
      <c r="H83" t="s">
        <v>1420</v>
      </c>
      <c r="I83" t="s">
        <v>675</v>
      </c>
    </row>
    <row r="84" spans="1:9" customFormat="1" ht="21">
      <c r="A84" s="28" t="s">
        <v>1435</v>
      </c>
      <c r="B84" s="28" t="s">
        <v>91</v>
      </c>
      <c r="C84" s="28" t="s">
        <v>605</v>
      </c>
      <c r="D84" s="28" t="s">
        <v>1436</v>
      </c>
      <c r="E84" s="29">
        <v>1493000</v>
      </c>
      <c r="F84" s="29">
        <v>-1492999</v>
      </c>
      <c r="G84" s="29">
        <v>1</v>
      </c>
      <c r="H84" t="s">
        <v>1420</v>
      </c>
      <c r="I84" t="s">
        <v>768</v>
      </c>
    </row>
    <row r="85" spans="1:9" customFormat="1" ht="21">
      <c r="A85" s="28" t="s">
        <v>1437</v>
      </c>
      <c r="B85" s="28" t="s">
        <v>91</v>
      </c>
      <c r="C85" s="28" t="s">
        <v>679</v>
      </c>
      <c r="D85" s="28" t="s">
        <v>680</v>
      </c>
      <c r="E85" s="29">
        <v>449663</v>
      </c>
      <c r="F85" s="29">
        <v>-103237.7</v>
      </c>
      <c r="G85" s="29">
        <v>346425.3</v>
      </c>
      <c r="H85" t="s">
        <v>1420</v>
      </c>
      <c r="I85" t="s">
        <v>681</v>
      </c>
    </row>
    <row r="86" spans="1:9" customFormat="1" ht="21">
      <c r="A86" s="28" t="s">
        <v>1438</v>
      </c>
      <c r="B86" s="28" t="s">
        <v>91</v>
      </c>
      <c r="C86" s="28" t="s">
        <v>679</v>
      </c>
      <c r="D86" s="28" t="s">
        <v>683</v>
      </c>
      <c r="E86" s="29">
        <v>49870</v>
      </c>
      <c r="F86" s="29">
        <v>-11449.61</v>
      </c>
      <c r="G86" s="29">
        <v>38420.39</v>
      </c>
      <c r="H86" t="s">
        <v>1420</v>
      </c>
      <c r="I86" t="s">
        <v>681</v>
      </c>
    </row>
    <row r="87" spans="1:9" customFormat="1" ht="21">
      <c r="A87" s="28" t="s">
        <v>1439</v>
      </c>
      <c r="B87" s="28" t="s">
        <v>91</v>
      </c>
      <c r="C87" s="28" t="s">
        <v>679</v>
      </c>
      <c r="D87" s="28" t="s">
        <v>683</v>
      </c>
      <c r="E87" s="29">
        <v>49870</v>
      </c>
      <c r="F87" s="29">
        <v>-11449.61</v>
      </c>
      <c r="G87" s="29">
        <v>38420.39</v>
      </c>
      <c r="H87" t="s">
        <v>1420</v>
      </c>
      <c r="I87" t="s">
        <v>681</v>
      </c>
    </row>
    <row r="88" spans="1:9" customFormat="1" ht="21">
      <c r="A88" s="28" t="s">
        <v>1440</v>
      </c>
      <c r="B88" s="28" t="s">
        <v>91</v>
      </c>
      <c r="C88" s="28" t="s">
        <v>686</v>
      </c>
      <c r="D88" s="28" t="s">
        <v>687</v>
      </c>
      <c r="E88" s="29">
        <v>349650</v>
      </c>
      <c r="F88" s="29">
        <v>-91004.800000000003</v>
      </c>
      <c r="G88" s="29">
        <v>258645.2</v>
      </c>
      <c r="H88" t="s">
        <v>1420</v>
      </c>
      <c r="I88" t="s">
        <v>681</v>
      </c>
    </row>
    <row r="89" spans="1:9" customFormat="1" ht="21">
      <c r="A89" s="28" t="s">
        <v>1441</v>
      </c>
      <c r="B89" s="28" t="s">
        <v>91</v>
      </c>
      <c r="C89" s="28" t="s">
        <v>686</v>
      </c>
      <c r="D89" s="28" t="s">
        <v>687</v>
      </c>
      <c r="E89" s="29">
        <v>349650</v>
      </c>
      <c r="F89" s="29">
        <v>-91004.800000000003</v>
      </c>
      <c r="G89" s="29">
        <v>258645.2</v>
      </c>
      <c r="H89" t="s">
        <v>1420</v>
      </c>
      <c r="I89" t="s">
        <v>681</v>
      </c>
    </row>
    <row r="90" spans="1:9" customFormat="1" ht="21">
      <c r="A90" s="28" t="s">
        <v>1442</v>
      </c>
      <c r="B90" s="28" t="s">
        <v>91</v>
      </c>
      <c r="C90" s="28" t="s">
        <v>1443</v>
      </c>
      <c r="D90" s="28" t="s">
        <v>691</v>
      </c>
      <c r="E90" s="29">
        <v>445000</v>
      </c>
      <c r="F90" s="29">
        <v>-80503.44</v>
      </c>
      <c r="G90" s="29">
        <v>364496.56</v>
      </c>
      <c r="H90" t="s">
        <v>1420</v>
      </c>
      <c r="I90" t="s">
        <v>681</v>
      </c>
    </row>
    <row r="91" spans="1:9" customFormat="1" ht="21">
      <c r="A91" s="28" t="s">
        <v>1444</v>
      </c>
      <c r="B91" s="28" t="s">
        <v>91</v>
      </c>
      <c r="C91" s="28" t="s">
        <v>1443</v>
      </c>
      <c r="D91" s="28" t="s">
        <v>691</v>
      </c>
      <c r="E91" s="29">
        <v>445000</v>
      </c>
      <c r="F91" s="29">
        <v>-80503.44</v>
      </c>
      <c r="G91" s="29">
        <v>364496.56</v>
      </c>
      <c r="H91" t="s">
        <v>1420</v>
      </c>
      <c r="I91" t="s">
        <v>681</v>
      </c>
    </row>
    <row r="92" spans="1:9" customFormat="1" ht="21">
      <c r="A92" s="28" t="s">
        <v>1445</v>
      </c>
      <c r="B92" s="28" t="s">
        <v>91</v>
      </c>
      <c r="C92" s="28" t="s">
        <v>1443</v>
      </c>
      <c r="D92" s="28" t="s">
        <v>691</v>
      </c>
      <c r="E92" s="29">
        <v>445000</v>
      </c>
      <c r="F92" s="29">
        <v>-80503.44</v>
      </c>
      <c r="G92" s="29">
        <v>364496.56</v>
      </c>
      <c r="H92" t="s">
        <v>1420</v>
      </c>
      <c r="I92" t="s">
        <v>681</v>
      </c>
    </row>
    <row r="93" spans="1:9" customFormat="1" ht="21">
      <c r="A93" s="28" t="s">
        <v>1446</v>
      </c>
      <c r="B93" s="28" t="s">
        <v>91</v>
      </c>
      <c r="C93" s="28" t="s">
        <v>605</v>
      </c>
      <c r="D93" s="28" t="s">
        <v>788</v>
      </c>
      <c r="E93" s="29">
        <v>1440000</v>
      </c>
      <c r="F93" s="29">
        <v>-1439999</v>
      </c>
      <c r="G93" s="29">
        <v>1</v>
      </c>
      <c r="H93" t="s">
        <v>1420</v>
      </c>
      <c r="I93" t="s">
        <v>681</v>
      </c>
    </row>
    <row r="94" spans="1:9" customFormat="1" ht="21">
      <c r="A94" s="28" t="s">
        <v>1447</v>
      </c>
      <c r="B94" s="28" t="s">
        <v>91</v>
      </c>
      <c r="C94" s="28" t="s">
        <v>605</v>
      </c>
      <c r="D94" s="28" t="s">
        <v>1448</v>
      </c>
      <c r="E94" s="29">
        <v>294000</v>
      </c>
      <c r="F94" s="29">
        <v>-293999</v>
      </c>
      <c r="G94" s="29">
        <v>1</v>
      </c>
      <c r="H94" t="s">
        <v>1420</v>
      </c>
      <c r="I94" t="s">
        <v>681</v>
      </c>
    </row>
    <row r="95" spans="1:9" customFormat="1" ht="21">
      <c r="A95" s="28" t="s">
        <v>1449</v>
      </c>
      <c r="B95" s="28" t="s">
        <v>91</v>
      </c>
      <c r="C95" s="28" t="s">
        <v>605</v>
      </c>
      <c r="D95" s="28" t="s">
        <v>1450</v>
      </c>
      <c r="E95" s="29">
        <v>490000</v>
      </c>
      <c r="F95" s="29">
        <v>-489999</v>
      </c>
      <c r="G95" s="29">
        <v>1</v>
      </c>
      <c r="H95" t="s">
        <v>1420</v>
      </c>
      <c r="I95" t="s">
        <v>681</v>
      </c>
    </row>
    <row r="96" spans="1:9" customFormat="1" ht="21">
      <c r="A96" s="28" t="s">
        <v>1451</v>
      </c>
      <c r="B96" s="28" t="s">
        <v>91</v>
      </c>
      <c r="C96" s="28" t="s">
        <v>605</v>
      </c>
      <c r="D96" s="28" t="s">
        <v>1452</v>
      </c>
      <c r="E96" s="29">
        <v>1418500</v>
      </c>
      <c r="F96" s="29">
        <v>-1418499</v>
      </c>
      <c r="G96" s="29">
        <v>1</v>
      </c>
      <c r="H96" t="s">
        <v>1420</v>
      </c>
      <c r="I96" t="s">
        <v>681</v>
      </c>
    </row>
    <row r="97" spans="1:9" customFormat="1" ht="21">
      <c r="A97" s="28" t="s">
        <v>1453</v>
      </c>
      <c r="B97" s="28" t="s">
        <v>91</v>
      </c>
      <c r="C97" s="28" t="s">
        <v>605</v>
      </c>
      <c r="D97" s="28" t="s">
        <v>697</v>
      </c>
      <c r="E97" s="29">
        <v>82692</v>
      </c>
      <c r="F97" s="29">
        <v>-80402.97</v>
      </c>
      <c r="G97" s="29">
        <v>2289.0300000000002</v>
      </c>
      <c r="H97" t="s">
        <v>1420</v>
      </c>
      <c r="I97" t="s">
        <v>681</v>
      </c>
    </row>
    <row r="98" spans="1:9" customFormat="1" ht="21">
      <c r="A98" s="28" t="s">
        <v>1454</v>
      </c>
      <c r="B98" s="28" t="s">
        <v>91</v>
      </c>
      <c r="C98" s="28" t="s">
        <v>605</v>
      </c>
      <c r="D98" s="28" t="s">
        <v>816</v>
      </c>
      <c r="E98" s="29">
        <v>448500</v>
      </c>
      <c r="F98" s="29">
        <v>-435944.11</v>
      </c>
      <c r="G98" s="29">
        <v>12555.89</v>
      </c>
      <c r="H98" t="s">
        <v>1420</v>
      </c>
      <c r="I98" t="s">
        <v>681</v>
      </c>
    </row>
    <row r="99" spans="1:9" customFormat="1" ht="21">
      <c r="A99" s="28" t="s">
        <v>1455</v>
      </c>
      <c r="B99" s="28" t="s">
        <v>91</v>
      </c>
      <c r="C99" s="28" t="s">
        <v>605</v>
      </c>
      <c r="D99" s="28" t="s">
        <v>987</v>
      </c>
      <c r="E99" s="29">
        <v>450000</v>
      </c>
      <c r="F99" s="29">
        <v>-437366.81</v>
      </c>
      <c r="G99" s="29">
        <v>12633.19</v>
      </c>
      <c r="H99" t="s">
        <v>1420</v>
      </c>
      <c r="I99" t="s">
        <v>681</v>
      </c>
    </row>
    <row r="100" spans="1:9" customFormat="1" ht="21">
      <c r="A100" s="28" t="s">
        <v>1456</v>
      </c>
      <c r="B100" s="28" t="s">
        <v>91</v>
      </c>
      <c r="C100" s="28" t="s">
        <v>605</v>
      </c>
      <c r="D100" s="28" t="s">
        <v>855</v>
      </c>
      <c r="E100" s="29">
        <v>989700</v>
      </c>
      <c r="F100" s="29">
        <v>-783551.64</v>
      </c>
      <c r="G100" s="29">
        <v>206148.36</v>
      </c>
      <c r="H100" t="s">
        <v>1420</v>
      </c>
      <c r="I100" t="s">
        <v>681</v>
      </c>
    </row>
    <row r="101" spans="1:9" customFormat="1" ht="21">
      <c r="A101" s="28" t="s">
        <v>1457</v>
      </c>
      <c r="B101" s="28" t="s">
        <v>91</v>
      </c>
      <c r="C101" s="28" t="s">
        <v>605</v>
      </c>
      <c r="D101" s="28" t="s">
        <v>855</v>
      </c>
      <c r="E101" s="29">
        <v>989700</v>
      </c>
      <c r="F101" s="29">
        <v>-783551.64</v>
      </c>
      <c r="G101" s="29">
        <v>206148.36</v>
      </c>
      <c r="H101" t="s">
        <v>1420</v>
      </c>
      <c r="I101" t="s">
        <v>681</v>
      </c>
    </row>
    <row r="102" spans="1:9" customFormat="1" ht="21">
      <c r="A102" s="28" t="s">
        <v>1458</v>
      </c>
      <c r="B102" s="28" t="s">
        <v>91</v>
      </c>
      <c r="C102" s="28" t="s">
        <v>605</v>
      </c>
      <c r="D102" s="28" t="s">
        <v>687</v>
      </c>
      <c r="E102" s="29">
        <v>450000</v>
      </c>
      <c r="F102" s="29">
        <v>-182057.8</v>
      </c>
      <c r="G102" s="29">
        <v>267942.2</v>
      </c>
      <c r="H102" t="s">
        <v>1420</v>
      </c>
      <c r="I102" t="s">
        <v>681</v>
      </c>
    </row>
    <row r="103" spans="1:9" customFormat="1" ht="21">
      <c r="A103" s="28" t="s">
        <v>1459</v>
      </c>
      <c r="B103" s="28" t="s">
        <v>91</v>
      </c>
      <c r="C103" s="28" t="s">
        <v>605</v>
      </c>
      <c r="D103" s="28" t="s">
        <v>1364</v>
      </c>
      <c r="E103" s="29">
        <v>1200000</v>
      </c>
      <c r="F103" s="29">
        <v>-583747.42000000004</v>
      </c>
      <c r="G103" s="29">
        <v>616252.57999999996</v>
      </c>
      <c r="H103" t="s">
        <v>1420</v>
      </c>
      <c r="I103" t="s">
        <v>681</v>
      </c>
    </row>
    <row r="104" spans="1:9" customFormat="1" ht="21">
      <c r="A104" s="28" t="s">
        <v>1460</v>
      </c>
      <c r="B104" s="28" t="s">
        <v>91</v>
      </c>
      <c r="C104" s="28" t="s">
        <v>605</v>
      </c>
      <c r="D104" s="28" t="s">
        <v>843</v>
      </c>
      <c r="E104" s="29">
        <v>639500</v>
      </c>
      <c r="F104" s="29">
        <v>-217666.81</v>
      </c>
      <c r="G104" s="29">
        <v>421833.19</v>
      </c>
      <c r="H104" t="s">
        <v>1420</v>
      </c>
      <c r="I104" t="s">
        <v>681</v>
      </c>
    </row>
    <row r="105" spans="1:9" customFormat="1" ht="21">
      <c r="A105" s="28" t="s">
        <v>1461</v>
      </c>
      <c r="B105" s="28" t="s">
        <v>91</v>
      </c>
      <c r="C105" s="28" t="s">
        <v>605</v>
      </c>
      <c r="D105" s="28" t="s">
        <v>697</v>
      </c>
      <c r="E105" s="29">
        <v>147000</v>
      </c>
      <c r="F105" s="29">
        <v>-146999</v>
      </c>
      <c r="G105" s="29">
        <v>1</v>
      </c>
      <c r="H105" t="s">
        <v>1420</v>
      </c>
      <c r="I105" t="s">
        <v>681</v>
      </c>
    </row>
  </sheetData>
  <mergeCells count="105">
    <mergeCell ref="A3:A4"/>
    <mergeCell ref="B3:B4"/>
    <mergeCell ref="C3:N3"/>
    <mergeCell ref="P3:P4"/>
    <mergeCell ref="Q3:Q4"/>
    <mergeCell ref="R3:AC3"/>
    <mergeCell ref="A1:N1"/>
    <mergeCell ref="P1:AC1"/>
    <mergeCell ref="AE1:BD1"/>
    <mergeCell ref="A2:N2"/>
    <mergeCell ref="P2:AC2"/>
    <mergeCell ref="AE2:BD2"/>
    <mergeCell ref="C14:N14"/>
    <mergeCell ref="P14:P15"/>
    <mergeCell ref="Q14:Q15"/>
    <mergeCell ref="R14:AC14"/>
    <mergeCell ref="BA3:BB3"/>
    <mergeCell ref="BC3:BD3"/>
    <mergeCell ref="A12:N12"/>
    <mergeCell ref="P12:AC12"/>
    <mergeCell ref="AE12:BD12"/>
    <mergeCell ref="A13:N13"/>
    <mergeCell ref="P13:AC13"/>
    <mergeCell ref="AE13:BD13"/>
    <mergeCell ref="AO3:AP3"/>
    <mergeCell ref="AQ3:AR3"/>
    <mergeCell ref="AS3:AT3"/>
    <mergeCell ref="AU3:AV3"/>
    <mergeCell ref="AW3:AX3"/>
    <mergeCell ref="AY3:AZ3"/>
    <mergeCell ref="AE3:AE4"/>
    <mergeCell ref="AF3:AF4"/>
    <mergeCell ref="AG3:AH3"/>
    <mergeCell ref="AI3:AJ3"/>
    <mergeCell ref="AK3:AL3"/>
    <mergeCell ref="AM3:AN3"/>
    <mergeCell ref="Q25:Q26"/>
    <mergeCell ref="R25:AC25"/>
    <mergeCell ref="BA14:BB14"/>
    <mergeCell ref="BC14:BD14"/>
    <mergeCell ref="A23:N23"/>
    <mergeCell ref="P23:AC23"/>
    <mergeCell ref="AE23:BD23"/>
    <mergeCell ref="A24:N24"/>
    <mergeCell ref="P24:AC24"/>
    <mergeCell ref="AE24:BD24"/>
    <mergeCell ref="AO14:AP14"/>
    <mergeCell ref="AQ14:AR14"/>
    <mergeCell ref="AS14:AT14"/>
    <mergeCell ref="AU14:AV14"/>
    <mergeCell ref="AW14:AX14"/>
    <mergeCell ref="AY14:AZ14"/>
    <mergeCell ref="AE14:AE15"/>
    <mergeCell ref="AF14:AF15"/>
    <mergeCell ref="AG14:AH14"/>
    <mergeCell ref="AI14:AJ14"/>
    <mergeCell ref="AK14:AL14"/>
    <mergeCell ref="AM14:AN14"/>
    <mergeCell ref="A14:A15"/>
    <mergeCell ref="B14:B15"/>
    <mergeCell ref="BA25:BB25"/>
    <mergeCell ref="BC25:BD25"/>
    <mergeCell ref="A43:N43"/>
    <mergeCell ref="P43:AC43"/>
    <mergeCell ref="AE43:BD43"/>
    <mergeCell ref="A44:N44"/>
    <mergeCell ref="P44:AC44"/>
    <mergeCell ref="AE44:BD44"/>
    <mergeCell ref="AO25:AP25"/>
    <mergeCell ref="AQ25:AR25"/>
    <mergeCell ref="AS25:AT25"/>
    <mergeCell ref="AU25:AV25"/>
    <mergeCell ref="AW25:AX25"/>
    <mergeCell ref="AY25:AZ25"/>
    <mergeCell ref="AE25:AE26"/>
    <mergeCell ref="AF25:AF26"/>
    <mergeCell ref="AG25:AH25"/>
    <mergeCell ref="AI25:AJ25"/>
    <mergeCell ref="AK25:AL25"/>
    <mergeCell ref="AM25:AN25"/>
    <mergeCell ref="A25:A26"/>
    <mergeCell ref="B25:B26"/>
    <mergeCell ref="C25:N25"/>
    <mergeCell ref="P25:P26"/>
    <mergeCell ref="BA45:BB45"/>
    <mergeCell ref="BC45:BD45"/>
    <mergeCell ref="A63:I63"/>
    <mergeCell ref="AO45:AP45"/>
    <mergeCell ref="AQ45:AR45"/>
    <mergeCell ref="AS45:AT45"/>
    <mergeCell ref="AU45:AV45"/>
    <mergeCell ref="AW45:AX45"/>
    <mergeCell ref="AY45:AZ45"/>
    <mergeCell ref="AE45:AE46"/>
    <mergeCell ref="AF45:AF46"/>
    <mergeCell ref="AG45:AH45"/>
    <mergeCell ref="AI45:AJ45"/>
    <mergeCell ref="AK45:AL45"/>
    <mergeCell ref="AM45:AN45"/>
    <mergeCell ref="A45:A46"/>
    <mergeCell ref="B45:B46"/>
    <mergeCell ref="C45:N45"/>
    <mergeCell ref="P45:P46"/>
    <mergeCell ref="Q45:Q46"/>
    <mergeCell ref="R45:AC4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9C34-5F9B-45C4-AF4B-2702E8C63908}">
  <dimension ref="A1:BD111"/>
  <sheetViews>
    <sheetView topLeftCell="A55" workbookViewId="0">
      <selection activeCell="E53" sqref="E53"/>
    </sheetView>
  </sheetViews>
  <sheetFormatPr defaultColWidth="18.75" defaultRowHeight="24.6"/>
  <cols>
    <col min="1" max="1" width="6.75" style="24" bestFit="1" customWidth="1"/>
    <col min="2" max="2" width="53" style="13" bestFit="1" customWidth="1"/>
    <col min="3" max="15" width="18.75" style="13"/>
    <col min="16" max="16" width="6.75" style="24" bestFit="1" customWidth="1"/>
    <col min="17" max="17" width="53" style="13" bestFit="1" customWidth="1"/>
    <col min="18" max="30" width="18.75" style="13"/>
    <col min="31" max="31" width="6.75" style="24" bestFit="1" customWidth="1"/>
    <col min="32" max="32" width="53" style="13" bestFit="1" customWidth="1"/>
    <col min="33" max="16384" width="18.75" style="13"/>
  </cols>
  <sheetData>
    <row r="1" spans="1:56">
      <c r="A1" s="37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2"/>
      <c r="P1" s="37" t="s">
        <v>49</v>
      </c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E1" s="37" t="s">
        <v>0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</row>
    <row r="2" spans="1:56">
      <c r="A2" s="37" t="s">
        <v>1956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2"/>
      <c r="P2" s="37" t="s">
        <v>1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E2" s="37" t="s">
        <v>1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</row>
    <row r="3" spans="1:56" s="15" customFormat="1">
      <c r="A3" s="35" t="s">
        <v>2</v>
      </c>
      <c r="B3" s="35" t="s">
        <v>3</v>
      </c>
      <c r="C3" s="38" t="s">
        <v>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  <c r="O3" s="14"/>
      <c r="P3" s="35" t="s">
        <v>2</v>
      </c>
      <c r="Q3" s="35" t="s">
        <v>3</v>
      </c>
      <c r="R3" s="38" t="s">
        <v>5</v>
      </c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E3" s="35" t="s">
        <v>2</v>
      </c>
      <c r="AF3" s="35" t="s">
        <v>3</v>
      </c>
      <c r="AG3" s="33">
        <v>25112</v>
      </c>
      <c r="AH3" s="34"/>
      <c r="AI3" s="33">
        <v>25143</v>
      </c>
      <c r="AJ3" s="34"/>
      <c r="AK3" s="33">
        <v>25173</v>
      </c>
      <c r="AL3" s="34"/>
      <c r="AM3" s="33">
        <v>25204</v>
      </c>
      <c r="AN3" s="34"/>
      <c r="AO3" s="33">
        <v>25235</v>
      </c>
      <c r="AP3" s="34"/>
      <c r="AQ3" s="33">
        <v>25263</v>
      </c>
      <c r="AR3" s="34"/>
      <c r="AS3" s="33">
        <v>25294</v>
      </c>
      <c r="AT3" s="34"/>
      <c r="AU3" s="33">
        <v>25324</v>
      </c>
      <c r="AV3" s="34"/>
      <c r="AW3" s="33">
        <v>25355</v>
      </c>
      <c r="AX3" s="34"/>
      <c r="AY3" s="33">
        <v>25385</v>
      </c>
      <c r="AZ3" s="34"/>
      <c r="BA3" s="33">
        <v>25416</v>
      </c>
      <c r="BB3" s="34"/>
      <c r="BC3" s="33">
        <v>25447</v>
      </c>
      <c r="BD3" s="34"/>
    </row>
    <row r="4" spans="1:56" s="15" customFormat="1">
      <c r="A4" s="36"/>
      <c r="B4" s="36"/>
      <c r="C4" s="16">
        <v>25112</v>
      </c>
      <c r="D4" s="16">
        <v>25143</v>
      </c>
      <c r="E4" s="16">
        <v>25173</v>
      </c>
      <c r="F4" s="16">
        <v>25204</v>
      </c>
      <c r="G4" s="16">
        <v>25235</v>
      </c>
      <c r="H4" s="16">
        <v>25263</v>
      </c>
      <c r="I4" s="16">
        <v>25294</v>
      </c>
      <c r="J4" s="16">
        <v>25324</v>
      </c>
      <c r="K4" s="16">
        <v>25355</v>
      </c>
      <c r="L4" s="16">
        <v>25385</v>
      </c>
      <c r="M4" s="16">
        <v>25416</v>
      </c>
      <c r="N4" s="16">
        <v>25447</v>
      </c>
      <c r="P4" s="36"/>
      <c r="Q4" s="36"/>
      <c r="R4" s="16">
        <v>25112</v>
      </c>
      <c r="S4" s="16">
        <v>25143</v>
      </c>
      <c r="T4" s="16">
        <v>25173</v>
      </c>
      <c r="U4" s="16">
        <v>25204</v>
      </c>
      <c r="V4" s="16">
        <v>25235</v>
      </c>
      <c r="W4" s="16">
        <v>25263</v>
      </c>
      <c r="X4" s="16">
        <v>25294</v>
      </c>
      <c r="Y4" s="16">
        <v>25324</v>
      </c>
      <c r="Z4" s="16">
        <v>25355</v>
      </c>
      <c r="AA4" s="16">
        <v>25385</v>
      </c>
      <c r="AB4" s="16">
        <v>25416</v>
      </c>
      <c r="AC4" s="16">
        <v>25447</v>
      </c>
      <c r="AE4" s="36"/>
      <c r="AF4" s="36"/>
      <c r="AG4" s="16" t="s">
        <v>85</v>
      </c>
      <c r="AH4" s="16" t="s">
        <v>86</v>
      </c>
      <c r="AI4" s="16" t="s">
        <v>85</v>
      </c>
      <c r="AJ4" s="16" t="s">
        <v>86</v>
      </c>
      <c r="AK4" s="16" t="s">
        <v>85</v>
      </c>
      <c r="AL4" s="16" t="s">
        <v>86</v>
      </c>
      <c r="AM4" s="16" t="s">
        <v>85</v>
      </c>
      <c r="AN4" s="16" t="s">
        <v>86</v>
      </c>
      <c r="AO4" s="16" t="s">
        <v>85</v>
      </c>
      <c r="AP4" s="16" t="s">
        <v>86</v>
      </c>
      <c r="AQ4" s="16" t="s">
        <v>85</v>
      </c>
      <c r="AR4" s="16" t="s">
        <v>86</v>
      </c>
      <c r="AS4" s="16" t="s">
        <v>85</v>
      </c>
      <c r="AT4" s="16" t="s">
        <v>86</v>
      </c>
      <c r="AU4" s="16" t="s">
        <v>85</v>
      </c>
      <c r="AV4" s="16" t="s">
        <v>86</v>
      </c>
      <c r="AW4" s="16" t="s">
        <v>85</v>
      </c>
      <c r="AX4" s="16" t="s">
        <v>86</v>
      </c>
      <c r="AY4" s="16" t="s">
        <v>85</v>
      </c>
      <c r="AZ4" s="16" t="s">
        <v>86</v>
      </c>
      <c r="BA4" s="16" t="s">
        <v>85</v>
      </c>
      <c r="BB4" s="16" t="s">
        <v>86</v>
      </c>
      <c r="BC4" s="16" t="s">
        <v>85</v>
      </c>
      <c r="BD4" s="16" t="s">
        <v>86</v>
      </c>
    </row>
    <row r="5" spans="1:56">
      <c r="A5" s="17">
        <v>1</v>
      </c>
      <c r="B5" s="18" t="s">
        <v>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P5" s="17">
        <v>1</v>
      </c>
      <c r="Q5" s="18" t="s">
        <v>8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E5" s="17">
        <v>1</v>
      </c>
      <c r="AF5" s="18" t="s">
        <v>8</v>
      </c>
      <c r="AG5" s="19">
        <f>+C5-R5</f>
        <v>0</v>
      </c>
      <c r="AH5" s="19" t="e">
        <f>+AG5/C5*100</f>
        <v>#DIV/0!</v>
      </c>
      <c r="AI5" s="19">
        <f>+D5-S5</f>
        <v>0</v>
      </c>
      <c r="AJ5" s="19" t="e">
        <f>+AI5/D5*100</f>
        <v>#DIV/0!</v>
      </c>
      <c r="AK5" s="19">
        <f>+E5-T5</f>
        <v>0</v>
      </c>
      <c r="AL5" s="19" t="e">
        <f>+AK5/E5*100</f>
        <v>#DIV/0!</v>
      </c>
      <c r="AM5" s="19">
        <f>+F5-U5</f>
        <v>0</v>
      </c>
      <c r="AN5" s="19" t="e">
        <f>+AM5/F5*100</f>
        <v>#DIV/0!</v>
      </c>
      <c r="AO5" s="19">
        <f>+G5-V5</f>
        <v>0</v>
      </c>
      <c r="AP5" s="19" t="e">
        <f>+AO5/G5*100</f>
        <v>#DIV/0!</v>
      </c>
      <c r="AQ5" s="19">
        <f>+H5-W5</f>
        <v>0</v>
      </c>
      <c r="AR5" s="19" t="e">
        <f>+AQ5/H5*100</f>
        <v>#DIV/0!</v>
      </c>
      <c r="AS5" s="19">
        <f>+I5-X5</f>
        <v>0</v>
      </c>
      <c r="AT5" s="19" t="e">
        <f>+AS5/I5*100</f>
        <v>#DIV/0!</v>
      </c>
      <c r="AU5" s="19">
        <f>+J5-Y5</f>
        <v>0</v>
      </c>
      <c r="AV5" s="19" t="e">
        <f>+AU5/J5*100</f>
        <v>#DIV/0!</v>
      </c>
      <c r="AW5" s="19">
        <f>+K5-Z5</f>
        <v>0</v>
      </c>
      <c r="AX5" s="19" t="e">
        <f>+AW5/K5*100</f>
        <v>#DIV/0!</v>
      </c>
      <c r="AY5" s="19">
        <f>+L5-AA5</f>
        <v>0</v>
      </c>
      <c r="AZ5" s="19" t="e">
        <f>+AY5/L5*100</f>
        <v>#DIV/0!</v>
      </c>
      <c r="BA5" s="19">
        <f>+M5-AB5</f>
        <v>0</v>
      </c>
      <c r="BB5" s="19" t="e">
        <f>+BA5/M5*100</f>
        <v>#DIV/0!</v>
      </c>
      <c r="BC5" s="19">
        <f>+N5-AC5</f>
        <v>0</v>
      </c>
      <c r="BD5" s="19" t="e">
        <f>+BC5/N5*100</f>
        <v>#DIV/0!</v>
      </c>
    </row>
    <row r="6" spans="1:56">
      <c r="A6" s="17">
        <v>2</v>
      </c>
      <c r="B6" s="18" t="s">
        <v>9</v>
      </c>
      <c r="C6" s="19">
        <v>18778190</v>
      </c>
      <c r="D6" s="19">
        <v>18778190</v>
      </c>
      <c r="E6" s="19">
        <v>18778190</v>
      </c>
      <c r="F6" s="19"/>
      <c r="G6" s="19"/>
      <c r="H6" s="19"/>
      <c r="I6" s="19"/>
      <c r="J6" s="19"/>
      <c r="K6" s="19"/>
      <c r="L6" s="19"/>
      <c r="M6" s="19"/>
      <c r="N6" s="19"/>
      <c r="P6" s="17">
        <v>2</v>
      </c>
      <c r="Q6" s="18" t="s">
        <v>9</v>
      </c>
      <c r="R6" s="19">
        <v>18778190</v>
      </c>
      <c r="S6" s="19">
        <v>18778190</v>
      </c>
      <c r="T6" s="19">
        <v>18778190</v>
      </c>
      <c r="U6" s="19"/>
      <c r="V6" s="19"/>
      <c r="W6" s="19"/>
      <c r="X6" s="19"/>
      <c r="Y6" s="19"/>
      <c r="Z6" s="19"/>
      <c r="AA6" s="19"/>
      <c r="AB6" s="19"/>
      <c r="AC6" s="19"/>
      <c r="AE6" s="17">
        <v>2</v>
      </c>
      <c r="AF6" s="18" t="s">
        <v>9</v>
      </c>
      <c r="AG6" s="19">
        <f t="shared" ref="AG6:AG10" si="0">+C6-R6</f>
        <v>0</v>
      </c>
      <c r="AH6" s="19">
        <f t="shared" ref="AH6:AH10" si="1">+AG6/C6*100</f>
        <v>0</v>
      </c>
      <c r="AI6" s="19">
        <f t="shared" ref="AI6:AI10" si="2">+D6-S6</f>
        <v>0</v>
      </c>
      <c r="AJ6" s="19">
        <f t="shared" ref="AJ6:AJ10" si="3">+AI6/D6*100</f>
        <v>0</v>
      </c>
      <c r="AK6" s="19">
        <f t="shared" ref="AK6:AK10" si="4">+E6-T6</f>
        <v>0</v>
      </c>
      <c r="AL6" s="19">
        <f t="shared" ref="AL6:AL10" si="5">+AK6/E6*100</f>
        <v>0</v>
      </c>
      <c r="AM6" s="19">
        <f t="shared" ref="AM6:AM10" si="6">+F6-U6</f>
        <v>0</v>
      </c>
      <c r="AN6" s="19" t="e">
        <f t="shared" ref="AN6:AN10" si="7">+AM6/F6*100</f>
        <v>#DIV/0!</v>
      </c>
      <c r="AO6" s="19">
        <f t="shared" ref="AO6:AO10" si="8">+G6-V6</f>
        <v>0</v>
      </c>
      <c r="AP6" s="19" t="e">
        <f t="shared" ref="AP6:AP10" si="9">+AO6/G6*100</f>
        <v>#DIV/0!</v>
      </c>
      <c r="AQ6" s="19">
        <f t="shared" ref="AQ6:AQ10" si="10">+H6-W6</f>
        <v>0</v>
      </c>
      <c r="AR6" s="19" t="e">
        <f t="shared" ref="AR6:AR10" si="11">+AQ6/H6*100</f>
        <v>#DIV/0!</v>
      </c>
      <c r="AS6" s="19">
        <f t="shared" ref="AS6:AS10" si="12">+I6-X6</f>
        <v>0</v>
      </c>
      <c r="AT6" s="19" t="e">
        <f t="shared" ref="AT6:AT10" si="13">+AS6/I6*100</f>
        <v>#DIV/0!</v>
      </c>
      <c r="AU6" s="19">
        <f t="shared" ref="AU6:AU10" si="14">+J6-Y6</f>
        <v>0</v>
      </c>
      <c r="AV6" s="19" t="e">
        <f t="shared" ref="AV6:AV10" si="15">+AU6/J6*100</f>
        <v>#DIV/0!</v>
      </c>
      <c r="AW6" s="19">
        <f t="shared" ref="AW6:AW10" si="16">+K6-Z6</f>
        <v>0</v>
      </c>
      <c r="AX6" s="19" t="e">
        <f t="shared" ref="AX6:AX10" si="17">+AW6/K6*100</f>
        <v>#DIV/0!</v>
      </c>
      <c r="AY6" s="19">
        <f t="shared" ref="AY6:AY10" si="18">+L6-AA6</f>
        <v>0</v>
      </c>
      <c r="AZ6" s="19" t="e">
        <f t="shared" ref="AZ6:AZ10" si="19">+AY6/L6*100</f>
        <v>#DIV/0!</v>
      </c>
      <c r="BA6" s="19">
        <f t="shared" ref="BA6:BA10" si="20">+M6-AB6</f>
        <v>0</v>
      </c>
      <c r="BB6" s="19" t="e">
        <f t="shared" ref="BB6:BB10" si="21">+BA6/M6*100</f>
        <v>#DIV/0!</v>
      </c>
      <c r="BC6" s="19">
        <f t="shared" ref="BC6:BC10" si="22">+N6-AC6</f>
        <v>0</v>
      </c>
      <c r="BD6" s="19" t="e">
        <f t="shared" ref="BD6:BD10" si="23">+BC6/N6*100</f>
        <v>#DIV/0!</v>
      </c>
    </row>
    <row r="7" spans="1:56">
      <c r="A7" s="17">
        <v>3</v>
      </c>
      <c r="B7" s="18" t="s">
        <v>11</v>
      </c>
      <c r="C7" s="19">
        <v>9141700</v>
      </c>
      <c r="D7" s="19">
        <v>9141700</v>
      </c>
      <c r="E7" s="19">
        <v>9141700</v>
      </c>
      <c r="F7" s="19"/>
      <c r="G7" s="19"/>
      <c r="H7" s="19"/>
      <c r="I7" s="19"/>
      <c r="J7" s="19"/>
      <c r="K7" s="19"/>
      <c r="L7" s="19"/>
      <c r="M7" s="19"/>
      <c r="N7" s="19"/>
      <c r="P7" s="17">
        <v>3</v>
      </c>
      <c r="Q7" s="18" t="s">
        <v>11</v>
      </c>
      <c r="R7" s="19">
        <v>9141700</v>
      </c>
      <c r="S7" s="19">
        <v>9141700</v>
      </c>
      <c r="T7" s="19">
        <v>9141700</v>
      </c>
      <c r="U7" s="19"/>
      <c r="V7" s="19"/>
      <c r="W7" s="19"/>
      <c r="X7" s="19"/>
      <c r="Y7" s="19"/>
      <c r="Z7" s="19"/>
      <c r="AA7" s="19"/>
      <c r="AB7" s="19"/>
      <c r="AC7" s="19"/>
      <c r="AE7" s="17">
        <v>3</v>
      </c>
      <c r="AF7" s="18" t="s">
        <v>11</v>
      </c>
      <c r="AG7" s="19">
        <f t="shared" si="0"/>
        <v>0</v>
      </c>
      <c r="AH7" s="19">
        <f t="shared" si="1"/>
        <v>0</v>
      </c>
      <c r="AI7" s="19">
        <f t="shared" si="2"/>
        <v>0</v>
      </c>
      <c r="AJ7" s="19">
        <f t="shared" si="3"/>
        <v>0</v>
      </c>
      <c r="AK7" s="19">
        <f t="shared" si="4"/>
        <v>0</v>
      </c>
      <c r="AL7" s="19">
        <f t="shared" si="5"/>
        <v>0</v>
      </c>
      <c r="AM7" s="19">
        <f t="shared" si="6"/>
        <v>0</v>
      </c>
      <c r="AN7" s="19" t="e">
        <f t="shared" si="7"/>
        <v>#DIV/0!</v>
      </c>
      <c r="AO7" s="19">
        <f t="shared" si="8"/>
        <v>0</v>
      </c>
      <c r="AP7" s="19" t="e">
        <f t="shared" si="9"/>
        <v>#DIV/0!</v>
      </c>
      <c r="AQ7" s="19">
        <f t="shared" si="10"/>
        <v>0</v>
      </c>
      <c r="AR7" s="19" t="e">
        <f t="shared" si="11"/>
        <v>#DIV/0!</v>
      </c>
      <c r="AS7" s="19">
        <f t="shared" si="12"/>
        <v>0</v>
      </c>
      <c r="AT7" s="19" t="e">
        <f t="shared" si="13"/>
        <v>#DIV/0!</v>
      </c>
      <c r="AU7" s="19">
        <f t="shared" si="14"/>
        <v>0</v>
      </c>
      <c r="AV7" s="19" t="e">
        <f t="shared" si="15"/>
        <v>#DIV/0!</v>
      </c>
      <c r="AW7" s="19">
        <f t="shared" si="16"/>
        <v>0</v>
      </c>
      <c r="AX7" s="19" t="e">
        <f t="shared" si="17"/>
        <v>#DIV/0!</v>
      </c>
      <c r="AY7" s="19">
        <f t="shared" si="18"/>
        <v>0</v>
      </c>
      <c r="AZ7" s="19" t="e">
        <f t="shared" si="19"/>
        <v>#DIV/0!</v>
      </c>
      <c r="BA7" s="19">
        <f t="shared" si="20"/>
        <v>0</v>
      </c>
      <c r="BB7" s="19" t="e">
        <f t="shared" si="21"/>
        <v>#DIV/0!</v>
      </c>
      <c r="BC7" s="19">
        <f t="shared" si="22"/>
        <v>0</v>
      </c>
      <c r="BD7" s="19" t="e">
        <f t="shared" si="23"/>
        <v>#DIV/0!</v>
      </c>
    </row>
    <row r="8" spans="1:56">
      <c r="A8" s="17">
        <v>4</v>
      </c>
      <c r="B8" s="18" t="s">
        <v>13</v>
      </c>
      <c r="C8" s="19">
        <v>3508030</v>
      </c>
      <c r="D8" s="19">
        <v>3508030</v>
      </c>
      <c r="E8" s="19">
        <v>3508030</v>
      </c>
      <c r="F8" s="19"/>
      <c r="G8" s="19"/>
      <c r="H8" s="19"/>
      <c r="I8" s="19"/>
      <c r="J8" s="19"/>
      <c r="K8" s="19"/>
      <c r="L8" s="19"/>
      <c r="M8" s="19"/>
      <c r="N8" s="19"/>
      <c r="P8" s="17">
        <v>4</v>
      </c>
      <c r="Q8" s="18" t="s">
        <v>13</v>
      </c>
      <c r="R8" s="19">
        <v>3508030</v>
      </c>
      <c r="S8" s="19">
        <v>3508030</v>
      </c>
      <c r="T8" s="19">
        <v>3508030</v>
      </c>
      <c r="U8" s="19"/>
      <c r="V8" s="19"/>
      <c r="W8" s="19"/>
      <c r="X8" s="19"/>
      <c r="Y8" s="19"/>
      <c r="Z8" s="19"/>
      <c r="AA8" s="19"/>
      <c r="AB8" s="19"/>
      <c r="AC8" s="19"/>
      <c r="AE8" s="17">
        <v>4</v>
      </c>
      <c r="AF8" s="18" t="s">
        <v>13</v>
      </c>
      <c r="AG8" s="19">
        <f t="shared" si="0"/>
        <v>0</v>
      </c>
      <c r="AH8" s="19">
        <f t="shared" si="1"/>
        <v>0</v>
      </c>
      <c r="AI8" s="19">
        <f t="shared" si="2"/>
        <v>0</v>
      </c>
      <c r="AJ8" s="19">
        <f t="shared" si="3"/>
        <v>0</v>
      </c>
      <c r="AK8" s="19">
        <f t="shared" si="4"/>
        <v>0</v>
      </c>
      <c r="AL8" s="19">
        <f t="shared" si="5"/>
        <v>0</v>
      </c>
      <c r="AM8" s="19">
        <f t="shared" si="6"/>
        <v>0</v>
      </c>
      <c r="AN8" s="19" t="e">
        <f t="shared" si="7"/>
        <v>#DIV/0!</v>
      </c>
      <c r="AO8" s="19">
        <f t="shared" si="8"/>
        <v>0</v>
      </c>
      <c r="AP8" s="19" t="e">
        <f t="shared" si="9"/>
        <v>#DIV/0!</v>
      </c>
      <c r="AQ8" s="19">
        <f t="shared" si="10"/>
        <v>0</v>
      </c>
      <c r="AR8" s="19" t="e">
        <f t="shared" si="11"/>
        <v>#DIV/0!</v>
      </c>
      <c r="AS8" s="19">
        <f t="shared" si="12"/>
        <v>0</v>
      </c>
      <c r="AT8" s="19" t="e">
        <f t="shared" si="13"/>
        <v>#DIV/0!</v>
      </c>
      <c r="AU8" s="19">
        <f t="shared" si="14"/>
        <v>0</v>
      </c>
      <c r="AV8" s="19" t="e">
        <f t="shared" si="15"/>
        <v>#DIV/0!</v>
      </c>
      <c r="AW8" s="19">
        <f t="shared" si="16"/>
        <v>0</v>
      </c>
      <c r="AX8" s="19" t="e">
        <f t="shared" si="17"/>
        <v>#DIV/0!</v>
      </c>
      <c r="AY8" s="19">
        <f t="shared" si="18"/>
        <v>0</v>
      </c>
      <c r="AZ8" s="19" t="e">
        <f t="shared" si="19"/>
        <v>#DIV/0!</v>
      </c>
      <c r="BA8" s="19">
        <f t="shared" si="20"/>
        <v>0</v>
      </c>
      <c r="BB8" s="19" t="e">
        <f t="shared" si="21"/>
        <v>#DIV/0!</v>
      </c>
      <c r="BC8" s="19">
        <f t="shared" si="22"/>
        <v>0</v>
      </c>
      <c r="BD8" s="19" t="e">
        <f t="shared" si="23"/>
        <v>#DIV/0!</v>
      </c>
    </row>
    <row r="9" spans="1:56">
      <c r="A9" s="17">
        <v>5</v>
      </c>
      <c r="B9" s="18" t="s">
        <v>15</v>
      </c>
      <c r="C9" s="19">
        <v>2033454</v>
      </c>
      <c r="D9" s="19">
        <v>2033454</v>
      </c>
      <c r="E9" s="19">
        <v>2033454</v>
      </c>
      <c r="F9" s="19"/>
      <c r="G9" s="19"/>
      <c r="H9" s="19"/>
      <c r="I9" s="19"/>
      <c r="J9" s="19"/>
      <c r="K9" s="19"/>
      <c r="L9" s="19"/>
      <c r="M9" s="19"/>
      <c r="N9" s="19"/>
      <c r="P9" s="17">
        <v>5</v>
      </c>
      <c r="Q9" s="18" t="s">
        <v>15</v>
      </c>
      <c r="R9" s="19">
        <v>2033454</v>
      </c>
      <c r="S9" s="19">
        <v>2033454</v>
      </c>
      <c r="T9" s="19">
        <v>2033454</v>
      </c>
      <c r="U9" s="19"/>
      <c r="V9" s="19"/>
      <c r="W9" s="19"/>
      <c r="X9" s="19"/>
      <c r="Y9" s="19"/>
      <c r="Z9" s="19"/>
      <c r="AA9" s="19"/>
      <c r="AB9" s="19"/>
      <c r="AC9" s="19"/>
      <c r="AE9" s="17">
        <v>5</v>
      </c>
      <c r="AF9" s="18" t="s">
        <v>15</v>
      </c>
      <c r="AG9" s="19">
        <f t="shared" si="0"/>
        <v>0</v>
      </c>
      <c r="AH9" s="19">
        <f t="shared" si="1"/>
        <v>0</v>
      </c>
      <c r="AI9" s="19">
        <f t="shared" si="2"/>
        <v>0</v>
      </c>
      <c r="AJ9" s="19">
        <f t="shared" si="3"/>
        <v>0</v>
      </c>
      <c r="AK9" s="19">
        <f t="shared" si="4"/>
        <v>0</v>
      </c>
      <c r="AL9" s="19">
        <f t="shared" si="5"/>
        <v>0</v>
      </c>
      <c r="AM9" s="19">
        <f t="shared" si="6"/>
        <v>0</v>
      </c>
      <c r="AN9" s="19" t="e">
        <f t="shared" si="7"/>
        <v>#DIV/0!</v>
      </c>
      <c r="AO9" s="19">
        <f t="shared" si="8"/>
        <v>0</v>
      </c>
      <c r="AP9" s="19" t="e">
        <f t="shared" si="9"/>
        <v>#DIV/0!</v>
      </c>
      <c r="AQ9" s="19">
        <f t="shared" si="10"/>
        <v>0</v>
      </c>
      <c r="AR9" s="19" t="e">
        <f t="shared" si="11"/>
        <v>#DIV/0!</v>
      </c>
      <c r="AS9" s="19">
        <f t="shared" si="12"/>
        <v>0</v>
      </c>
      <c r="AT9" s="19" t="e">
        <f t="shared" si="13"/>
        <v>#DIV/0!</v>
      </c>
      <c r="AU9" s="19">
        <f t="shared" si="14"/>
        <v>0</v>
      </c>
      <c r="AV9" s="19" t="e">
        <f t="shared" si="15"/>
        <v>#DIV/0!</v>
      </c>
      <c r="AW9" s="19">
        <f t="shared" si="16"/>
        <v>0</v>
      </c>
      <c r="AX9" s="19" t="e">
        <f t="shared" si="17"/>
        <v>#DIV/0!</v>
      </c>
      <c r="AY9" s="19">
        <f t="shared" si="18"/>
        <v>0</v>
      </c>
      <c r="AZ9" s="19" t="e">
        <f t="shared" si="19"/>
        <v>#DIV/0!</v>
      </c>
      <c r="BA9" s="19">
        <f t="shared" si="20"/>
        <v>0</v>
      </c>
      <c r="BB9" s="19" t="e">
        <f t="shared" si="21"/>
        <v>#DIV/0!</v>
      </c>
      <c r="BC9" s="19">
        <f t="shared" si="22"/>
        <v>0</v>
      </c>
      <c r="BD9" s="19" t="e">
        <f t="shared" si="23"/>
        <v>#DIV/0!</v>
      </c>
    </row>
    <row r="10" spans="1:56" s="22" customFormat="1" ht="25.2" thickBot="1">
      <c r="A10" s="20"/>
      <c r="B10" s="20" t="s">
        <v>17</v>
      </c>
      <c r="C10" s="21">
        <f>SUM(C5:C9)</f>
        <v>33461374</v>
      </c>
      <c r="D10" s="21">
        <f t="shared" ref="D10:N10" si="24">SUM(D5:D9)</f>
        <v>33461374</v>
      </c>
      <c r="E10" s="21">
        <f t="shared" si="24"/>
        <v>33461374</v>
      </c>
      <c r="F10" s="21">
        <f t="shared" si="24"/>
        <v>0</v>
      </c>
      <c r="G10" s="21">
        <f t="shared" si="24"/>
        <v>0</v>
      </c>
      <c r="H10" s="21">
        <f t="shared" si="24"/>
        <v>0</v>
      </c>
      <c r="I10" s="21">
        <f t="shared" si="24"/>
        <v>0</v>
      </c>
      <c r="J10" s="21">
        <f t="shared" si="24"/>
        <v>0</v>
      </c>
      <c r="K10" s="21">
        <f t="shared" si="24"/>
        <v>0</v>
      </c>
      <c r="L10" s="21">
        <f t="shared" si="24"/>
        <v>0</v>
      </c>
      <c r="M10" s="21">
        <f t="shared" si="24"/>
        <v>0</v>
      </c>
      <c r="N10" s="21">
        <f t="shared" si="24"/>
        <v>0</v>
      </c>
      <c r="P10" s="20"/>
      <c r="Q10" s="20" t="s">
        <v>17</v>
      </c>
      <c r="R10" s="21">
        <f>SUM(R5:R9)</f>
        <v>33461374</v>
      </c>
      <c r="S10" s="21">
        <f t="shared" ref="S10:AC10" si="25">SUM(S5:S9)</f>
        <v>33461374</v>
      </c>
      <c r="T10" s="21">
        <f t="shared" si="25"/>
        <v>33461374</v>
      </c>
      <c r="U10" s="21">
        <f t="shared" si="25"/>
        <v>0</v>
      </c>
      <c r="V10" s="21">
        <f t="shared" si="25"/>
        <v>0</v>
      </c>
      <c r="W10" s="21">
        <f t="shared" si="25"/>
        <v>0</v>
      </c>
      <c r="X10" s="21">
        <f t="shared" si="25"/>
        <v>0</v>
      </c>
      <c r="Y10" s="21">
        <f t="shared" si="25"/>
        <v>0</v>
      </c>
      <c r="Z10" s="21">
        <f t="shared" si="25"/>
        <v>0</v>
      </c>
      <c r="AA10" s="21">
        <f t="shared" si="25"/>
        <v>0</v>
      </c>
      <c r="AB10" s="21">
        <f t="shared" si="25"/>
        <v>0</v>
      </c>
      <c r="AC10" s="21">
        <f t="shared" si="25"/>
        <v>0</v>
      </c>
      <c r="AE10" s="20"/>
      <c r="AF10" s="20" t="s">
        <v>17</v>
      </c>
      <c r="AG10" s="23">
        <f t="shared" si="0"/>
        <v>0</v>
      </c>
      <c r="AH10" s="23">
        <f t="shared" si="1"/>
        <v>0</v>
      </c>
      <c r="AI10" s="23">
        <f t="shared" si="2"/>
        <v>0</v>
      </c>
      <c r="AJ10" s="23">
        <f t="shared" si="3"/>
        <v>0</v>
      </c>
      <c r="AK10" s="23">
        <f t="shared" si="4"/>
        <v>0</v>
      </c>
      <c r="AL10" s="23">
        <f t="shared" si="5"/>
        <v>0</v>
      </c>
      <c r="AM10" s="23">
        <f t="shared" si="6"/>
        <v>0</v>
      </c>
      <c r="AN10" s="23" t="e">
        <f t="shared" si="7"/>
        <v>#DIV/0!</v>
      </c>
      <c r="AO10" s="23">
        <f t="shared" si="8"/>
        <v>0</v>
      </c>
      <c r="AP10" s="23" t="e">
        <f t="shared" si="9"/>
        <v>#DIV/0!</v>
      </c>
      <c r="AQ10" s="23">
        <f t="shared" si="10"/>
        <v>0</v>
      </c>
      <c r="AR10" s="23" t="e">
        <f t="shared" si="11"/>
        <v>#DIV/0!</v>
      </c>
      <c r="AS10" s="23">
        <f t="shared" si="12"/>
        <v>0</v>
      </c>
      <c r="AT10" s="23" t="e">
        <f t="shared" si="13"/>
        <v>#DIV/0!</v>
      </c>
      <c r="AU10" s="23">
        <f t="shared" si="14"/>
        <v>0</v>
      </c>
      <c r="AV10" s="23" t="e">
        <f t="shared" si="15"/>
        <v>#DIV/0!</v>
      </c>
      <c r="AW10" s="23">
        <f t="shared" si="16"/>
        <v>0</v>
      </c>
      <c r="AX10" s="23" t="e">
        <f t="shared" si="17"/>
        <v>#DIV/0!</v>
      </c>
      <c r="AY10" s="23">
        <f t="shared" si="18"/>
        <v>0</v>
      </c>
      <c r="AZ10" s="23" t="e">
        <f t="shared" si="19"/>
        <v>#DIV/0!</v>
      </c>
      <c r="BA10" s="23">
        <f t="shared" si="20"/>
        <v>0</v>
      </c>
      <c r="BB10" s="23" t="e">
        <f t="shared" si="21"/>
        <v>#DIV/0!</v>
      </c>
      <c r="BC10" s="23">
        <f t="shared" si="22"/>
        <v>0</v>
      </c>
      <c r="BD10" s="23" t="e">
        <f t="shared" si="23"/>
        <v>#DIV/0!</v>
      </c>
    </row>
    <row r="11" spans="1:56" ht="25.2" thickTop="1"/>
    <row r="12" spans="1:56">
      <c r="A12" s="37" t="s">
        <v>46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P12" s="37" t="s">
        <v>50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E12" s="37" t="s">
        <v>87</v>
      </c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</row>
    <row r="13" spans="1:56">
      <c r="A13" s="37" t="s">
        <v>1956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P13" s="37" t="s">
        <v>1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E13" s="37" t="s">
        <v>1</v>
      </c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</row>
    <row r="14" spans="1:56" s="15" customFormat="1">
      <c r="A14" s="35" t="s">
        <v>2</v>
      </c>
      <c r="B14" s="35" t="s">
        <v>3</v>
      </c>
      <c r="C14" s="38" t="s">
        <v>4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0"/>
      <c r="P14" s="35" t="s">
        <v>2</v>
      </c>
      <c r="Q14" s="35" t="s">
        <v>3</v>
      </c>
      <c r="R14" s="38" t="s">
        <v>5</v>
      </c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40"/>
      <c r="AE14" s="35" t="s">
        <v>2</v>
      </c>
      <c r="AF14" s="35" t="s">
        <v>3</v>
      </c>
      <c r="AG14" s="33">
        <v>25112</v>
      </c>
      <c r="AH14" s="34"/>
      <c r="AI14" s="33">
        <v>25143</v>
      </c>
      <c r="AJ14" s="34"/>
      <c r="AK14" s="33">
        <v>25173</v>
      </c>
      <c r="AL14" s="34"/>
      <c r="AM14" s="33">
        <v>25204</v>
      </c>
      <c r="AN14" s="34"/>
      <c r="AO14" s="33">
        <v>25235</v>
      </c>
      <c r="AP14" s="34"/>
      <c r="AQ14" s="33">
        <v>25263</v>
      </c>
      <c r="AR14" s="34"/>
      <c r="AS14" s="33">
        <v>25294</v>
      </c>
      <c r="AT14" s="34"/>
      <c r="AU14" s="33">
        <v>25324</v>
      </c>
      <c r="AV14" s="34"/>
      <c r="AW14" s="33">
        <v>25355</v>
      </c>
      <c r="AX14" s="34"/>
      <c r="AY14" s="33">
        <v>25385</v>
      </c>
      <c r="AZ14" s="34"/>
      <c r="BA14" s="33">
        <v>25416</v>
      </c>
      <c r="BB14" s="34"/>
      <c r="BC14" s="33">
        <v>25447</v>
      </c>
      <c r="BD14" s="34"/>
    </row>
    <row r="15" spans="1:56" s="15" customFormat="1">
      <c r="A15" s="36"/>
      <c r="B15" s="36"/>
      <c r="C15" s="16">
        <v>25112</v>
      </c>
      <c r="D15" s="16">
        <v>25143</v>
      </c>
      <c r="E15" s="16">
        <v>25173</v>
      </c>
      <c r="F15" s="16">
        <v>25204</v>
      </c>
      <c r="G15" s="16">
        <v>25235</v>
      </c>
      <c r="H15" s="16">
        <v>25263</v>
      </c>
      <c r="I15" s="16">
        <v>25294</v>
      </c>
      <c r="J15" s="16">
        <v>25324</v>
      </c>
      <c r="K15" s="16">
        <v>25355</v>
      </c>
      <c r="L15" s="16">
        <v>25385</v>
      </c>
      <c r="M15" s="16">
        <v>25416</v>
      </c>
      <c r="N15" s="16">
        <v>25447</v>
      </c>
      <c r="P15" s="36"/>
      <c r="Q15" s="36"/>
      <c r="R15" s="16">
        <v>25112</v>
      </c>
      <c r="S15" s="16">
        <v>25143</v>
      </c>
      <c r="T15" s="16">
        <v>25173</v>
      </c>
      <c r="U15" s="16">
        <v>25204</v>
      </c>
      <c r="V15" s="16">
        <v>25235</v>
      </c>
      <c r="W15" s="16">
        <v>25263</v>
      </c>
      <c r="X15" s="16">
        <v>25294</v>
      </c>
      <c r="Y15" s="16">
        <v>25324</v>
      </c>
      <c r="Z15" s="16">
        <v>25355</v>
      </c>
      <c r="AA15" s="16">
        <v>25385</v>
      </c>
      <c r="AB15" s="16">
        <v>25416</v>
      </c>
      <c r="AC15" s="16">
        <v>25447</v>
      </c>
      <c r="AE15" s="36"/>
      <c r="AF15" s="36"/>
      <c r="AG15" s="16" t="s">
        <v>85</v>
      </c>
      <c r="AH15" s="16" t="s">
        <v>86</v>
      </c>
      <c r="AI15" s="16" t="s">
        <v>85</v>
      </c>
      <c r="AJ15" s="16" t="s">
        <v>86</v>
      </c>
      <c r="AK15" s="16" t="s">
        <v>85</v>
      </c>
      <c r="AL15" s="16" t="s">
        <v>86</v>
      </c>
      <c r="AM15" s="16" t="s">
        <v>85</v>
      </c>
      <c r="AN15" s="16" t="s">
        <v>86</v>
      </c>
      <c r="AO15" s="16" t="s">
        <v>85</v>
      </c>
      <c r="AP15" s="16" t="s">
        <v>86</v>
      </c>
      <c r="AQ15" s="16" t="s">
        <v>85</v>
      </c>
      <c r="AR15" s="16" t="s">
        <v>86</v>
      </c>
      <c r="AS15" s="16" t="s">
        <v>85</v>
      </c>
      <c r="AT15" s="16" t="s">
        <v>86</v>
      </c>
      <c r="AU15" s="16" t="s">
        <v>85</v>
      </c>
      <c r="AV15" s="16" t="s">
        <v>86</v>
      </c>
      <c r="AW15" s="16" t="s">
        <v>85</v>
      </c>
      <c r="AX15" s="16" t="s">
        <v>86</v>
      </c>
      <c r="AY15" s="16" t="s">
        <v>85</v>
      </c>
      <c r="AZ15" s="16" t="s">
        <v>86</v>
      </c>
      <c r="BA15" s="16" t="s">
        <v>85</v>
      </c>
      <c r="BB15" s="16" t="s">
        <v>86</v>
      </c>
      <c r="BC15" s="16" t="s">
        <v>85</v>
      </c>
      <c r="BD15" s="16" t="s">
        <v>86</v>
      </c>
    </row>
    <row r="16" spans="1:56">
      <c r="A16" s="17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P16" s="17"/>
      <c r="Q16" s="18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E16" s="17"/>
      <c r="AF16" s="18"/>
      <c r="AG16" s="19"/>
      <c r="AH16" s="19"/>
      <c r="AI16" s="19"/>
      <c r="AJ16" s="19"/>
      <c r="AK16" s="19"/>
      <c r="AL16" s="19"/>
      <c r="AM16" s="19"/>
      <c r="AN16" s="19"/>
      <c r="AO16" s="18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</row>
    <row r="17" spans="1:56">
      <c r="A17" s="17">
        <v>1</v>
      </c>
      <c r="B17" s="18" t="s">
        <v>10</v>
      </c>
      <c r="C17" s="19">
        <v>18778187</v>
      </c>
      <c r="D17" s="19">
        <v>18778187</v>
      </c>
      <c r="E17" s="19">
        <v>18778187</v>
      </c>
      <c r="F17" s="19"/>
      <c r="G17" s="19"/>
      <c r="H17" s="19"/>
      <c r="I17" s="19"/>
      <c r="J17" s="19"/>
      <c r="K17" s="19"/>
      <c r="L17" s="19"/>
      <c r="M17" s="19"/>
      <c r="N17" s="19"/>
      <c r="P17" s="17">
        <v>1</v>
      </c>
      <c r="Q17" s="18" t="s">
        <v>10</v>
      </c>
      <c r="R17" s="19">
        <v>18778187</v>
      </c>
      <c r="S17" s="19">
        <v>18778187</v>
      </c>
      <c r="T17" s="19">
        <v>18778187</v>
      </c>
      <c r="U17" s="19"/>
      <c r="V17" s="19"/>
      <c r="W17" s="19"/>
      <c r="X17" s="19"/>
      <c r="Y17" s="19"/>
      <c r="Z17" s="19"/>
      <c r="AA17" s="19"/>
      <c r="AB17" s="19"/>
      <c r="AC17" s="19"/>
      <c r="AE17" s="17">
        <v>1</v>
      </c>
      <c r="AF17" s="18" t="s">
        <v>10</v>
      </c>
      <c r="AG17" s="19">
        <f t="shared" ref="AG17:AG21" si="26">+C17-R17</f>
        <v>0</v>
      </c>
      <c r="AH17" s="19">
        <f t="shared" ref="AH17:AH21" si="27">+AG17/C17*100</f>
        <v>0</v>
      </c>
      <c r="AI17" s="19">
        <f t="shared" ref="AI17:AI21" si="28">+D17-S17</f>
        <v>0</v>
      </c>
      <c r="AJ17" s="19">
        <f t="shared" ref="AJ17:AJ21" si="29">+AI17/D17*100</f>
        <v>0</v>
      </c>
      <c r="AK17" s="19">
        <f t="shared" ref="AK17:AK21" si="30">+E17-T17</f>
        <v>0</v>
      </c>
      <c r="AL17" s="19">
        <f t="shared" ref="AL17:AL21" si="31">+AK17/E17*100</f>
        <v>0</v>
      </c>
      <c r="AM17" s="19">
        <f t="shared" ref="AM17:AM21" si="32">+F17-U17</f>
        <v>0</v>
      </c>
      <c r="AN17" s="19" t="e">
        <f t="shared" ref="AN17:AN21" si="33">+AM17/F17*100</f>
        <v>#DIV/0!</v>
      </c>
      <c r="AO17" s="19">
        <f t="shared" ref="AO17:AO21" si="34">+G17-V17</f>
        <v>0</v>
      </c>
      <c r="AP17" s="19" t="e">
        <f t="shared" ref="AP17:AP21" si="35">+AO17/G17*100</f>
        <v>#DIV/0!</v>
      </c>
      <c r="AQ17" s="19">
        <f t="shared" ref="AQ17:AQ21" si="36">+H17-W17</f>
        <v>0</v>
      </c>
      <c r="AR17" s="19" t="e">
        <f t="shared" ref="AR17:AR21" si="37">+AQ17/H17*100</f>
        <v>#DIV/0!</v>
      </c>
      <c r="AS17" s="19">
        <f t="shared" ref="AS17:AS21" si="38">+I17-X17</f>
        <v>0</v>
      </c>
      <c r="AT17" s="19" t="e">
        <f t="shared" ref="AT17:AT21" si="39">+AS17/I17*100</f>
        <v>#DIV/0!</v>
      </c>
      <c r="AU17" s="19">
        <f t="shared" ref="AU17:AU21" si="40">+J17-Y17</f>
        <v>0</v>
      </c>
      <c r="AV17" s="19" t="e">
        <f t="shared" ref="AV17:AV21" si="41">+AU17/J17*100</f>
        <v>#DIV/0!</v>
      </c>
      <c r="AW17" s="19">
        <f t="shared" ref="AW17:AW21" si="42">+K17-Z17</f>
        <v>0</v>
      </c>
      <c r="AX17" s="19" t="e">
        <f t="shared" ref="AX17:AX21" si="43">+AW17/K17*100</f>
        <v>#DIV/0!</v>
      </c>
      <c r="AY17" s="19">
        <f t="shared" ref="AY17:AY21" si="44">+L17-AA17</f>
        <v>0</v>
      </c>
      <c r="AZ17" s="19" t="e">
        <f t="shared" ref="AZ17:AZ21" si="45">+AY17/L17*100</f>
        <v>#DIV/0!</v>
      </c>
      <c r="BA17" s="19">
        <f t="shared" ref="BA17:BA21" si="46">+M17-AB17</f>
        <v>0</v>
      </c>
      <c r="BB17" s="19" t="e">
        <f t="shared" ref="BB17:BB21" si="47">+BA17/M17*100</f>
        <v>#DIV/0!</v>
      </c>
      <c r="BC17" s="19">
        <f t="shared" ref="BC17:BC21" si="48">+N17-AC17</f>
        <v>0</v>
      </c>
      <c r="BD17" s="19" t="e">
        <f t="shared" ref="BD17:BD21" si="49">+BC17/N17*100</f>
        <v>#DIV/0!</v>
      </c>
    </row>
    <row r="18" spans="1:56">
      <c r="A18" s="17">
        <v>2</v>
      </c>
      <c r="B18" s="18" t="s">
        <v>12</v>
      </c>
      <c r="C18" s="19">
        <v>9141691</v>
      </c>
      <c r="D18" s="19">
        <v>9141691</v>
      </c>
      <c r="E18" s="19">
        <v>9141691</v>
      </c>
      <c r="F18" s="19"/>
      <c r="G18" s="19"/>
      <c r="H18" s="19"/>
      <c r="I18" s="19"/>
      <c r="J18" s="19"/>
      <c r="K18" s="19"/>
      <c r="L18" s="19"/>
      <c r="M18" s="19"/>
      <c r="N18" s="19"/>
      <c r="P18" s="17">
        <v>2</v>
      </c>
      <c r="Q18" s="18" t="s">
        <v>12</v>
      </c>
      <c r="R18" s="19">
        <v>9141691</v>
      </c>
      <c r="S18" s="19">
        <v>9141691</v>
      </c>
      <c r="T18" s="19">
        <v>9141691</v>
      </c>
      <c r="U18" s="19"/>
      <c r="V18" s="19"/>
      <c r="W18" s="19"/>
      <c r="X18" s="19"/>
      <c r="Y18" s="19"/>
      <c r="Z18" s="19"/>
      <c r="AA18" s="19"/>
      <c r="AB18" s="19"/>
      <c r="AC18" s="19"/>
      <c r="AE18" s="17">
        <v>2</v>
      </c>
      <c r="AF18" s="18" t="s">
        <v>12</v>
      </c>
      <c r="AG18" s="19">
        <f t="shared" si="26"/>
        <v>0</v>
      </c>
      <c r="AH18" s="19">
        <f t="shared" si="27"/>
        <v>0</v>
      </c>
      <c r="AI18" s="19">
        <f t="shared" si="28"/>
        <v>0</v>
      </c>
      <c r="AJ18" s="19">
        <f t="shared" si="29"/>
        <v>0</v>
      </c>
      <c r="AK18" s="19">
        <f t="shared" si="30"/>
        <v>0</v>
      </c>
      <c r="AL18" s="19">
        <f t="shared" si="31"/>
        <v>0</v>
      </c>
      <c r="AM18" s="19">
        <f t="shared" si="32"/>
        <v>0</v>
      </c>
      <c r="AN18" s="19" t="e">
        <f t="shared" si="33"/>
        <v>#DIV/0!</v>
      </c>
      <c r="AO18" s="19">
        <f t="shared" si="34"/>
        <v>0</v>
      </c>
      <c r="AP18" s="19" t="e">
        <f t="shared" si="35"/>
        <v>#DIV/0!</v>
      </c>
      <c r="AQ18" s="19">
        <f t="shared" si="36"/>
        <v>0</v>
      </c>
      <c r="AR18" s="19" t="e">
        <f t="shared" si="37"/>
        <v>#DIV/0!</v>
      </c>
      <c r="AS18" s="19">
        <f t="shared" si="38"/>
        <v>0</v>
      </c>
      <c r="AT18" s="19" t="e">
        <f t="shared" si="39"/>
        <v>#DIV/0!</v>
      </c>
      <c r="AU18" s="19">
        <f t="shared" si="40"/>
        <v>0</v>
      </c>
      <c r="AV18" s="19" t="e">
        <f t="shared" si="41"/>
        <v>#DIV/0!</v>
      </c>
      <c r="AW18" s="19">
        <f t="shared" si="42"/>
        <v>0</v>
      </c>
      <c r="AX18" s="19" t="e">
        <f t="shared" si="43"/>
        <v>#DIV/0!</v>
      </c>
      <c r="AY18" s="19">
        <f t="shared" si="44"/>
        <v>0</v>
      </c>
      <c r="AZ18" s="19" t="e">
        <f t="shared" si="45"/>
        <v>#DIV/0!</v>
      </c>
      <c r="BA18" s="19">
        <f t="shared" si="46"/>
        <v>0</v>
      </c>
      <c r="BB18" s="19" t="e">
        <f t="shared" si="47"/>
        <v>#DIV/0!</v>
      </c>
      <c r="BC18" s="19">
        <f t="shared" si="48"/>
        <v>0</v>
      </c>
      <c r="BD18" s="19" t="e">
        <f t="shared" si="49"/>
        <v>#DIV/0!</v>
      </c>
    </row>
    <row r="19" spans="1:56">
      <c r="A19" s="17">
        <v>3</v>
      </c>
      <c r="B19" s="18" t="s">
        <v>14</v>
      </c>
      <c r="C19" s="19">
        <v>3222638.27</v>
      </c>
      <c r="D19" s="19">
        <v>3226911.26</v>
      </c>
      <c r="E19" s="19">
        <v>3231326.69</v>
      </c>
      <c r="F19" s="19"/>
      <c r="G19" s="19"/>
      <c r="H19" s="19"/>
      <c r="I19" s="19"/>
      <c r="J19" s="19"/>
      <c r="K19" s="19"/>
      <c r="L19" s="19"/>
      <c r="M19" s="19"/>
      <c r="N19" s="19"/>
      <c r="P19" s="17">
        <v>3</v>
      </c>
      <c r="Q19" s="18" t="s">
        <v>14</v>
      </c>
      <c r="R19" s="19">
        <v>3246917.9</v>
      </c>
      <c r="S19" s="19">
        <v>3250871.55</v>
      </c>
      <c r="T19" s="19">
        <v>3254825.2</v>
      </c>
      <c r="U19" s="19"/>
      <c r="V19" s="19"/>
      <c r="W19" s="19"/>
      <c r="X19" s="19"/>
      <c r="Y19" s="19"/>
      <c r="Z19" s="19"/>
      <c r="AA19" s="19"/>
      <c r="AB19" s="19"/>
      <c r="AC19" s="19"/>
      <c r="AE19" s="17">
        <v>3</v>
      </c>
      <c r="AF19" s="18" t="s">
        <v>14</v>
      </c>
      <c r="AG19" s="19">
        <f t="shared" si="26"/>
        <v>-24279.629999999888</v>
      </c>
      <c r="AH19" s="19">
        <f t="shared" si="27"/>
        <v>-0.75340847981675241</v>
      </c>
      <c r="AI19" s="19">
        <f t="shared" si="28"/>
        <v>-23960.290000000037</v>
      </c>
      <c r="AJ19" s="19">
        <f t="shared" si="29"/>
        <v>-0.74251468569978707</v>
      </c>
      <c r="AK19" s="19">
        <f t="shared" si="30"/>
        <v>-23498.510000000242</v>
      </c>
      <c r="AL19" s="19">
        <f t="shared" si="31"/>
        <v>-0.7272093556099164</v>
      </c>
      <c r="AM19" s="19">
        <f t="shared" si="32"/>
        <v>0</v>
      </c>
      <c r="AN19" s="19" t="e">
        <f t="shared" si="33"/>
        <v>#DIV/0!</v>
      </c>
      <c r="AO19" s="19">
        <f t="shared" si="34"/>
        <v>0</v>
      </c>
      <c r="AP19" s="19" t="e">
        <f t="shared" si="35"/>
        <v>#DIV/0!</v>
      </c>
      <c r="AQ19" s="19">
        <f t="shared" si="36"/>
        <v>0</v>
      </c>
      <c r="AR19" s="19" t="e">
        <f t="shared" si="37"/>
        <v>#DIV/0!</v>
      </c>
      <c r="AS19" s="19">
        <f t="shared" si="38"/>
        <v>0</v>
      </c>
      <c r="AT19" s="19" t="e">
        <f t="shared" si="39"/>
        <v>#DIV/0!</v>
      </c>
      <c r="AU19" s="19">
        <f t="shared" si="40"/>
        <v>0</v>
      </c>
      <c r="AV19" s="19" t="e">
        <f t="shared" si="41"/>
        <v>#DIV/0!</v>
      </c>
      <c r="AW19" s="19">
        <f t="shared" si="42"/>
        <v>0</v>
      </c>
      <c r="AX19" s="19" t="e">
        <f t="shared" si="43"/>
        <v>#DIV/0!</v>
      </c>
      <c r="AY19" s="19">
        <f t="shared" si="44"/>
        <v>0</v>
      </c>
      <c r="AZ19" s="19" t="e">
        <f t="shared" si="45"/>
        <v>#DIV/0!</v>
      </c>
      <c r="BA19" s="19">
        <f t="shared" si="46"/>
        <v>0</v>
      </c>
      <c r="BB19" s="19" t="e">
        <f t="shared" si="47"/>
        <v>#DIV/0!</v>
      </c>
      <c r="BC19" s="19">
        <f t="shared" si="48"/>
        <v>0</v>
      </c>
      <c r="BD19" s="19" t="e">
        <f t="shared" si="49"/>
        <v>#DIV/0!</v>
      </c>
    </row>
    <row r="20" spans="1:56">
      <c r="A20" s="17">
        <v>4</v>
      </c>
      <c r="B20" s="18" t="s">
        <v>16</v>
      </c>
      <c r="C20" s="19">
        <v>2033451</v>
      </c>
      <c r="D20" s="19">
        <v>2033451</v>
      </c>
      <c r="E20" s="19">
        <v>2033451</v>
      </c>
      <c r="F20" s="19"/>
      <c r="G20" s="19"/>
      <c r="H20" s="19"/>
      <c r="I20" s="19"/>
      <c r="J20" s="19"/>
      <c r="K20" s="19"/>
      <c r="L20" s="19"/>
      <c r="M20" s="19"/>
      <c r="N20" s="19"/>
      <c r="P20" s="17">
        <v>4</v>
      </c>
      <c r="Q20" s="18" t="s">
        <v>16</v>
      </c>
      <c r="R20" s="19">
        <v>2020744.87</v>
      </c>
      <c r="S20" s="19">
        <v>2020953.2</v>
      </c>
      <c r="T20" s="19">
        <v>2021161.53</v>
      </c>
      <c r="U20" s="19"/>
      <c r="V20" s="19"/>
      <c r="W20" s="19"/>
      <c r="X20" s="19"/>
      <c r="Y20" s="19"/>
      <c r="Z20" s="19"/>
      <c r="AA20" s="19"/>
      <c r="AB20" s="19"/>
      <c r="AC20" s="19"/>
      <c r="AE20" s="17">
        <v>4</v>
      </c>
      <c r="AF20" s="18" t="s">
        <v>16</v>
      </c>
      <c r="AG20" s="19">
        <f t="shared" si="26"/>
        <v>12706.129999999888</v>
      </c>
      <c r="AH20" s="19">
        <f t="shared" si="27"/>
        <v>0.62485547967469535</v>
      </c>
      <c r="AI20" s="19">
        <f t="shared" si="28"/>
        <v>12497.800000000047</v>
      </c>
      <c r="AJ20" s="19">
        <f t="shared" si="29"/>
        <v>0.61461033484455962</v>
      </c>
      <c r="AK20" s="19">
        <f t="shared" si="30"/>
        <v>12289.469999999972</v>
      </c>
      <c r="AL20" s="19">
        <f t="shared" si="31"/>
        <v>0.60436519001441258</v>
      </c>
      <c r="AM20" s="19">
        <f t="shared" si="32"/>
        <v>0</v>
      </c>
      <c r="AN20" s="19" t="e">
        <f t="shared" si="33"/>
        <v>#DIV/0!</v>
      </c>
      <c r="AO20" s="19">
        <f t="shared" si="34"/>
        <v>0</v>
      </c>
      <c r="AP20" s="19" t="e">
        <f t="shared" si="35"/>
        <v>#DIV/0!</v>
      </c>
      <c r="AQ20" s="19">
        <f t="shared" si="36"/>
        <v>0</v>
      </c>
      <c r="AR20" s="19" t="e">
        <f t="shared" si="37"/>
        <v>#DIV/0!</v>
      </c>
      <c r="AS20" s="19">
        <f t="shared" si="38"/>
        <v>0</v>
      </c>
      <c r="AT20" s="19" t="e">
        <f t="shared" si="39"/>
        <v>#DIV/0!</v>
      </c>
      <c r="AU20" s="19">
        <f t="shared" si="40"/>
        <v>0</v>
      </c>
      <c r="AV20" s="19" t="e">
        <f t="shared" si="41"/>
        <v>#DIV/0!</v>
      </c>
      <c r="AW20" s="19">
        <f t="shared" si="42"/>
        <v>0</v>
      </c>
      <c r="AX20" s="19" t="e">
        <f t="shared" si="43"/>
        <v>#DIV/0!</v>
      </c>
      <c r="AY20" s="19">
        <f t="shared" si="44"/>
        <v>0</v>
      </c>
      <c r="AZ20" s="19" t="e">
        <f t="shared" si="45"/>
        <v>#DIV/0!</v>
      </c>
      <c r="BA20" s="19">
        <f t="shared" si="46"/>
        <v>0</v>
      </c>
      <c r="BB20" s="19" t="e">
        <f t="shared" si="47"/>
        <v>#DIV/0!</v>
      </c>
      <c r="BC20" s="19">
        <f t="shared" si="48"/>
        <v>0</v>
      </c>
      <c r="BD20" s="19" t="e">
        <f t="shared" si="49"/>
        <v>#DIV/0!</v>
      </c>
    </row>
    <row r="21" spans="1:56" ht="25.2" thickBot="1">
      <c r="A21" s="20"/>
      <c r="B21" s="20" t="s">
        <v>17</v>
      </c>
      <c r="C21" s="21">
        <f>SUM(C16:C20)</f>
        <v>33175967.27</v>
      </c>
      <c r="D21" s="21">
        <f t="shared" ref="D21:N21" si="50">SUM(D16:D20)</f>
        <v>33180240.259999998</v>
      </c>
      <c r="E21" s="21">
        <f t="shared" si="50"/>
        <v>33184655.690000001</v>
      </c>
      <c r="F21" s="21">
        <f t="shared" si="50"/>
        <v>0</v>
      </c>
      <c r="G21" s="21">
        <f t="shared" si="50"/>
        <v>0</v>
      </c>
      <c r="H21" s="21">
        <f t="shared" si="50"/>
        <v>0</v>
      </c>
      <c r="I21" s="21">
        <f t="shared" si="50"/>
        <v>0</v>
      </c>
      <c r="J21" s="21">
        <f t="shared" si="50"/>
        <v>0</v>
      </c>
      <c r="K21" s="21">
        <f t="shared" si="50"/>
        <v>0</v>
      </c>
      <c r="L21" s="21">
        <f t="shared" si="50"/>
        <v>0</v>
      </c>
      <c r="M21" s="21">
        <f t="shared" si="50"/>
        <v>0</v>
      </c>
      <c r="N21" s="21">
        <f t="shared" si="50"/>
        <v>0</v>
      </c>
      <c r="P21" s="20"/>
      <c r="Q21" s="20" t="s">
        <v>17</v>
      </c>
      <c r="R21" s="21">
        <f>SUM(R16:R20)</f>
        <v>33187540.77</v>
      </c>
      <c r="S21" s="21">
        <f t="shared" ref="S21:AC21" si="51">SUM(S16:S20)</f>
        <v>33191702.75</v>
      </c>
      <c r="T21" s="21">
        <f t="shared" si="51"/>
        <v>33195864.73</v>
      </c>
      <c r="U21" s="21">
        <f t="shared" si="51"/>
        <v>0</v>
      </c>
      <c r="V21" s="21">
        <f t="shared" si="51"/>
        <v>0</v>
      </c>
      <c r="W21" s="21">
        <f t="shared" si="51"/>
        <v>0</v>
      </c>
      <c r="X21" s="21">
        <f t="shared" si="51"/>
        <v>0</v>
      </c>
      <c r="Y21" s="21">
        <f t="shared" si="51"/>
        <v>0</v>
      </c>
      <c r="Z21" s="21">
        <f t="shared" si="51"/>
        <v>0</v>
      </c>
      <c r="AA21" s="21">
        <f t="shared" si="51"/>
        <v>0</v>
      </c>
      <c r="AB21" s="21">
        <f t="shared" si="51"/>
        <v>0</v>
      </c>
      <c r="AC21" s="21">
        <f t="shared" si="51"/>
        <v>0</v>
      </c>
      <c r="AE21" s="20"/>
      <c r="AF21" s="20" t="s">
        <v>17</v>
      </c>
      <c r="AG21" s="23">
        <f t="shared" si="26"/>
        <v>-11573.5</v>
      </c>
      <c r="AH21" s="23">
        <f t="shared" si="27"/>
        <v>-3.4885192361717686E-2</v>
      </c>
      <c r="AI21" s="23">
        <f t="shared" si="28"/>
        <v>-11462.490000002086</v>
      </c>
      <c r="AJ21" s="23">
        <f t="shared" si="29"/>
        <v>-3.4546133211158632E-2</v>
      </c>
      <c r="AK21" s="23">
        <f t="shared" si="30"/>
        <v>-11209.039999999106</v>
      </c>
      <c r="AL21" s="23">
        <f t="shared" si="31"/>
        <v>-3.377778002191803E-2</v>
      </c>
      <c r="AM21" s="23">
        <f t="shared" si="32"/>
        <v>0</v>
      </c>
      <c r="AN21" s="23" t="e">
        <f t="shared" si="33"/>
        <v>#DIV/0!</v>
      </c>
      <c r="AO21" s="23">
        <f t="shared" si="34"/>
        <v>0</v>
      </c>
      <c r="AP21" s="23" t="e">
        <f t="shared" si="35"/>
        <v>#DIV/0!</v>
      </c>
      <c r="AQ21" s="23">
        <f t="shared" si="36"/>
        <v>0</v>
      </c>
      <c r="AR21" s="23" t="e">
        <f t="shared" si="37"/>
        <v>#DIV/0!</v>
      </c>
      <c r="AS21" s="23">
        <f t="shared" si="38"/>
        <v>0</v>
      </c>
      <c r="AT21" s="23" t="e">
        <f t="shared" si="39"/>
        <v>#DIV/0!</v>
      </c>
      <c r="AU21" s="23">
        <f t="shared" si="40"/>
        <v>0</v>
      </c>
      <c r="AV21" s="23" t="e">
        <f t="shared" si="41"/>
        <v>#DIV/0!</v>
      </c>
      <c r="AW21" s="23">
        <f t="shared" si="42"/>
        <v>0</v>
      </c>
      <c r="AX21" s="23" t="e">
        <f t="shared" si="43"/>
        <v>#DIV/0!</v>
      </c>
      <c r="AY21" s="23">
        <f t="shared" si="44"/>
        <v>0</v>
      </c>
      <c r="AZ21" s="23" t="e">
        <f t="shared" si="45"/>
        <v>#DIV/0!</v>
      </c>
      <c r="BA21" s="23">
        <f t="shared" si="46"/>
        <v>0</v>
      </c>
      <c r="BB21" s="23" t="e">
        <f t="shared" si="47"/>
        <v>#DIV/0!</v>
      </c>
      <c r="BC21" s="23">
        <f t="shared" si="48"/>
        <v>0</v>
      </c>
      <c r="BD21" s="23" t="e">
        <f t="shared" si="49"/>
        <v>#DIV/0!</v>
      </c>
    </row>
    <row r="22" spans="1:56" ht="25.2" thickTop="1"/>
    <row r="23" spans="1:56">
      <c r="A23" s="37" t="s">
        <v>47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P23" s="37" t="s">
        <v>51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E23" s="37" t="s">
        <v>88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</row>
    <row r="24" spans="1:56">
      <c r="A24" s="37" t="s">
        <v>1956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P24" s="37" t="s">
        <v>1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E24" s="37" t="s">
        <v>1</v>
      </c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</row>
    <row r="25" spans="1:56" s="25" customFormat="1">
      <c r="A25" s="35" t="s">
        <v>2</v>
      </c>
      <c r="B25" s="35" t="s">
        <v>3</v>
      </c>
      <c r="C25" s="38" t="s">
        <v>4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P25" s="35" t="s">
        <v>2</v>
      </c>
      <c r="Q25" s="35" t="s">
        <v>3</v>
      </c>
      <c r="R25" s="38" t="s">
        <v>5</v>
      </c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/>
      <c r="AE25" s="35" t="s">
        <v>2</v>
      </c>
      <c r="AF25" s="35" t="s">
        <v>3</v>
      </c>
      <c r="AG25" s="33">
        <v>25112</v>
      </c>
      <c r="AH25" s="34"/>
      <c r="AI25" s="33">
        <v>25143</v>
      </c>
      <c r="AJ25" s="34"/>
      <c r="AK25" s="33">
        <v>25173</v>
      </c>
      <c r="AL25" s="34"/>
      <c r="AM25" s="33">
        <v>25204</v>
      </c>
      <c r="AN25" s="34"/>
      <c r="AO25" s="33">
        <v>25235</v>
      </c>
      <c r="AP25" s="34"/>
      <c r="AQ25" s="33">
        <v>25263</v>
      </c>
      <c r="AR25" s="34"/>
      <c r="AS25" s="33">
        <v>25294</v>
      </c>
      <c r="AT25" s="34"/>
      <c r="AU25" s="33">
        <v>25324</v>
      </c>
      <c r="AV25" s="34"/>
      <c r="AW25" s="33">
        <v>25355</v>
      </c>
      <c r="AX25" s="34"/>
      <c r="AY25" s="33">
        <v>25385</v>
      </c>
      <c r="AZ25" s="34"/>
      <c r="BA25" s="33">
        <v>25416</v>
      </c>
      <c r="BB25" s="34"/>
      <c r="BC25" s="33">
        <v>25447</v>
      </c>
      <c r="BD25" s="34"/>
    </row>
    <row r="26" spans="1:56" s="25" customFormat="1">
      <c r="A26" s="36"/>
      <c r="B26" s="36"/>
      <c r="C26" s="16">
        <v>25112</v>
      </c>
      <c r="D26" s="16">
        <v>25143</v>
      </c>
      <c r="E26" s="16">
        <v>25173</v>
      </c>
      <c r="F26" s="16">
        <v>25204</v>
      </c>
      <c r="G26" s="16">
        <v>25235</v>
      </c>
      <c r="H26" s="16">
        <v>25263</v>
      </c>
      <c r="I26" s="16">
        <v>25294</v>
      </c>
      <c r="J26" s="16">
        <v>25324</v>
      </c>
      <c r="K26" s="16">
        <v>25355</v>
      </c>
      <c r="L26" s="16">
        <v>25385</v>
      </c>
      <c r="M26" s="16">
        <v>25416</v>
      </c>
      <c r="N26" s="16">
        <v>25447</v>
      </c>
      <c r="P26" s="36"/>
      <c r="Q26" s="36"/>
      <c r="R26" s="16">
        <v>25112</v>
      </c>
      <c r="S26" s="16">
        <v>25143</v>
      </c>
      <c r="T26" s="16">
        <v>25173</v>
      </c>
      <c r="U26" s="16">
        <v>25204</v>
      </c>
      <c r="V26" s="16">
        <v>25235</v>
      </c>
      <c r="W26" s="16">
        <v>25263</v>
      </c>
      <c r="X26" s="16">
        <v>25294</v>
      </c>
      <c r="Y26" s="16">
        <v>25324</v>
      </c>
      <c r="Z26" s="16">
        <v>25355</v>
      </c>
      <c r="AA26" s="16">
        <v>25385</v>
      </c>
      <c r="AB26" s="16">
        <v>25416</v>
      </c>
      <c r="AC26" s="16">
        <v>25447</v>
      </c>
      <c r="AE26" s="36"/>
      <c r="AF26" s="36"/>
      <c r="AG26" s="16" t="s">
        <v>85</v>
      </c>
      <c r="AH26" s="16" t="s">
        <v>86</v>
      </c>
      <c r="AI26" s="16" t="s">
        <v>85</v>
      </c>
      <c r="AJ26" s="16" t="s">
        <v>86</v>
      </c>
      <c r="AK26" s="16" t="s">
        <v>85</v>
      </c>
      <c r="AL26" s="16" t="s">
        <v>86</v>
      </c>
      <c r="AM26" s="16" t="s">
        <v>85</v>
      </c>
      <c r="AN26" s="16" t="s">
        <v>86</v>
      </c>
      <c r="AO26" s="16" t="s">
        <v>85</v>
      </c>
      <c r="AP26" s="16" t="s">
        <v>86</v>
      </c>
      <c r="AQ26" s="16" t="s">
        <v>85</v>
      </c>
      <c r="AR26" s="16" t="s">
        <v>86</v>
      </c>
      <c r="AS26" s="16" t="s">
        <v>85</v>
      </c>
      <c r="AT26" s="16" t="s">
        <v>86</v>
      </c>
      <c r="AU26" s="16" t="s">
        <v>85</v>
      </c>
      <c r="AV26" s="16" t="s">
        <v>86</v>
      </c>
      <c r="AW26" s="16" t="s">
        <v>85</v>
      </c>
      <c r="AX26" s="16" t="s">
        <v>86</v>
      </c>
      <c r="AY26" s="16" t="s">
        <v>85</v>
      </c>
      <c r="AZ26" s="16" t="s">
        <v>86</v>
      </c>
      <c r="BA26" s="16" t="s">
        <v>85</v>
      </c>
      <c r="BB26" s="16" t="s">
        <v>86</v>
      </c>
      <c r="BC26" s="16" t="s">
        <v>85</v>
      </c>
      <c r="BD26" s="16" t="s">
        <v>86</v>
      </c>
    </row>
    <row r="27" spans="1:56">
      <c r="A27" s="17">
        <v>1</v>
      </c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6"/>
      <c r="P27" s="17">
        <v>1</v>
      </c>
      <c r="Q27" s="18" t="s">
        <v>18</v>
      </c>
      <c r="R27" s="19">
        <v>1687812</v>
      </c>
      <c r="S27" s="19">
        <v>1687812</v>
      </c>
      <c r="T27" s="19">
        <v>1687812</v>
      </c>
      <c r="U27" s="19"/>
      <c r="V27" s="19"/>
      <c r="W27" s="19"/>
      <c r="X27" s="19"/>
      <c r="Y27" s="19"/>
      <c r="Z27" s="19"/>
      <c r="AA27" s="19"/>
      <c r="AB27" s="19"/>
      <c r="AC27" s="19"/>
      <c r="AE27" s="17">
        <v>1</v>
      </c>
      <c r="AF27" s="18" t="s">
        <v>18</v>
      </c>
      <c r="AG27" s="19">
        <f t="shared" ref="AG27:AG41" si="52">+C27-R27</f>
        <v>-1687812</v>
      </c>
      <c r="AH27" s="19" t="e">
        <f t="shared" ref="AH27:AH41" si="53">+AG27/C27*100</f>
        <v>#DIV/0!</v>
      </c>
      <c r="AI27" s="19">
        <f t="shared" ref="AI27:AI41" si="54">+D27-S27</f>
        <v>-1687812</v>
      </c>
      <c r="AJ27" s="19" t="e">
        <f t="shared" ref="AJ27:AJ41" si="55">+AI27/D27*100</f>
        <v>#DIV/0!</v>
      </c>
      <c r="AK27" s="19">
        <f t="shared" ref="AK27:AK41" si="56">+E27-T27</f>
        <v>-1687812</v>
      </c>
      <c r="AL27" s="19" t="e">
        <f t="shared" ref="AL27:AL41" si="57">+AK27/E27*100</f>
        <v>#DIV/0!</v>
      </c>
      <c r="AM27" s="19">
        <f t="shared" ref="AM27:AM41" si="58">+F27-U27</f>
        <v>0</v>
      </c>
      <c r="AN27" s="19" t="e">
        <f t="shared" ref="AN27:AN41" si="59">+AM27/F27*100</f>
        <v>#DIV/0!</v>
      </c>
      <c r="AO27" s="19">
        <f t="shared" ref="AO27:AO41" si="60">+G27-V27</f>
        <v>0</v>
      </c>
      <c r="AP27" s="19" t="e">
        <f t="shared" ref="AP27:AP41" si="61">+AO27/G27*100</f>
        <v>#DIV/0!</v>
      </c>
      <c r="AQ27" s="19">
        <f t="shared" ref="AQ27:AQ41" si="62">+H27-W27</f>
        <v>0</v>
      </c>
      <c r="AR27" s="19" t="e">
        <f t="shared" ref="AR27:AR41" si="63">+AQ27/H27*100</f>
        <v>#DIV/0!</v>
      </c>
      <c r="AS27" s="19">
        <f t="shared" ref="AS27:AS41" si="64">+I27-X27</f>
        <v>0</v>
      </c>
      <c r="AT27" s="19" t="e">
        <f t="shared" ref="AT27:AT41" si="65">+AS27/I27*100</f>
        <v>#DIV/0!</v>
      </c>
      <c r="AU27" s="19">
        <f t="shared" ref="AU27:AU41" si="66">+J27-Y27</f>
        <v>0</v>
      </c>
      <c r="AV27" s="19" t="e">
        <f t="shared" ref="AV27:AV41" si="67">+AU27/J27*100</f>
        <v>#DIV/0!</v>
      </c>
      <c r="AW27" s="19">
        <f t="shared" ref="AW27:AW41" si="68">+K27-Z27</f>
        <v>0</v>
      </c>
      <c r="AX27" s="19" t="e">
        <f t="shared" ref="AX27:AX41" si="69">+AW27/K27*100</f>
        <v>#DIV/0!</v>
      </c>
      <c r="AY27" s="19">
        <f t="shared" ref="AY27:AY41" si="70">+L27-AA27</f>
        <v>0</v>
      </c>
      <c r="AZ27" s="19" t="e">
        <f t="shared" ref="AZ27:AZ41" si="71">+AY27/L27*100</f>
        <v>#DIV/0!</v>
      </c>
      <c r="BA27" s="19">
        <f t="shared" ref="BA27:BA41" si="72">+M27-AB27</f>
        <v>0</v>
      </c>
      <c r="BB27" s="19" t="e">
        <f t="shared" ref="BB27:BB41" si="73">+BA27/M27*100</f>
        <v>#DIV/0!</v>
      </c>
      <c r="BC27" s="19">
        <f t="shared" ref="BC27:BC41" si="74">+N27-AC27</f>
        <v>0</v>
      </c>
      <c r="BD27" s="19" t="e">
        <f t="shared" ref="BD27:BD41" si="75">+BC27/N27*100</f>
        <v>#DIV/0!</v>
      </c>
    </row>
    <row r="28" spans="1:56">
      <c r="A28" s="17">
        <v>2</v>
      </c>
      <c r="B28" s="18" t="s">
        <v>20</v>
      </c>
      <c r="C28" s="19">
        <v>2495000</v>
      </c>
      <c r="D28" s="19">
        <v>2495000</v>
      </c>
      <c r="E28" s="19">
        <v>2495000</v>
      </c>
      <c r="F28" s="19"/>
      <c r="G28" s="19"/>
      <c r="H28" s="19"/>
      <c r="I28" s="19"/>
      <c r="J28" s="19"/>
      <c r="K28" s="19"/>
      <c r="L28" s="19"/>
      <c r="M28" s="19"/>
      <c r="N28" s="19"/>
      <c r="O28" s="26"/>
      <c r="P28" s="17">
        <v>2</v>
      </c>
      <c r="Q28" s="18" t="s">
        <v>20</v>
      </c>
      <c r="R28" s="19">
        <v>4957500</v>
      </c>
      <c r="S28" s="19">
        <v>4957500</v>
      </c>
      <c r="T28" s="19">
        <v>4957500</v>
      </c>
      <c r="U28" s="19"/>
      <c r="V28" s="19"/>
      <c r="W28" s="19"/>
      <c r="X28" s="19"/>
      <c r="Y28" s="19"/>
      <c r="Z28" s="19"/>
      <c r="AA28" s="19"/>
      <c r="AB28" s="19"/>
      <c r="AC28" s="19"/>
      <c r="AE28" s="17">
        <v>2</v>
      </c>
      <c r="AF28" s="18" t="s">
        <v>20</v>
      </c>
      <c r="AG28" s="19">
        <f t="shared" si="52"/>
        <v>-2462500</v>
      </c>
      <c r="AH28" s="19">
        <f t="shared" si="53"/>
        <v>-98.697394789579164</v>
      </c>
      <c r="AI28" s="19">
        <f t="shared" si="54"/>
        <v>-2462500</v>
      </c>
      <c r="AJ28" s="19">
        <f t="shared" si="55"/>
        <v>-98.697394789579164</v>
      </c>
      <c r="AK28" s="19">
        <f t="shared" si="56"/>
        <v>-2462500</v>
      </c>
      <c r="AL28" s="19">
        <f t="shared" si="57"/>
        <v>-98.697394789579164</v>
      </c>
      <c r="AM28" s="19">
        <f t="shared" si="58"/>
        <v>0</v>
      </c>
      <c r="AN28" s="19" t="e">
        <f t="shared" si="59"/>
        <v>#DIV/0!</v>
      </c>
      <c r="AO28" s="19">
        <f t="shared" si="60"/>
        <v>0</v>
      </c>
      <c r="AP28" s="19" t="e">
        <f t="shared" si="61"/>
        <v>#DIV/0!</v>
      </c>
      <c r="AQ28" s="19">
        <f t="shared" si="62"/>
        <v>0</v>
      </c>
      <c r="AR28" s="19" t="e">
        <f t="shared" si="63"/>
        <v>#DIV/0!</v>
      </c>
      <c r="AS28" s="19">
        <f t="shared" si="64"/>
        <v>0</v>
      </c>
      <c r="AT28" s="19" t="e">
        <f t="shared" si="65"/>
        <v>#DIV/0!</v>
      </c>
      <c r="AU28" s="19">
        <f t="shared" si="66"/>
        <v>0</v>
      </c>
      <c r="AV28" s="19" t="e">
        <f t="shared" si="67"/>
        <v>#DIV/0!</v>
      </c>
      <c r="AW28" s="19">
        <f t="shared" si="68"/>
        <v>0</v>
      </c>
      <c r="AX28" s="19" t="e">
        <f t="shared" si="69"/>
        <v>#DIV/0!</v>
      </c>
      <c r="AY28" s="19">
        <f t="shared" si="70"/>
        <v>0</v>
      </c>
      <c r="AZ28" s="19" t="e">
        <f t="shared" si="71"/>
        <v>#DIV/0!</v>
      </c>
      <c r="BA28" s="19">
        <f t="shared" si="72"/>
        <v>0</v>
      </c>
      <c r="BB28" s="19" t="e">
        <f t="shared" si="73"/>
        <v>#DIV/0!</v>
      </c>
      <c r="BC28" s="19">
        <f t="shared" si="74"/>
        <v>0</v>
      </c>
      <c r="BD28" s="19" t="e">
        <f t="shared" si="75"/>
        <v>#DIV/0!</v>
      </c>
    </row>
    <row r="29" spans="1:56">
      <c r="A29" s="17">
        <v>3</v>
      </c>
      <c r="B29" s="18" t="s">
        <v>22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26"/>
      <c r="P29" s="17">
        <v>3</v>
      </c>
      <c r="Q29" s="18" t="s">
        <v>22</v>
      </c>
      <c r="R29" s="19">
        <v>91800</v>
      </c>
      <c r="S29" s="19">
        <v>91800</v>
      </c>
      <c r="T29" s="19">
        <v>91800</v>
      </c>
      <c r="U29" s="19"/>
      <c r="V29" s="19"/>
      <c r="W29" s="19"/>
      <c r="X29" s="19"/>
      <c r="Y29" s="19"/>
      <c r="Z29" s="19"/>
      <c r="AA29" s="19"/>
      <c r="AB29" s="19"/>
      <c r="AC29" s="19"/>
      <c r="AE29" s="17">
        <v>3</v>
      </c>
      <c r="AF29" s="18" t="s">
        <v>22</v>
      </c>
      <c r="AG29" s="19">
        <f t="shared" si="52"/>
        <v>-91800</v>
      </c>
      <c r="AH29" s="19" t="e">
        <f t="shared" si="53"/>
        <v>#DIV/0!</v>
      </c>
      <c r="AI29" s="19">
        <f t="shared" si="54"/>
        <v>-91800</v>
      </c>
      <c r="AJ29" s="19" t="e">
        <f t="shared" si="55"/>
        <v>#DIV/0!</v>
      </c>
      <c r="AK29" s="19">
        <f t="shared" si="56"/>
        <v>-91800</v>
      </c>
      <c r="AL29" s="19" t="e">
        <f t="shared" si="57"/>
        <v>#DIV/0!</v>
      </c>
      <c r="AM29" s="19">
        <f t="shared" si="58"/>
        <v>0</v>
      </c>
      <c r="AN29" s="19" t="e">
        <f t="shared" si="59"/>
        <v>#DIV/0!</v>
      </c>
      <c r="AO29" s="19">
        <f t="shared" si="60"/>
        <v>0</v>
      </c>
      <c r="AP29" s="19" t="e">
        <f t="shared" si="61"/>
        <v>#DIV/0!</v>
      </c>
      <c r="AQ29" s="19">
        <f t="shared" si="62"/>
        <v>0</v>
      </c>
      <c r="AR29" s="19" t="e">
        <f t="shared" si="63"/>
        <v>#DIV/0!</v>
      </c>
      <c r="AS29" s="19">
        <f t="shared" si="64"/>
        <v>0</v>
      </c>
      <c r="AT29" s="19" t="e">
        <f t="shared" si="65"/>
        <v>#DIV/0!</v>
      </c>
      <c r="AU29" s="19">
        <f t="shared" si="66"/>
        <v>0</v>
      </c>
      <c r="AV29" s="19" t="e">
        <f t="shared" si="67"/>
        <v>#DIV/0!</v>
      </c>
      <c r="AW29" s="19">
        <f t="shared" si="68"/>
        <v>0</v>
      </c>
      <c r="AX29" s="19" t="e">
        <f t="shared" si="69"/>
        <v>#DIV/0!</v>
      </c>
      <c r="AY29" s="19">
        <f t="shared" si="70"/>
        <v>0</v>
      </c>
      <c r="AZ29" s="19" t="e">
        <f t="shared" si="71"/>
        <v>#DIV/0!</v>
      </c>
      <c r="BA29" s="19">
        <f t="shared" si="72"/>
        <v>0</v>
      </c>
      <c r="BB29" s="19" t="e">
        <f t="shared" si="73"/>
        <v>#DIV/0!</v>
      </c>
      <c r="BC29" s="19">
        <f t="shared" si="74"/>
        <v>0</v>
      </c>
      <c r="BD29" s="19" t="e">
        <f t="shared" si="75"/>
        <v>#DIV/0!</v>
      </c>
    </row>
    <row r="30" spans="1:56">
      <c r="A30" s="17">
        <v>4</v>
      </c>
      <c r="B30" s="18" t="s">
        <v>24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6"/>
      <c r="P30" s="17">
        <v>4</v>
      </c>
      <c r="Q30" s="18" t="s">
        <v>24</v>
      </c>
      <c r="R30" s="19">
        <v>350580</v>
      </c>
      <c r="S30" s="19">
        <v>350580</v>
      </c>
      <c r="T30" s="19">
        <v>350580</v>
      </c>
      <c r="U30" s="19"/>
      <c r="V30" s="19"/>
      <c r="W30" s="19"/>
      <c r="X30" s="19"/>
      <c r="Y30" s="19"/>
      <c r="Z30" s="19"/>
      <c r="AA30" s="19"/>
      <c r="AB30" s="19"/>
      <c r="AC30" s="19"/>
      <c r="AE30" s="17">
        <v>4</v>
      </c>
      <c r="AF30" s="18" t="s">
        <v>24</v>
      </c>
      <c r="AG30" s="19">
        <f t="shared" si="52"/>
        <v>-350580</v>
      </c>
      <c r="AH30" s="19" t="e">
        <f t="shared" si="53"/>
        <v>#DIV/0!</v>
      </c>
      <c r="AI30" s="19">
        <f t="shared" si="54"/>
        <v>-350580</v>
      </c>
      <c r="AJ30" s="19" t="e">
        <f t="shared" si="55"/>
        <v>#DIV/0!</v>
      </c>
      <c r="AK30" s="19">
        <f t="shared" si="56"/>
        <v>-350580</v>
      </c>
      <c r="AL30" s="19" t="e">
        <f t="shared" si="57"/>
        <v>#DIV/0!</v>
      </c>
      <c r="AM30" s="19">
        <f t="shared" si="58"/>
        <v>0</v>
      </c>
      <c r="AN30" s="19" t="e">
        <f t="shared" si="59"/>
        <v>#DIV/0!</v>
      </c>
      <c r="AO30" s="19">
        <f t="shared" si="60"/>
        <v>0</v>
      </c>
      <c r="AP30" s="19" t="e">
        <f t="shared" si="61"/>
        <v>#DIV/0!</v>
      </c>
      <c r="AQ30" s="19">
        <f t="shared" si="62"/>
        <v>0</v>
      </c>
      <c r="AR30" s="19" t="e">
        <f t="shared" si="63"/>
        <v>#DIV/0!</v>
      </c>
      <c r="AS30" s="19">
        <f t="shared" si="64"/>
        <v>0</v>
      </c>
      <c r="AT30" s="19" t="e">
        <f t="shared" si="65"/>
        <v>#DIV/0!</v>
      </c>
      <c r="AU30" s="19">
        <f t="shared" si="66"/>
        <v>0</v>
      </c>
      <c r="AV30" s="19" t="e">
        <f t="shared" si="67"/>
        <v>#DIV/0!</v>
      </c>
      <c r="AW30" s="19">
        <f t="shared" si="68"/>
        <v>0</v>
      </c>
      <c r="AX30" s="19" t="e">
        <f t="shared" si="69"/>
        <v>#DIV/0!</v>
      </c>
      <c r="AY30" s="19">
        <f t="shared" si="70"/>
        <v>0</v>
      </c>
      <c r="AZ30" s="19" t="e">
        <f t="shared" si="71"/>
        <v>#DIV/0!</v>
      </c>
      <c r="BA30" s="19">
        <f t="shared" si="72"/>
        <v>0</v>
      </c>
      <c r="BB30" s="19" t="e">
        <f t="shared" si="73"/>
        <v>#DIV/0!</v>
      </c>
      <c r="BC30" s="19">
        <f t="shared" si="74"/>
        <v>0</v>
      </c>
      <c r="BD30" s="19" t="e">
        <f t="shared" si="75"/>
        <v>#DIV/0!</v>
      </c>
    </row>
    <row r="31" spans="1:56">
      <c r="A31" s="17">
        <v>5</v>
      </c>
      <c r="B31" s="18" t="s">
        <v>26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6"/>
      <c r="P31" s="17">
        <v>5</v>
      </c>
      <c r="Q31" s="18" t="s">
        <v>26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E31" s="17">
        <v>5</v>
      </c>
      <c r="AF31" s="18" t="s">
        <v>26</v>
      </c>
      <c r="AG31" s="19">
        <f t="shared" si="52"/>
        <v>0</v>
      </c>
      <c r="AH31" s="19" t="e">
        <f t="shared" si="53"/>
        <v>#DIV/0!</v>
      </c>
      <c r="AI31" s="19">
        <f t="shared" si="54"/>
        <v>0</v>
      </c>
      <c r="AJ31" s="19" t="e">
        <f t="shared" si="55"/>
        <v>#DIV/0!</v>
      </c>
      <c r="AK31" s="19">
        <f t="shared" si="56"/>
        <v>0</v>
      </c>
      <c r="AL31" s="19" t="e">
        <f t="shared" si="57"/>
        <v>#DIV/0!</v>
      </c>
      <c r="AM31" s="19">
        <f t="shared" si="58"/>
        <v>0</v>
      </c>
      <c r="AN31" s="19" t="e">
        <f t="shared" si="59"/>
        <v>#DIV/0!</v>
      </c>
      <c r="AO31" s="19">
        <f t="shared" si="60"/>
        <v>0</v>
      </c>
      <c r="AP31" s="19" t="e">
        <f t="shared" si="61"/>
        <v>#DIV/0!</v>
      </c>
      <c r="AQ31" s="19">
        <f t="shared" si="62"/>
        <v>0</v>
      </c>
      <c r="AR31" s="19" t="e">
        <f t="shared" si="63"/>
        <v>#DIV/0!</v>
      </c>
      <c r="AS31" s="19">
        <f t="shared" si="64"/>
        <v>0</v>
      </c>
      <c r="AT31" s="19" t="e">
        <f t="shared" si="65"/>
        <v>#DIV/0!</v>
      </c>
      <c r="AU31" s="19">
        <f t="shared" si="66"/>
        <v>0</v>
      </c>
      <c r="AV31" s="19" t="e">
        <f t="shared" si="67"/>
        <v>#DIV/0!</v>
      </c>
      <c r="AW31" s="19">
        <f t="shared" si="68"/>
        <v>0</v>
      </c>
      <c r="AX31" s="19" t="e">
        <f t="shared" si="69"/>
        <v>#DIV/0!</v>
      </c>
      <c r="AY31" s="19">
        <f t="shared" si="70"/>
        <v>0</v>
      </c>
      <c r="AZ31" s="19" t="e">
        <f t="shared" si="71"/>
        <v>#DIV/0!</v>
      </c>
      <c r="BA31" s="19">
        <f t="shared" si="72"/>
        <v>0</v>
      </c>
      <c r="BB31" s="19" t="e">
        <f t="shared" si="73"/>
        <v>#DIV/0!</v>
      </c>
      <c r="BC31" s="19">
        <f t="shared" si="74"/>
        <v>0</v>
      </c>
      <c r="BD31" s="19" t="e">
        <f t="shared" si="75"/>
        <v>#DIV/0!</v>
      </c>
    </row>
    <row r="32" spans="1:56">
      <c r="A32" s="17">
        <v>6</v>
      </c>
      <c r="B32" s="18" t="s">
        <v>28</v>
      </c>
      <c r="C32" s="19">
        <v>10103033</v>
      </c>
      <c r="D32" s="19">
        <v>10103033</v>
      </c>
      <c r="E32" s="19">
        <v>10103033</v>
      </c>
      <c r="F32" s="19"/>
      <c r="G32" s="19"/>
      <c r="H32" s="19"/>
      <c r="I32" s="19"/>
      <c r="J32" s="19"/>
      <c r="K32" s="19"/>
      <c r="L32" s="19"/>
      <c r="M32" s="19"/>
      <c r="N32" s="19"/>
      <c r="O32" s="26"/>
      <c r="P32" s="17">
        <v>6</v>
      </c>
      <c r="Q32" s="18" t="s">
        <v>28</v>
      </c>
      <c r="R32" s="19">
        <v>11263378</v>
      </c>
      <c r="S32" s="19">
        <v>11263378</v>
      </c>
      <c r="T32" s="19">
        <v>11263378</v>
      </c>
      <c r="U32" s="19"/>
      <c r="V32" s="19"/>
      <c r="W32" s="19"/>
      <c r="X32" s="19"/>
      <c r="Y32" s="19"/>
      <c r="Z32" s="19"/>
      <c r="AA32" s="19"/>
      <c r="AB32" s="19"/>
      <c r="AC32" s="19"/>
      <c r="AE32" s="17">
        <v>6</v>
      </c>
      <c r="AF32" s="18" t="s">
        <v>28</v>
      </c>
      <c r="AG32" s="19">
        <f t="shared" si="52"/>
        <v>-1160345</v>
      </c>
      <c r="AH32" s="19">
        <f t="shared" si="53"/>
        <v>-11.485115410392106</v>
      </c>
      <c r="AI32" s="19">
        <f t="shared" si="54"/>
        <v>-1160345</v>
      </c>
      <c r="AJ32" s="19">
        <f t="shared" si="55"/>
        <v>-11.485115410392106</v>
      </c>
      <c r="AK32" s="19">
        <f t="shared" si="56"/>
        <v>-1160345</v>
      </c>
      <c r="AL32" s="19">
        <f t="shared" si="57"/>
        <v>-11.485115410392106</v>
      </c>
      <c r="AM32" s="19">
        <f t="shared" si="58"/>
        <v>0</v>
      </c>
      <c r="AN32" s="19" t="e">
        <f t="shared" si="59"/>
        <v>#DIV/0!</v>
      </c>
      <c r="AO32" s="19">
        <f t="shared" si="60"/>
        <v>0</v>
      </c>
      <c r="AP32" s="19" t="e">
        <f t="shared" si="61"/>
        <v>#DIV/0!</v>
      </c>
      <c r="AQ32" s="19">
        <f t="shared" si="62"/>
        <v>0</v>
      </c>
      <c r="AR32" s="19" t="e">
        <f t="shared" si="63"/>
        <v>#DIV/0!</v>
      </c>
      <c r="AS32" s="19">
        <f t="shared" si="64"/>
        <v>0</v>
      </c>
      <c r="AT32" s="19" t="e">
        <f t="shared" si="65"/>
        <v>#DIV/0!</v>
      </c>
      <c r="AU32" s="19">
        <f t="shared" si="66"/>
        <v>0</v>
      </c>
      <c r="AV32" s="19" t="e">
        <f t="shared" si="67"/>
        <v>#DIV/0!</v>
      </c>
      <c r="AW32" s="19">
        <f t="shared" si="68"/>
        <v>0</v>
      </c>
      <c r="AX32" s="19" t="e">
        <f t="shared" si="69"/>
        <v>#DIV/0!</v>
      </c>
      <c r="AY32" s="19">
        <f t="shared" si="70"/>
        <v>0</v>
      </c>
      <c r="AZ32" s="19" t="e">
        <f t="shared" si="71"/>
        <v>#DIV/0!</v>
      </c>
      <c r="BA32" s="19">
        <f t="shared" si="72"/>
        <v>0</v>
      </c>
      <c r="BB32" s="19" t="e">
        <f t="shared" si="73"/>
        <v>#DIV/0!</v>
      </c>
      <c r="BC32" s="19">
        <f t="shared" si="74"/>
        <v>0</v>
      </c>
      <c r="BD32" s="19" t="e">
        <f t="shared" si="75"/>
        <v>#DIV/0!</v>
      </c>
    </row>
    <row r="33" spans="1:56">
      <c r="A33" s="17">
        <v>7</v>
      </c>
      <c r="B33" s="18" t="s">
        <v>30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6"/>
      <c r="P33" s="17">
        <v>7</v>
      </c>
      <c r="Q33" s="18" t="s">
        <v>30</v>
      </c>
      <c r="R33" s="19">
        <v>823990</v>
      </c>
      <c r="S33" s="19">
        <v>823990</v>
      </c>
      <c r="T33" s="19">
        <v>823990</v>
      </c>
      <c r="U33" s="19"/>
      <c r="V33" s="19"/>
      <c r="W33" s="19"/>
      <c r="X33" s="19"/>
      <c r="Y33" s="19"/>
      <c r="Z33" s="19"/>
      <c r="AA33" s="19"/>
      <c r="AB33" s="19"/>
      <c r="AC33" s="19"/>
      <c r="AE33" s="17">
        <v>7</v>
      </c>
      <c r="AF33" s="18" t="s">
        <v>30</v>
      </c>
      <c r="AG33" s="19">
        <f t="shared" si="52"/>
        <v>-823990</v>
      </c>
      <c r="AH33" s="19" t="e">
        <f t="shared" si="53"/>
        <v>#DIV/0!</v>
      </c>
      <c r="AI33" s="19">
        <f t="shared" si="54"/>
        <v>-823990</v>
      </c>
      <c r="AJ33" s="19" t="e">
        <f t="shared" si="55"/>
        <v>#DIV/0!</v>
      </c>
      <c r="AK33" s="19">
        <f t="shared" si="56"/>
        <v>-823990</v>
      </c>
      <c r="AL33" s="19" t="e">
        <f t="shared" si="57"/>
        <v>#DIV/0!</v>
      </c>
      <c r="AM33" s="19">
        <f t="shared" si="58"/>
        <v>0</v>
      </c>
      <c r="AN33" s="19" t="e">
        <f t="shared" si="59"/>
        <v>#DIV/0!</v>
      </c>
      <c r="AO33" s="19">
        <f t="shared" si="60"/>
        <v>0</v>
      </c>
      <c r="AP33" s="19" t="e">
        <f t="shared" si="61"/>
        <v>#DIV/0!</v>
      </c>
      <c r="AQ33" s="19">
        <f t="shared" si="62"/>
        <v>0</v>
      </c>
      <c r="AR33" s="19" t="e">
        <f t="shared" si="63"/>
        <v>#DIV/0!</v>
      </c>
      <c r="AS33" s="19">
        <f t="shared" si="64"/>
        <v>0</v>
      </c>
      <c r="AT33" s="19" t="e">
        <f t="shared" si="65"/>
        <v>#DIV/0!</v>
      </c>
      <c r="AU33" s="19">
        <f t="shared" si="66"/>
        <v>0</v>
      </c>
      <c r="AV33" s="19" t="e">
        <f t="shared" si="67"/>
        <v>#DIV/0!</v>
      </c>
      <c r="AW33" s="19">
        <f t="shared" si="68"/>
        <v>0</v>
      </c>
      <c r="AX33" s="19" t="e">
        <f t="shared" si="69"/>
        <v>#DIV/0!</v>
      </c>
      <c r="AY33" s="19">
        <f t="shared" si="70"/>
        <v>0</v>
      </c>
      <c r="AZ33" s="19" t="e">
        <f t="shared" si="71"/>
        <v>#DIV/0!</v>
      </c>
      <c r="BA33" s="19">
        <f t="shared" si="72"/>
        <v>0</v>
      </c>
      <c r="BB33" s="19" t="e">
        <f t="shared" si="73"/>
        <v>#DIV/0!</v>
      </c>
      <c r="BC33" s="19">
        <f t="shared" si="74"/>
        <v>0</v>
      </c>
      <c r="BD33" s="19" t="e">
        <f t="shared" si="75"/>
        <v>#DIV/0!</v>
      </c>
    </row>
    <row r="34" spans="1:56">
      <c r="A34" s="17">
        <v>8</v>
      </c>
      <c r="B34" s="18" t="s">
        <v>32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6"/>
      <c r="P34" s="17">
        <v>8</v>
      </c>
      <c r="Q34" s="18" t="s">
        <v>32</v>
      </c>
      <c r="R34" s="19">
        <v>205480</v>
      </c>
      <c r="S34" s="19">
        <v>205480</v>
      </c>
      <c r="T34" s="19">
        <v>205480</v>
      </c>
      <c r="U34" s="19"/>
      <c r="V34" s="19"/>
      <c r="W34" s="19"/>
      <c r="X34" s="19"/>
      <c r="Y34" s="19"/>
      <c r="Z34" s="19"/>
      <c r="AA34" s="19"/>
      <c r="AB34" s="19"/>
      <c r="AC34" s="19"/>
      <c r="AE34" s="17">
        <v>8</v>
      </c>
      <c r="AF34" s="18" t="s">
        <v>32</v>
      </c>
      <c r="AG34" s="19">
        <f t="shared" si="52"/>
        <v>-205480</v>
      </c>
      <c r="AH34" s="19" t="e">
        <f t="shared" si="53"/>
        <v>#DIV/0!</v>
      </c>
      <c r="AI34" s="19">
        <f t="shared" si="54"/>
        <v>-205480</v>
      </c>
      <c r="AJ34" s="19" t="e">
        <f t="shared" si="55"/>
        <v>#DIV/0!</v>
      </c>
      <c r="AK34" s="19">
        <f t="shared" si="56"/>
        <v>-205480</v>
      </c>
      <c r="AL34" s="19" t="e">
        <f t="shared" si="57"/>
        <v>#DIV/0!</v>
      </c>
      <c r="AM34" s="19">
        <f t="shared" si="58"/>
        <v>0</v>
      </c>
      <c r="AN34" s="19" t="e">
        <f t="shared" si="59"/>
        <v>#DIV/0!</v>
      </c>
      <c r="AO34" s="19">
        <f t="shared" si="60"/>
        <v>0</v>
      </c>
      <c r="AP34" s="19" t="e">
        <f t="shared" si="61"/>
        <v>#DIV/0!</v>
      </c>
      <c r="AQ34" s="19">
        <f t="shared" si="62"/>
        <v>0</v>
      </c>
      <c r="AR34" s="19" t="e">
        <f t="shared" si="63"/>
        <v>#DIV/0!</v>
      </c>
      <c r="AS34" s="19">
        <f t="shared" si="64"/>
        <v>0</v>
      </c>
      <c r="AT34" s="19" t="e">
        <f t="shared" si="65"/>
        <v>#DIV/0!</v>
      </c>
      <c r="AU34" s="19">
        <f t="shared" si="66"/>
        <v>0</v>
      </c>
      <c r="AV34" s="19" t="e">
        <f t="shared" si="67"/>
        <v>#DIV/0!</v>
      </c>
      <c r="AW34" s="19">
        <f t="shared" si="68"/>
        <v>0</v>
      </c>
      <c r="AX34" s="19" t="e">
        <f t="shared" si="69"/>
        <v>#DIV/0!</v>
      </c>
      <c r="AY34" s="19">
        <f t="shared" si="70"/>
        <v>0</v>
      </c>
      <c r="AZ34" s="19" t="e">
        <f t="shared" si="71"/>
        <v>#DIV/0!</v>
      </c>
      <c r="BA34" s="19">
        <f t="shared" si="72"/>
        <v>0</v>
      </c>
      <c r="BB34" s="19" t="e">
        <f t="shared" si="73"/>
        <v>#DIV/0!</v>
      </c>
      <c r="BC34" s="19">
        <f t="shared" si="74"/>
        <v>0</v>
      </c>
      <c r="BD34" s="19" t="e">
        <f t="shared" si="75"/>
        <v>#DIV/0!</v>
      </c>
    </row>
    <row r="35" spans="1:56">
      <c r="A35" s="17">
        <v>9</v>
      </c>
      <c r="B35" s="18" t="s">
        <v>34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6"/>
      <c r="P35" s="17">
        <v>9</v>
      </c>
      <c r="Q35" s="18" t="s">
        <v>34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E35" s="17">
        <v>9</v>
      </c>
      <c r="AF35" s="18" t="s">
        <v>34</v>
      </c>
      <c r="AG35" s="19">
        <f t="shared" si="52"/>
        <v>0</v>
      </c>
      <c r="AH35" s="19" t="e">
        <f t="shared" si="53"/>
        <v>#DIV/0!</v>
      </c>
      <c r="AI35" s="19">
        <f t="shared" si="54"/>
        <v>0</v>
      </c>
      <c r="AJ35" s="19" t="e">
        <f t="shared" si="55"/>
        <v>#DIV/0!</v>
      </c>
      <c r="AK35" s="19">
        <f t="shared" si="56"/>
        <v>0</v>
      </c>
      <c r="AL35" s="19" t="e">
        <f t="shared" si="57"/>
        <v>#DIV/0!</v>
      </c>
      <c r="AM35" s="19">
        <f t="shared" si="58"/>
        <v>0</v>
      </c>
      <c r="AN35" s="19" t="e">
        <f t="shared" si="59"/>
        <v>#DIV/0!</v>
      </c>
      <c r="AO35" s="19">
        <f t="shared" si="60"/>
        <v>0</v>
      </c>
      <c r="AP35" s="19" t="e">
        <f t="shared" si="61"/>
        <v>#DIV/0!</v>
      </c>
      <c r="AQ35" s="19">
        <f t="shared" si="62"/>
        <v>0</v>
      </c>
      <c r="AR35" s="19" t="e">
        <f t="shared" si="63"/>
        <v>#DIV/0!</v>
      </c>
      <c r="AS35" s="19">
        <f t="shared" si="64"/>
        <v>0</v>
      </c>
      <c r="AT35" s="19" t="e">
        <f t="shared" si="65"/>
        <v>#DIV/0!</v>
      </c>
      <c r="AU35" s="19">
        <f t="shared" si="66"/>
        <v>0</v>
      </c>
      <c r="AV35" s="19" t="e">
        <f t="shared" si="67"/>
        <v>#DIV/0!</v>
      </c>
      <c r="AW35" s="19">
        <f t="shared" si="68"/>
        <v>0</v>
      </c>
      <c r="AX35" s="19" t="e">
        <f t="shared" si="69"/>
        <v>#DIV/0!</v>
      </c>
      <c r="AY35" s="19">
        <f t="shared" si="70"/>
        <v>0</v>
      </c>
      <c r="AZ35" s="19" t="e">
        <f t="shared" si="71"/>
        <v>#DIV/0!</v>
      </c>
      <c r="BA35" s="19">
        <f t="shared" si="72"/>
        <v>0</v>
      </c>
      <c r="BB35" s="19" t="e">
        <f t="shared" si="73"/>
        <v>#DIV/0!</v>
      </c>
      <c r="BC35" s="19">
        <f t="shared" si="74"/>
        <v>0</v>
      </c>
      <c r="BD35" s="19" t="e">
        <f t="shared" si="75"/>
        <v>#DIV/0!</v>
      </c>
    </row>
    <row r="36" spans="1:56">
      <c r="A36" s="17">
        <v>10</v>
      </c>
      <c r="B36" s="18" t="s">
        <v>36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6"/>
      <c r="P36" s="17">
        <v>10</v>
      </c>
      <c r="Q36" s="18" t="s">
        <v>36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E36" s="17">
        <v>10</v>
      </c>
      <c r="AF36" s="18" t="s">
        <v>36</v>
      </c>
      <c r="AG36" s="19">
        <f t="shared" si="52"/>
        <v>0</v>
      </c>
      <c r="AH36" s="19" t="e">
        <f t="shared" si="53"/>
        <v>#DIV/0!</v>
      </c>
      <c r="AI36" s="19">
        <f t="shared" si="54"/>
        <v>0</v>
      </c>
      <c r="AJ36" s="19" t="e">
        <f t="shared" si="55"/>
        <v>#DIV/0!</v>
      </c>
      <c r="AK36" s="19">
        <f t="shared" si="56"/>
        <v>0</v>
      </c>
      <c r="AL36" s="19" t="e">
        <f t="shared" si="57"/>
        <v>#DIV/0!</v>
      </c>
      <c r="AM36" s="19">
        <f t="shared" si="58"/>
        <v>0</v>
      </c>
      <c r="AN36" s="19" t="e">
        <f t="shared" si="59"/>
        <v>#DIV/0!</v>
      </c>
      <c r="AO36" s="19">
        <f t="shared" si="60"/>
        <v>0</v>
      </c>
      <c r="AP36" s="19" t="e">
        <f t="shared" si="61"/>
        <v>#DIV/0!</v>
      </c>
      <c r="AQ36" s="19">
        <f t="shared" si="62"/>
        <v>0</v>
      </c>
      <c r="AR36" s="19" t="e">
        <f t="shared" si="63"/>
        <v>#DIV/0!</v>
      </c>
      <c r="AS36" s="19">
        <f t="shared" si="64"/>
        <v>0</v>
      </c>
      <c r="AT36" s="19" t="e">
        <f t="shared" si="65"/>
        <v>#DIV/0!</v>
      </c>
      <c r="AU36" s="19">
        <f t="shared" si="66"/>
        <v>0</v>
      </c>
      <c r="AV36" s="19" t="e">
        <f t="shared" si="67"/>
        <v>#DIV/0!</v>
      </c>
      <c r="AW36" s="19">
        <f t="shared" si="68"/>
        <v>0</v>
      </c>
      <c r="AX36" s="19" t="e">
        <f t="shared" si="69"/>
        <v>#DIV/0!</v>
      </c>
      <c r="AY36" s="19">
        <f t="shared" si="70"/>
        <v>0</v>
      </c>
      <c r="AZ36" s="19" t="e">
        <f t="shared" si="71"/>
        <v>#DIV/0!</v>
      </c>
      <c r="BA36" s="19">
        <f t="shared" si="72"/>
        <v>0</v>
      </c>
      <c r="BB36" s="19" t="e">
        <f t="shared" si="73"/>
        <v>#DIV/0!</v>
      </c>
      <c r="BC36" s="19">
        <f t="shared" si="74"/>
        <v>0</v>
      </c>
      <c r="BD36" s="19" t="e">
        <f t="shared" si="75"/>
        <v>#DIV/0!</v>
      </c>
    </row>
    <row r="37" spans="1:56">
      <c r="A37" s="17">
        <v>11</v>
      </c>
      <c r="B37" s="18" t="s">
        <v>38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6"/>
      <c r="P37" s="17">
        <v>11</v>
      </c>
      <c r="Q37" s="18" t="s">
        <v>38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E37" s="17">
        <v>11</v>
      </c>
      <c r="AF37" s="18" t="s">
        <v>38</v>
      </c>
      <c r="AG37" s="19">
        <f t="shared" si="52"/>
        <v>0</v>
      </c>
      <c r="AH37" s="19" t="e">
        <f t="shared" si="53"/>
        <v>#DIV/0!</v>
      </c>
      <c r="AI37" s="19">
        <f t="shared" si="54"/>
        <v>0</v>
      </c>
      <c r="AJ37" s="19" t="e">
        <f t="shared" si="55"/>
        <v>#DIV/0!</v>
      </c>
      <c r="AK37" s="19">
        <f t="shared" si="56"/>
        <v>0</v>
      </c>
      <c r="AL37" s="19" t="e">
        <f t="shared" si="57"/>
        <v>#DIV/0!</v>
      </c>
      <c r="AM37" s="19">
        <f t="shared" si="58"/>
        <v>0</v>
      </c>
      <c r="AN37" s="19" t="e">
        <f t="shared" si="59"/>
        <v>#DIV/0!</v>
      </c>
      <c r="AO37" s="19">
        <f t="shared" si="60"/>
        <v>0</v>
      </c>
      <c r="AP37" s="19" t="e">
        <f t="shared" si="61"/>
        <v>#DIV/0!</v>
      </c>
      <c r="AQ37" s="19">
        <f t="shared" si="62"/>
        <v>0</v>
      </c>
      <c r="AR37" s="19" t="e">
        <f t="shared" si="63"/>
        <v>#DIV/0!</v>
      </c>
      <c r="AS37" s="19">
        <f t="shared" si="64"/>
        <v>0</v>
      </c>
      <c r="AT37" s="19" t="e">
        <f t="shared" si="65"/>
        <v>#DIV/0!</v>
      </c>
      <c r="AU37" s="19">
        <f t="shared" si="66"/>
        <v>0</v>
      </c>
      <c r="AV37" s="19" t="e">
        <f t="shared" si="67"/>
        <v>#DIV/0!</v>
      </c>
      <c r="AW37" s="19">
        <f t="shared" si="68"/>
        <v>0</v>
      </c>
      <c r="AX37" s="19" t="e">
        <f t="shared" si="69"/>
        <v>#DIV/0!</v>
      </c>
      <c r="AY37" s="19">
        <f t="shared" si="70"/>
        <v>0</v>
      </c>
      <c r="AZ37" s="19" t="e">
        <f t="shared" si="71"/>
        <v>#DIV/0!</v>
      </c>
      <c r="BA37" s="19">
        <f t="shared" si="72"/>
        <v>0</v>
      </c>
      <c r="BB37" s="19" t="e">
        <f t="shared" si="73"/>
        <v>#DIV/0!</v>
      </c>
      <c r="BC37" s="19">
        <f t="shared" si="74"/>
        <v>0</v>
      </c>
      <c r="BD37" s="19" t="e">
        <f t="shared" si="75"/>
        <v>#DIV/0!</v>
      </c>
    </row>
    <row r="38" spans="1:56">
      <c r="A38" s="17">
        <v>12</v>
      </c>
      <c r="B38" s="18" t="s">
        <v>40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6"/>
      <c r="P38" s="17">
        <v>12</v>
      </c>
      <c r="Q38" s="18" t="s">
        <v>40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E38" s="17">
        <v>12</v>
      </c>
      <c r="AF38" s="18" t="s">
        <v>40</v>
      </c>
      <c r="AG38" s="19">
        <f t="shared" si="52"/>
        <v>0</v>
      </c>
      <c r="AH38" s="19" t="e">
        <f t="shared" si="53"/>
        <v>#DIV/0!</v>
      </c>
      <c r="AI38" s="19">
        <f t="shared" si="54"/>
        <v>0</v>
      </c>
      <c r="AJ38" s="19" t="e">
        <f t="shared" si="55"/>
        <v>#DIV/0!</v>
      </c>
      <c r="AK38" s="19">
        <f t="shared" si="56"/>
        <v>0</v>
      </c>
      <c r="AL38" s="19" t="e">
        <f t="shared" si="57"/>
        <v>#DIV/0!</v>
      </c>
      <c r="AM38" s="19">
        <f t="shared" si="58"/>
        <v>0</v>
      </c>
      <c r="AN38" s="19" t="e">
        <f t="shared" si="59"/>
        <v>#DIV/0!</v>
      </c>
      <c r="AO38" s="19">
        <f t="shared" si="60"/>
        <v>0</v>
      </c>
      <c r="AP38" s="19" t="e">
        <f t="shared" si="61"/>
        <v>#DIV/0!</v>
      </c>
      <c r="AQ38" s="19">
        <f t="shared" si="62"/>
        <v>0</v>
      </c>
      <c r="AR38" s="19" t="e">
        <f t="shared" si="63"/>
        <v>#DIV/0!</v>
      </c>
      <c r="AS38" s="19">
        <f t="shared" si="64"/>
        <v>0</v>
      </c>
      <c r="AT38" s="19" t="e">
        <f t="shared" si="65"/>
        <v>#DIV/0!</v>
      </c>
      <c r="AU38" s="19">
        <f t="shared" si="66"/>
        <v>0</v>
      </c>
      <c r="AV38" s="19" t="e">
        <f t="shared" si="67"/>
        <v>#DIV/0!</v>
      </c>
      <c r="AW38" s="19">
        <f t="shared" si="68"/>
        <v>0</v>
      </c>
      <c r="AX38" s="19" t="e">
        <f t="shared" si="69"/>
        <v>#DIV/0!</v>
      </c>
      <c r="AY38" s="19">
        <f t="shared" si="70"/>
        <v>0</v>
      </c>
      <c r="AZ38" s="19" t="e">
        <f t="shared" si="71"/>
        <v>#DIV/0!</v>
      </c>
      <c r="BA38" s="19">
        <f t="shared" si="72"/>
        <v>0</v>
      </c>
      <c r="BB38" s="19" t="e">
        <f t="shared" si="73"/>
        <v>#DIV/0!</v>
      </c>
      <c r="BC38" s="19">
        <f t="shared" si="74"/>
        <v>0</v>
      </c>
      <c r="BD38" s="19" t="e">
        <f t="shared" si="75"/>
        <v>#DIV/0!</v>
      </c>
    </row>
    <row r="39" spans="1:56">
      <c r="A39" s="17">
        <v>13</v>
      </c>
      <c r="B39" s="18" t="s">
        <v>42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6"/>
      <c r="P39" s="17">
        <v>13</v>
      </c>
      <c r="Q39" s="18" t="s">
        <v>42</v>
      </c>
      <c r="R39" s="19">
        <f>62705+40150</f>
        <v>102855</v>
      </c>
      <c r="S39" s="19">
        <f>62705+40150</f>
        <v>102855</v>
      </c>
      <c r="T39" s="19">
        <f>62705+40150</f>
        <v>102855</v>
      </c>
      <c r="U39" s="19"/>
      <c r="V39" s="19"/>
      <c r="W39" s="19"/>
      <c r="X39" s="19"/>
      <c r="Y39" s="19"/>
      <c r="Z39" s="19"/>
      <c r="AA39" s="19"/>
      <c r="AB39" s="19"/>
      <c r="AC39" s="19"/>
      <c r="AE39" s="17">
        <v>13</v>
      </c>
      <c r="AF39" s="18" t="s">
        <v>42</v>
      </c>
      <c r="AG39" s="19">
        <f t="shared" si="52"/>
        <v>-102855</v>
      </c>
      <c r="AH39" s="19" t="e">
        <f t="shared" si="53"/>
        <v>#DIV/0!</v>
      </c>
      <c r="AI39" s="19">
        <f t="shared" si="54"/>
        <v>-102855</v>
      </c>
      <c r="AJ39" s="19" t="e">
        <f t="shared" si="55"/>
        <v>#DIV/0!</v>
      </c>
      <c r="AK39" s="19">
        <f t="shared" si="56"/>
        <v>-102855</v>
      </c>
      <c r="AL39" s="19" t="e">
        <f t="shared" si="57"/>
        <v>#DIV/0!</v>
      </c>
      <c r="AM39" s="19">
        <f t="shared" si="58"/>
        <v>0</v>
      </c>
      <c r="AN39" s="19" t="e">
        <f t="shared" si="59"/>
        <v>#DIV/0!</v>
      </c>
      <c r="AO39" s="19">
        <f t="shared" si="60"/>
        <v>0</v>
      </c>
      <c r="AP39" s="19" t="e">
        <f t="shared" si="61"/>
        <v>#DIV/0!</v>
      </c>
      <c r="AQ39" s="19">
        <f t="shared" si="62"/>
        <v>0</v>
      </c>
      <c r="AR39" s="19" t="e">
        <f t="shared" si="63"/>
        <v>#DIV/0!</v>
      </c>
      <c r="AS39" s="19">
        <f t="shared" si="64"/>
        <v>0</v>
      </c>
      <c r="AT39" s="19" t="e">
        <f t="shared" si="65"/>
        <v>#DIV/0!</v>
      </c>
      <c r="AU39" s="19">
        <f t="shared" si="66"/>
        <v>0</v>
      </c>
      <c r="AV39" s="19" t="e">
        <f t="shared" si="67"/>
        <v>#DIV/0!</v>
      </c>
      <c r="AW39" s="19">
        <f t="shared" si="68"/>
        <v>0</v>
      </c>
      <c r="AX39" s="19" t="e">
        <f t="shared" si="69"/>
        <v>#DIV/0!</v>
      </c>
      <c r="AY39" s="19">
        <f t="shared" si="70"/>
        <v>0</v>
      </c>
      <c r="AZ39" s="19" t="e">
        <f t="shared" si="71"/>
        <v>#DIV/0!</v>
      </c>
      <c r="BA39" s="19">
        <f t="shared" si="72"/>
        <v>0</v>
      </c>
      <c r="BB39" s="19" t="e">
        <f t="shared" si="73"/>
        <v>#DIV/0!</v>
      </c>
      <c r="BC39" s="19">
        <f t="shared" si="74"/>
        <v>0</v>
      </c>
      <c r="BD39" s="19" t="e">
        <f t="shared" si="75"/>
        <v>#DIV/0!</v>
      </c>
    </row>
    <row r="40" spans="1:56">
      <c r="A40" s="17">
        <v>14</v>
      </c>
      <c r="B40" s="18" t="s">
        <v>44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26"/>
      <c r="P40" s="17">
        <v>14</v>
      </c>
      <c r="Q40" s="18" t="s">
        <v>44</v>
      </c>
      <c r="R40" s="19">
        <v>99510</v>
      </c>
      <c r="S40" s="19">
        <v>99510</v>
      </c>
      <c r="T40" s="19">
        <v>99510</v>
      </c>
      <c r="U40" s="19"/>
      <c r="V40" s="19"/>
      <c r="W40" s="19"/>
      <c r="X40" s="19"/>
      <c r="Y40" s="19"/>
      <c r="Z40" s="19"/>
      <c r="AA40" s="19"/>
      <c r="AB40" s="19"/>
      <c r="AC40" s="19"/>
      <c r="AE40" s="17">
        <v>14</v>
      </c>
      <c r="AF40" s="18" t="s">
        <v>44</v>
      </c>
      <c r="AG40" s="19">
        <f t="shared" si="52"/>
        <v>-99510</v>
      </c>
      <c r="AH40" s="19" t="e">
        <f t="shared" si="53"/>
        <v>#DIV/0!</v>
      </c>
      <c r="AI40" s="19">
        <f t="shared" si="54"/>
        <v>-99510</v>
      </c>
      <c r="AJ40" s="19" t="e">
        <f t="shared" si="55"/>
        <v>#DIV/0!</v>
      </c>
      <c r="AK40" s="19">
        <f t="shared" si="56"/>
        <v>-99510</v>
      </c>
      <c r="AL40" s="19" t="e">
        <f t="shared" si="57"/>
        <v>#DIV/0!</v>
      </c>
      <c r="AM40" s="19">
        <f t="shared" si="58"/>
        <v>0</v>
      </c>
      <c r="AN40" s="19" t="e">
        <f t="shared" si="59"/>
        <v>#DIV/0!</v>
      </c>
      <c r="AO40" s="19">
        <f t="shared" si="60"/>
        <v>0</v>
      </c>
      <c r="AP40" s="19" t="e">
        <f t="shared" si="61"/>
        <v>#DIV/0!</v>
      </c>
      <c r="AQ40" s="19">
        <f t="shared" si="62"/>
        <v>0</v>
      </c>
      <c r="AR40" s="19" t="e">
        <f t="shared" si="63"/>
        <v>#DIV/0!</v>
      </c>
      <c r="AS40" s="19">
        <f t="shared" si="64"/>
        <v>0</v>
      </c>
      <c r="AT40" s="19" t="e">
        <f t="shared" si="65"/>
        <v>#DIV/0!</v>
      </c>
      <c r="AU40" s="19">
        <f t="shared" si="66"/>
        <v>0</v>
      </c>
      <c r="AV40" s="19" t="e">
        <f t="shared" si="67"/>
        <v>#DIV/0!</v>
      </c>
      <c r="AW40" s="19">
        <f t="shared" si="68"/>
        <v>0</v>
      </c>
      <c r="AX40" s="19" t="e">
        <f t="shared" si="69"/>
        <v>#DIV/0!</v>
      </c>
      <c r="AY40" s="19">
        <f t="shared" si="70"/>
        <v>0</v>
      </c>
      <c r="AZ40" s="19" t="e">
        <f t="shared" si="71"/>
        <v>#DIV/0!</v>
      </c>
      <c r="BA40" s="19">
        <f t="shared" si="72"/>
        <v>0</v>
      </c>
      <c r="BB40" s="19" t="e">
        <f t="shared" si="73"/>
        <v>#DIV/0!</v>
      </c>
      <c r="BC40" s="19">
        <f t="shared" si="74"/>
        <v>0</v>
      </c>
      <c r="BD40" s="19" t="e">
        <f t="shared" si="75"/>
        <v>#DIV/0!</v>
      </c>
    </row>
    <row r="41" spans="1:56" ht="25.2" thickBot="1">
      <c r="A41" s="17"/>
      <c r="B41" s="20" t="s">
        <v>17</v>
      </c>
      <c r="C41" s="27">
        <f>SUM(C27:C40)</f>
        <v>12598033</v>
      </c>
      <c r="D41" s="27">
        <f t="shared" ref="D41:N41" si="76">SUM(D27:D40)</f>
        <v>12598033</v>
      </c>
      <c r="E41" s="27">
        <f t="shared" si="76"/>
        <v>12598033</v>
      </c>
      <c r="F41" s="27">
        <f t="shared" si="76"/>
        <v>0</v>
      </c>
      <c r="G41" s="27">
        <f t="shared" si="76"/>
        <v>0</v>
      </c>
      <c r="H41" s="27">
        <f t="shared" si="76"/>
        <v>0</v>
      </c>
      <c r="I41" s="27">
        <f t="shared" si="76"/>
        <v>0</v>
      </c>
      <c r="J41" s="27">
        <f t="shared" si="76"/>
        <v>0</v>
      </c>
      <c r="K41" s="27">
        <f t="shared" si="76"/>
        <v>0</v>
      </c>
      <c r="L41" s="27">
        <f t="shared" si="76"/>
        <v>0</v>
      </c>
      <c r="M41" s="27">
        <f t="shared" si="76"/>
        <v>0</v>
      </c>
      <c r="N41" s="27">
        <f t="shared" si="76"/>
        <v>0</v>
      </c>
      <c r="P41" s="17"/>
      <c r="Q41" s="20" t="s">
        <v>17</v>
      </c>
      <c r="R41" s="27">
        <f>SUM(R27:R40)</f>
        <v>19582905</v>
      </c>
      <c r="S41" s="27">
        <f t="shared" ref="S41:AC41" si="77">SUM(S27:S40)</f>
        <v>19582905</v>
      </c>
      <c r="T41" s="27">
        <f t="shared" si="77"/>
        <v>19582905</v>
      </c>
      <c r="U41" s="27">
        <f t="shared" si="77"/>
        <v>0</v>
      </c>
      <c r="V41" s="27">
        <f t="shared" si="77"/>
        <v>0</v>
      </c>
      <c r="W41" s="27">
        <f t="shared" si="77"/>
        <v>0</v>
      </c>
      <c r="X41" s="27">
        <f t="shared" si="77"/>
        <v>0</v>
      </c>
      <c r="Y41" s="27">
        <f t="shared" si="77"/>
        <v>0</v>
      </c>
      <c r="Z41" s="27">
        <f t="shared" si="77"/>
        <v>0</v>
      </c>
      <c r="AA41" s="27">
        <f t="shared" si="77"/>
        <v>0</v>
      </c>
      <c r="AB41" s="27">
        <f t="shared" si="77"/>
        <v>0</v>
      </c>
      <c r="AC41" s="27">
        <f t="shared" si="77"/>
        <v>0</v>
      </c>
      <c r="AE41" s="17"/>
      <c r="AF41" s="20" t="s">
        <v>17</v>
      </c>
      <c r="AG41" s="23">
        <f t="shared" si="52"/>
        <v>-6984872</v>
      </c>
      <c r="AH41" s="23">
        <f t="shared" si="53"/>
        <v>-55.444147510964605</v>
      </c>
      <c r="AI41" s="23">
        <f t="shared" si="54"/>
        <v>-6984872</v>
      </c>
      <c r="AJ41" s="23">
        <f t="shared" si="55"/>
        <v>-55.444147510964605</v>
      </c>
      <c r="AK41" s="23">
        <f t="shared" si="56"/>
        <v>-6984872</v>
      </c>
      <c r="AL41" s="23">
        <f t="shared" si="57"/>
        <v>-55.444147510964605</v>
      </c>
      <c r="AM41" s="23">
        <f t="shared" si="58"/>
        <v>0</v>
      </c>
      <c r="AN41" s="23" t="e">
        <f t="shared" si="59"/>
        <v>#DIV/0!</v>
      </c>
      <c r="AO41" s="23">
        <f t="shared" si="60"/>
        <v>0</v>
      </c>
      <c r="AP41" s="23" t="e">
        <f t="shared" si="61"/>
        <v>#DIV/0!</v>
      </c>
      <c r="AQ41" s="23">
        <f t="shared" si="62"/>
        <v>0</v>
      </c>
      <c r="AR41" s="23" t="e">
        <f t="shared" si="63"/>
        <v>#DIV/0!</v>
      </c>
      <c r="AS41" s="23">
        <f t="shared" si="64"/>
        <v>0</v>
      </c>
      <c r="AT41" s="23" t="e">
        <f t="shared" si="65"/>
        <v>#DIV/0!</v>
      </c>
      <c r="AU41" s="23">
        <f t="shared" si="66"/>
        <v>0</v>
      </c>
      <c r="AV41" s="23" t="e">
        <f t="shared" si="67"/>
        <v>#DIV/0!</v>
      </c>
      <c r="AW41" s="23">
        <f t="shared" si="68"/>
        <v>0</v>
      </c>
      <c r="AX41" s="23" t="e">
        <f t="shared" si="69"/>
        <v>#DIV/0!</v>
      </c>
      <c r="AY41" s="23">
        <f t="shared" si="70"/>
        <v>0</v>
      </c>
      <c r="AZ41" s="23" t="e">
        <f t="shared" si="71"/>
        <v>#DIV/0!</v>
      </c>
      <c r="BA41" s="23">
        <f t="shared" si="72"/>
        <v>0</v>
      </c>
      <c r="BB41" s="23" t="e">
        <f t="shared" si="73"/>
        <v>#DIV/0!</v>
      </c>
      <c r="BC41" s="23">
        <f t="shared" si="74"/>
        <v>0</v>
      </c>
      <c r="BD41" s="23" t="e">
        <f t="shared" si="75"/>
        <v>#DIV/0!</v>
      </c>
    </row>
    <row r="42" spans="1:56" ht="25.2" thickTop="1"/>
    <row r="43" spans="1:56">
      <c r="A43" s="37" t="s">
        <v>48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P43" s="37" t="s">
        <v>52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E43" s="37" t="s">
        <v>89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1:56">
      <c r="A44" s="37" t="s">
        <v>1956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P44" s="37" t="s">
        <v>1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E44" s="37" t="s">
        <v>1</v>
      </c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</row>
    <row r="45" spans="1:56" s="15" customFormat="1">
      <c r="A45" s="35" t="s">
        <v>2</v>
      </c>
      <c r="B45" s="35" t="s">
        <v>3</v>
      </c>
      <c r="C45" s="38" t="s">
        <v>4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P45" s="35" t="s">
        <v>2</v>
      </c>
      <c r="Q45" s="35" t="s">
        <v>3</v>
      </c>
      <c r="R45" s="38" t="s">
        <v>5</v>
      </c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40"/>
      <c r="AE45" s="35" t="s">
        <v>2</v>
      </c>
      <c r="AF45" s="35" t="s">
        <v>3</v>
      </c>
      <c r="AG45" s="33">
        <v>25112</v>
      </c>
      <c r="AH45" s="34"/>
      <c r="AI45" s="33">
        <v>25143</v>
      </c>
      <c r="AJ45" s="34"/>
      <c r="AK45" s="33">
        <v>25173</v>
      </c>
      <c r="AL45" s="34"/>
      <c r="AM45" s="33">
        <v>25204</v>
      </c>
      <c r="AN45" s="34"/>
      <c r="AO45" s="33">
        <v>25235</v>
      </c>
      <c r="AP45" s="34"/>
      <c r="AQ45" s="33">
        <v>25263</v>
      </c>
      <c r="AR45" s="34"/>
      <c r="AS45" s="33">
        <v>25294</v>
      </c>
      <c r="AT45" s="34"/>
      <c r="AU45" s="33">
        <v>25324</v>
      </c>
      <c r="AV45" s="34"/>
      <c r="AW45" s="33">
        <v>25355</v>
      </c>
      <c r="AX45" s="34"/>
      <c r="AY45" s="33">
        <v>25385</v>
      </c>
      <c r="AZ45" s="34"/>
      <c r="BA45" s="33">
        <v>25416</v>
      </c>
      <c r="BB45" s="34"/>
      <c r="BC45" s="33">
        <v>25447</v>
      </c>
      <c r="BD45" s="34"/>
    </row>
    <row r="46" spans="1:56" s="15" customFormat="1">
      <c r="A46" s="36"/>
      <c r="B46" s="36"/>
      <c r="C46" s="16">
        <v>25112</v>
      </c>
      <c r="D46" s="16">
        <v>25143</v>
      </c>
      <c r="E46" s="16">
        <v>25173</v>
      </c>
      <c r="F46" s="16">
        <v>25204</v>
      </c>
      <c r="G46" s="16">
        <v>25235</v>
      </c>
      <c r="H46" s="16">
        <v>25263</v>
      </c>
      <c r="I46" s="16">
        <v>25294</v>
      </c>
      <c r="J46" s="16">
        <v>25324</v>
      </c>
      <c r="K46" s="16">
        <v>25355</v>
      </c>
      <c r="L46" s="16">
        <v>25385</v>
      </c>
      <c r="M46" s="16">
        <v>25416</v>
      </c>
      <c r="N46" s="16">
        <v>25447</v>
      </c>
      <c r="P46" s="36"/>
      <c r="Q46" s="36"/>
      <c r="R46" s="16">
        <v>25112</v>
      </c>
      <c r="S46" s="16">
        <v>25143</v>
      </c>
      <c r="T46" s="16">
        <v>25173</v>
      </c>
      <c r="U46" s="16">
        <v>25204</v>
      </c>
      <c r="V46" s="16">
        <v>25235</v>
      </c>
      <c r="W46" s="16">
        <v>25263</v>
      </c>
      <c r="X46" s="16">
        <v>25294</v>
      </c>
      <c r="Y46" s="16">
        <v>25324</v>
      </c>
      <c r="Z46" s="16">
        <v>25355</v>
      </c>
      <c r="AA46" s="16">
        <v>25385</v>
      </c>
      <c r="AB46" s="16">
        <v>25416</v>
      </c>
      <c r="AC46" s="16">
        <v>25447</v>
      </c>
      <c r="AE46" s="36"/>
      <c r="AF46" s="36"/>
      <c r="AG46" s="16" t="s">
        <v>85</v>
      </c>
      <c r="AH46" s="16" t="s">
        <v>86</v>
      </c>
      <c r="AI46" s="16" t="s">
        <v>85</v>
      </c>
      <c r="AJ46" s="16" t="s">
        <v>86</v>
      </c>
      <c r="AK46" s="16" t="s">
        <v>85</v>
      </c>
      <c r="AL46" s="16" t="s">
        <v>86</v>
      </c>
      <c r="AM46" s="16" t="s">
        <v>85</v>
      </c>
      <c r="AN46" s="16" t="s">
        <v>86</v>
      </c>
      <c r="AO46" s="16" t="s">
        <v>85</v>
      </c>
      <c r="AP46" s="16" t="s">
        <v>86</v>
      </c>
      <c r="AQ46" s="16" t="s">
        <v>85</v>
      </c>
      <c r="AR46" s="16" t="s">
        <v>86</v>
      </c>
      <c r="AS46" s="16" t="s">
        <v>85</v>
      </c>
      <c r="AT46" s="16" t="s">
        <v>86</v>
      </c>
      <c r="AU46" s="16" t="s">
        <v>85</v>
      </c>
      <c r="AV46" s="16" t="s">
        <v>86</v>
      </c>
      <c r="AW46" s="16" t="s">
        <v>85</v>
      </c>
      <c r="AX46" s="16" t="s">
        <v>86</v>
      </c>
      <c r="AY46" s="16" t="s">
        <v>85</v>
      </c>
      <c r="AZ46" s="16" t="s">
        <v>86</v>
      </c>
      <c r="BA46" s="16" t="s">
        <v>85</v>
      </c>
      <c r="BB46" s="16" t="s">
        <v>86</v>
      </c>
      <c r="BC46" s="16" t="s">
        <v>85</v>
      </c>
      <c r="BD46" s="16" t="s">
        <v>86</v>
      </c>
    </row>
    <row r="47" spans="1:56">
      <c r="A47" s="17">
        <v>1</v>
      </c>
      <c r="B47" s="18" t="s">
        <v>19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P47" s="17">
        <v>1</v>
      </c>
      <c r="Q47" s="18" t="s">
        <v>19</v>
      </c>
      <c r="R47" s="19">
        <v>1687754</v>
      </c>
      <c r="S47" s="19">
        <v>1687754</v>
      </c>
      <c r="T47" s="19">
        <v>1687754</v>
      </c>
      <c r="U47" s="19"/>
      <c r="V47" s="19"/>
      <c r="W47" s="19"/>
      <c r="X47" s="19"/>
      <c r="Y47" s="19"/>
      <c r="Z47" s="19"/>
      <c r="AA47" s="19"/>
      <c r="AB47" s="19"/>
      <c r="AC47" s="19"/>
      <c r="AE47" s="17">
        <v>1</v>
      </c>
      <c r="AF47" s="18" t="s">
        <v>19</v>
      </c>
      <c r="AG47" s="19">
        <f t="shared" ref="AG47:AG61" si="78">+C47-R47</f>
        <v>-1687754</v>
      </c>
      <c r="AH47" s="19" t="e">
        <f t="shared" ref="AH47:AH61" si="79">+AG47/C47*100</f>
        <v>#DIV/0!</v>
      </c>
      <c r="AI47" s="19">
        <f t="shared" ref="AI47:AI61" si="80">+D47-S47</f>
        <v>-1687754</v>
      </c>
      <c r="AJ47" s="19" t="e">
        <f t="shared" ref="AJ47:AJ61" si="81">+AI47/D47*100</f>
        <v>#DIV/0!</v>
      </c>
      <c r="AK47" s="19">
        <f t="shared" ref="AK47:AK61" si="82">+E47-T47</f>
        <v>-1687754</v>
      </c>
      <c r="AL47" s="19" t="e">
        <f t="shared" ref="AL47:AL61" si="83">+AK47/E47*100</f>
        <v>#DIV/0!</v>
      </c>
      <c r="AM47" s="19">
        <f t="shared" ref="AM47:AM61" si="84">+F47-U47</f>
        <v>0</v>
      </c>
      <c r="AN47" s="19" t="e">
        <f t="shared" ref="AN47:AN61" si="85">+AM47/F47*100</f>
        <v>#DIV/0!</v>
      </c>
      <c r="AO47" s="19">
        <f t="shared" ref="AO47:AO61" si="86">+G47-V47</f>
        <v>0</v>
      </c>
      <c r="AP47" s="19" t="e">
        <f t="shared" ref="AP47:AP61" si="87">+AO47/G47*100</f>
        <v>#DIV/0!</v>
      </c>
      <c r="AQ47" s="19">
        <f t="shared" ref="AQ47:AQ61" si="88">+H47-W47</f>
        <v>0</v>
      </c>
      <c r="AR47" s="19" t="e">
        <f t="shared" ref="AR47:AR61" si="89">+AQ47/H47*100</f>
        <v>#DIV/0!</v>
      </c>
      <c r="AS47" s="19">
        <f t="shared" ref="AS47:AS61" si="90">+I47-X47</f>
        <v>0</v>
      </c>
      <c r="AT47" s="19" t="e">
        <f t="shared" ref="AT47:AT61" si="91">+AS47/I47*100</f>
        <v>#DIV/0!</v>
      </c>
      <c r="AU47" s="19">
        <f t="shared" ref="AU47:AU61" si="92">+J47-Y47</f>
        <v>0</v>
      </c>
      <c r="AV47" s="19" t="e">
        <f t="shared" ref="AV47:AV61" si="93">+AU47/J47*100</f>
        <v>#DIV/0!</v>
      </c>
      <c r="AW47" s="19">
        <f t="shared" ref="AW47:AW61" si="94">+K47-Z47</f>
        <v>0</v>
      </c>
      <c r="AX47" s="19" t="e">
        <f t="shared" ref="AX47:AX61" si="95">+AW47/K47*100</f>
        <v>#DIV/0!</v>
      </c>
      <c r="AY47" s="19">
        <f t="shared" ref="AY47:AY61" si="96">+L47-AA47</f>
        <v>0</v>
      </c>
      <c r="AZ47" s="19" t="e">
        <f t="shared" ref="AZ47:AZ61" si="97">+AY47/L47*100</f>
        <v>#DIV/0!</v>
      </c>
      <c r="BA47" s="19">
        <f t="shared" ref="BA47:BA61" si="98">+M47-AB47</f>
        <v>0</v>
      </c>
      <c r="BB47" s="19" t="e">
        <f t="shared" ref="BB47:BB61" si="99">+BA47/M47*100</f>
        <v>#DIV/0!</v>
      </c>
      <c r="BC47" s="19">
        <f t="shared" ref="BC47:BC61" si="100">+N47-AC47</f>
        <v>0</v>
      </c>
      <c r="BD47" s="19" t="e">
        <f t="shared" ref="BD47:BD61" si="101">+BC47/N47*100</f>
        <v>#DIV/0!</v>
      </c>
    </row>
    <row r="48" spans="1:56">
      <c r="A48" s="17">
        <v>2</v>
      </c>
      <c r="B48" s="18" t="s">
        <v>21</v>
      </c>
      <c r="C48" s="19">
        <v>2068471.21</v>
      </c>
      <c r="D48" s="19">
        <v>2103624.69</v>
      </c>
      <c r="E48" s="19">
        <v>2139949.94</v>
      </c>
      <c r="F48" s="19"/>
      <c r="G48" s="19"/>
      <c r="H48" s="19"/>
      <c r="I48" s="19"/>
      <c r="J48" s="19"/>
      <c r="K48" s="19"/>
      <c r="L48" s="19"/>
      <c r="M48" s="19"/>
      <c r="N48" s="19"/>
      <c r="P48" s="17">
        <v>2</v>
      </c>
      <c r="Q48" s="18" t="s">
        <v>21</v>
      </c>
      <c r="R48" s="19">
        <v>4500075.68</v>
      </c>
      <c r="S48" s="19">
        <v>4541659</v>
      </c>
      <c r="T48" s="19">
        <v>4583242.32</v>
      </c>
      <c r="U48" s="19"/>
      <c r="V48" s="19"/>
      <c r="W48" s="19"/>
      <c r="X48" s="19"/>
      <c r="Y48" s="19"/>
      <c r="Z48" s="19"/>
      <c r="AA48" s="19"/>
      <c r="AB48" s="19"/>
      <c r="AC48" s="19"/>
      <c r="AE48" s="17">
        <v>2</v>
      </c>
      <c r="AF48" s="18" t="s">
        <v>21</v>
      </c>
      <c r="AG48" s="19">
        <f t="shared" si="78"/>
        <v>-2431604.4699999997</v>
      </c>
      <c r="AH48" s="19">
        <f t="shared" si="79"/>
        <v>-117.55563520751153</v>
      </c>
      <c r="AI48" s="19">
        <f t="shared" si="80"/>
        <v>-2438034.31</v>
      </c>
      <c r="AJ48" s="19">
        <f t="shared" si="81"/>
        <v>-115.89682901088216</v>
      </c>
      <c r="AK48" s="19">
        <f t="shared" si="82"/>
        <v>-2443292.3800000004</v>
      </c>
      <c r="AL48" s="19">
        <f t="shared" si="83"/>
        <v>-114.17521196780895</v>
      </c>
      <c r="AM48" s="19">
        <f t="shared" si="84"/>
        <v>0</v>
      </c>
      <c r="AN48" s="19" t="e">
        <f t="shared" si="85"/>
        <v>#DIV/0!</v>
      </c>
      <c r="AO48" s="19">
        <f t="shared" si="86"/>
        <v>0</v>
      </c>
      <c r="AP48" s="19" t="e">
        <f t="shared" si="87"/>
        <v>#DIV/0!</v>
      </c>
      <c r="AQ48" s="19">
        <f t="shared" si="88"/>
        <v>0</v>
      </c>
      <c r="AR48" s="19" t="e">
        <f t="shared" si="89"/>
        <v>#DIV/0!</v>
      </c>
      <c r="AS48" s="19">
        <f t="shared" si="90"/>
        <v>0</v>
      </c>
      <c r="AT48" s="19" t="e">
        <f t="shared" si="91"/>
        <v>#DIV/0!</v>
      </c>
      <c r="AU48" s="19">
        <f t="shared" si="92"/>
        <v>0</v>
      </c>
      <c r="AV48" s="19" t="e">
        <f t="shared" si="93"/>
        <v>#DIV/0!</v>
      </c>
      <c r="AW48" s="19">
        <f t="shared" si="94"/>
        <v>0</v>
      </c>
      <c r="AX48" s="19" t="e">
        <f t="shared" si="95"/>
        <v>#DIV/0!</v>
      </c>
      <c r="AY48" s="19">
        <f t="shared" si="96"/>
        <v>0</v>
      </c>
      <c r="AZ48" s="19" t="e">
        <f t="shared" si="97"/>
        <v>#DIV/0!</v>
      </c>
      <c r="BA48" s="19">
        <f t="shared" si="98"/>
        <v>0</v>
      </c>
      <c r="BB48" s="19" t="e">
        <f t="shared" si="99"/>
        <v>#DIV/0!</v>
      </c>
      <c r="BC48" s="19">
        <f t="shared" si="100"/>
        <v>0</v>
      </c>
      <c r="BD48" s="19" t="e">
        <f t="shared" si="101"/>
        <v>#DIV/0!</v>
      </c>
    </row>
    <row r="49" spans="1:56">
      <c r="A49" s="17">
        <v>3</v>
      </c>
      <c r="B49" s="18" t="s">
        <v>23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P49" s="17">
        <v>3</v>
      </c>
      <c r="Q49" s="18" t="s">
        <v>23</v>
      </c>
      <c r="R49" s="19">
        <v>91798</v>
      </c>
      <c r="S49" s="19">
        <v>91798</v>
      </c>
      <c r="T49" s="19">
        <v>91798</v>
      </c>
      <c r="U49" s="19"/>
      <c r="V49" s="19"/>
      <c r="W49" s="19"/>
      <c r="X49" s="19"/>
      <c r="Y49" s="19"/>
      <c r="Z49" s="19"/>
      <c r="AA49" s="19"/>
      <c r="AB49" s="19"/>
      <c r="AC49" s="19"/>
      <c r="AE49" s="17">
        <v>3</v>
      </c>
      <c r="AF49" s="18" t="s">
        <v>23</v>
      </c>
      <c r="AG49" s="19">
        <f t="shared" si="78"/>
        <v>-91798</v>
      </c>
      <c r="AH49" s="19" t="e">
        <f t="shared" si="79"/>
        <v>#DIV/0!</v>
      </c>
      <c r="AI49" s="19">
        <f t="shared" si="80"/>
        <v>-91798</v>
      </c>
      <c r="AJ49" s="19" t="e">
        <f t="shared" si="81"/>
        <v>#DIV/0!</v>
      </c>
      <c r="AK49" s="19">
        <f t="shared" si="82"/>
        <v>-91798</v>
      </c>
      <c r="AL49" s="19" t="e">
        <f t="shared" si="83"/>
        <v>#DIV/0!</v>
      </c>
      <c r="AM49" s="19">
        <f t="shared" si="84"/>
        <v>0</v>
      </c>
      <c r="AN49" s="19" t="e">
        <f t="shared" si="85"/>
        <v>#DIV/0!</v>
      </c>
      <c r="AO49" s="19">
        <f t="shared" si="86"/>
        <v>0</v>
      </c>
      <c r="AP49" s="19" t="e">
        <f t="shared" si="87"/>
        <v>#DIV/0!</v>
      </c>
      <c r="AQ49" s="19">
        <f t="shared" si="88"/>
        <v>0</v>
      </c>
      <c r="AR49" s="19" t="e">
        <f t="shared" si="89"/>
        <v>#DIV/0!</v>
      </c>
      <c r="AS49" s="19">
        <f t="shared" si="90"/>
        <v>0</v>
      </c>
      <c r="AT49" s="19" t="e">
        <f t="shared" si="91"/>
        <v>#DIV/0!</v>
      </c>
      <c r="AU49" s="19">
        <f t="shared" si="92"/>
        <v>0</v>
      </c>
      <c r="AV49" s="19" t="e">
        <f t="shared" si="93"/>
        <v>#DIV/0!</v>
      </c>
      <c r="AW49" s="19">
        <f t="shared" si="94"/>
        <v>0</v>
      </c>
      <c r="AX49" s="19" t="e">
        <f t="shared" si="95"/>
        <v>#DIV/0!</v>
      </c>
      <c r="AY49" s="19">
        <f t="shared" si="96"/>
        <v>0</v>
      </c>
      <c r="AZ49" s="19" t="e">
        <f t="shared" si="97"/>
        <v>#DIV/0!</v>
      </c>
      <c r="BA49" s="19">
        <f t="shared" si="98"/>
        <v>0</v>
      </c>
      <c r="BB49" s="19" t="e">
        <f t="shared" si="99"/>
        <v>#DIV/0!</v>
      </c>
      <c r="BC49" s="19">
        <f t="shared" si="100"/>
        <v>0</v>
      </c>
      <c r="BD49" s="19" t="e">
        <f t="shared" si="101"/>
        <v>#DIV/0!</v>
      </c>
    </row>
    <row r="50" spans="1:56">
      <c r="A50" s="17">
        <v>4</v>
      </c>
      <c r="B50" s="18" t="s">
        <v>25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P50" s="17">
        <v>4</v>
      </c>
      <c r="Q50" s="18" t="s">
        <v>25</v>
      </c>
      <c r="R50" s="19">
        <v>350571</v>
      </c>
      <c r="S50" s="19">
        <v>350571</v>
      </c>
      <c r="T50" s="19">
        <v>350571</v>
      </c>
      <c r="U50" s="19"/>
      <c r="V50" s="19"/>
      <c r="W50" s="19"/>
      <c r="X50" s="19"/>
      <c r="Y50" s="19"/>
      <c r="Z50" s="19"/>
      <c r="AA50" s="19"/>
      <c r="AB50" s="19"/>
      <c r="AC50" s="19"/>
      <c r="AE50" s="17">
        <v>4</v>
      </c>
      <c r="AF50" s="18" t="s">
        <v>25</v>
      </c>
      <c r="AG50" s="19">
        <f t="shared" si="78"/>
        <v>-350571</v>
      </c>
      <c r="AH50" s="19" t="e">
        <f t="shared" si="79"/>
        <v>#DIV/0!</v>
      </c>
      <c r="AI50" s="19">
        <f t="shared" si="80"/>
        <v>-350571</v>
      </c>
      <c r="AJ50" s="19" t="e">
        <f t="shared" si="81"/>
        <v>#DIV/0!</v>
      </c>
      <c r="AK50" s="19">
        <f t="shared" si="82"/>
        <v>-350571</v>
      </c>
      <c r="AL50" s="19" t="e">
        <f t="shared" si="83"/>
        <v>#DIV/0!</v>
      </c>
      <c r="AM50" s="19">
        <f t="shared" si="84"/>
        <v>0</v>
      </c>
      <c r="AN50" s="19" t="e">
        <f t="shared" si="85"/>
        <v>#DIV/0!</v>
      </c>
      <c r="AO50" s="19">
        <f t="shared" si="86"/>
        <v>0</v>
      </c>
      <c r="AP50" s="19" t="e">
        <f t="shared" si="87"/>
        <v>#DIV/0!</v>
      </c>
      <c r="AQ50" s="19">
        <f t="shared" si="88"/>
        <v>0</v>
      </c>
      <c r="AR50" s="19" t="e">
        <f t="shared" si="89"/>
        <v>#DIV/0!</v>
      </c>
      <c r="AS50" s="19">
        <f t="shared" si="90"/>
        <v>0</v>
      </c>
      <c r="AT50" s="19" t="e">
        <f t="shared" si="91"/>
        <v>#DIV/0!</v>
      </c>
      <c r="AU50" s="19">
        <f t="shared" si="92"/>
        <v>0</v>
      </c>
      <c r="AV50" s="19" t="e">
        <f t="shared" si="93"/>
        <v>#DIV/0!</v>
      </c>
      <c r="AW50" s="19">
        <f t="shared" si="94"/>
        <v>0</v>
      </c>
      <c r="AX50" s="19" t="e">
        <f t="shared" si="95"/>
        <v>#DIV/0!</v>
      </c>
      <c r="AY50" s="19">
        <f t="shared" si="96"/>
        <v>0</v>
      </c>
      <c r="AZ50" s="19" t="e">
        <f t="shared" si="97"/>
        <v>#DIV/0!</v>
      </c>
      <c r="BA50" s="19">
        <f t="shared" si="98"/>
        <v>0</v>
      </c>
      <c r="BB50" s="19" t="e">
        <f t="shared" si="99"/>
        <v>#DIV/0!</v>
      </c>
      <c r="BC50" s="19">
        <f t="shared" si="100"/>
        <v>0</v>
      </c>
      <c r="BD50" s="19" t="e">
        <f t="shared" si="101"/>
        <v>#DIV/0!</v>
      </c>
    </row>
    <row r="51" spans="1:56">
      <c r="A51" s="17">
        <v>5</v>
      </c>
      <c r="B51" s="18" t="s">
        <v>27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P51" s="17">
        <v>5</v>
      </c>
      <c r="Q51" s="18" t="s">
        <v>27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E51" s="17">
        <v>5</v>
      </c>
      <c r="AF51" s="18" t="s">
        <v>27</v>
      </c>
      <c r="AG51" s="19">
        <f t="shared" si="78"/>
        <v>0</v>
      </c>
      <c r="AH51" s="19" t="e">
        <f t="shared" si="79"/>
        <v>#DIV/0!</v>
      </c>
      <c r="AI51" s="19">
        <f t="shared" si="80"/>
        <v>0</v>
      </c>
      <c r="AJ51" s="19" t="e">
        <f t="shared" si="81"/>
        <v>#DIV/0!</v>
      </c>
      <c r="AK51" s="19">
        <f t="shared" si="82"/>
        <v>0</v>
      </c>
      <c r="AL51" s="19" t="e">
        <f t="shared" si="83"/>
        <v>#DIV/0!</v>
      </c>
      <c r="AM51" s="19">
        <f t="shared" si="84"/>
        <v>0</v>
      </c>
      <c r="AN51" s="19" t="e">
        <f t="shared" si="85"/>
        <v>#DIV/0!</v>
      </c>
      <c r="AO51" s="19">
        <f t="shared" si="86"/>
        <v>0</v>
      </c>
      <c r="AP51" s="19" t="e">
        <f t="shared" si="87"/>
        <v>#DIV/0!</v>
      </c>
      <c r="AQ51" s="19">
        <f t="shared" si="88"/>
        <v>0</v>
      </c>
      <c r="AR51" s="19" t="e">
        <f t="shared" si="89"/>
        <v>#DIV/0!</v>
      </c>
      <c r="AS51" s="19">
        <f t="shared" si="90"/>
        <v>0</v>
      </c>
      <c r="AT51" s="19" t="e">
        <f t="shared" si="91"/>
        <v>#DIV/0!</v>
      </c>
      <c r="AU51" s="19">
        <f t="shared" si="92"/>
        <v>0</v>
      </c>
      <c r="AV51" s="19" t="e">
        <f t="shared" si="93"/>
        <v>#DIV/0!</v>
      </c>
      <c r="AW51" s="19">
        <f t="shared" si="94"/>
        <v>0</v>
      </c>
      <c r="AX51" s="19" t="e">
        <f t="shared" si="95"/>
        <v>#DIV/0!</v>
      </c>
      <c r="AY51" s="19">
        <f t="shared" si="96"/>
        <v>0</v>
      </c>
      <c r="AZ51" s="19" t="e">
        <f t="shared" si="97"/>
        <v>#DIV/0!</v>
      </c>
      <c r="BA51" s="19">
        <f t="shared" si="98"/>
        <v>0</v>
      </c>
      <c r="BB51" s="19" t="e">
        <f t="shared" si="99"/>
        <v>#DIV/0!</v>
      </c>
      <c r="BC51" s="19">
        <f t="shared" si="100"/>
        <v>0</v>
      </c>
      <c r="BD51" s="19" t="e">
        <f t="shared" si="101"/>
        <v>#DIV/0!</v>
      </c>
    </row>
    <row r="52" spans="1:56">
      <c r="A52" s="17">
        <v>6</v>
      </c>
      <c r="B52" s="18" t="s">
        <v>29</v>
      </c>
      <c r="C52" s="19">
        <v>5569274.8499999996</v>
      </c>
      <c r="D52" s="19">
        <v>5714165.3600000003</v>
      </c>
      <c r="E52" s="19">
        <v>5863885.5099999998</v>
      </c>
      <c r="F52" s="19"/>
      <c r="G52" s="19"/>
      <c r="H52" s="19"/>
      <c r="I52" s="19"/>
      <c r="J52" s="19"/>
      <c r="K52" s="19"/>
      <c r="L52" s="19"/>
      <c r="M52" s="19"/>
      <c r="N52" s="19"/>
      <c r="P52" s="17">
        <v>6</v>
      </c>
      <c r="Q52" s="18" t="s">
        <v>29</v>
      </c>
      <c r="R52" s="19">
        <v>5925958.1399999997</v>
      </c>
      <c r="S52" s="19">
        <v>6066525.3799999999</v>
      </c>
      <c r="T52" s="19">
        <v>6207092.6200000001</v>
      </c>
      <c r="U52" s="19"/>
      <c r="V52" s="19"/>
      <c r="W52" s="19"/>
      <c r="X52" s="19"/>
      <c r="Y52" s="19"/>
      <c r="Z52" s="19"/>
      <c r="AA52" s="19"/>
      <c r="AB52" s="19"/>
      <c r="AC52" s="19"/>
      <c r="AE52" s="17">
        <v>6</v>
      </c>
      <c r="AF52" s="18" t="s">
        <v>29</v>
      </c>
      <c r="AG52" s="19">
        <f t="shared" si="78"/>
        <v>-356683.29000000004</v>
      </c>
      <c r="AH52" s="19">
        <f t="shared" si="79"/>
        <v>-6.4044835208662763</v>
      </c>
      <c r="AI52" s="19">
        <f t="shared" si="80"/>
        <v>-352360.01999999955</v>
      </c>
      <c r="AJ52" s="19">
        <f t="shared" si="81"/>
        <v>-6.1664302273534402</v>
      </c>
      <c r="AK52" s="19">
        <f t="shared" si="82"/>
        <v>-343207.11000000034</v>
      </c>
      <c r="AL52" s="19">
        <f t="shared" si="83"/>
        <v>-5.8528958216307387</v>
      </c>
      <c r="AM52" s="19">
        <f t="shared" si="84"/>
        <v>0</v>
      </c>
      <c r="AN52" s="19" t="e">
        <f t="shared" si="85"/>
        <v>#DIV/0!</v>
      </c>
      <c r="AO52" s="19">
        <f t="shared" si="86"/>
        <v>0</v>
      </c>
      <c r="AP52" s="19" t="e">
        <f t="shared" si="87"/>
        <v>#DIV/0!</v>
      </c>
      <c r="AQ52" s="19">
        <f t="shared" si="88"/>
        <v>0</v>
      </c>
      <c r="AR52" s="19" t="e">
        <f t="shared" si="89"/>
        <v>#DIV/0!</v>
      </c>
      <c r="AS52" s="19">
        <f t="shared" si="90"/>
        <v>0</v>
      </c>
      <c r="AT52" s="19" t="e">
        <f t="shared" si="91"/>
        <v>#DIV/0!</v>
      </c>
      <c r="AU52" s="19">
        <f t="shared" si="92"/>
        <v>0</v>
      </c>
      <c r="AV52" s="19" t="e">
        <f t="shared" si="93"/>
        <v>#DIV/0!</v>
      </c>
      <c r="AW52" s="19">
        <f t="shared" si="94"/>
        <v>0</v>
      </c>
      <c r="AX52" s="19" t="e">
        <f t="shared" si="95"/>
        <v>#DIV/0!</v>
      </c>
      <c r="AY52" s="19">
        <f t="shared" si="96"/>
        <v>0</v>
      </c>
      <c r="AZ52" s="19" t="e">
        <f t="shared" si="97"/>
        <v>#DIV/0!</v>
      </c>
      <c r="BA52" s="19">
        <f t="shared" si="98"/>
        <v>0</v>
      </c>
      <c r="BB52" s="19" t="e">
        <f t="shared" si="99"/>
        <v>#DIV/0!</v>
      </c>
      <c r="BC52" s="19">
        <f t="shared" si="100"/>
        <v>0</v>
      </c>
      <c r="BD52" s="19" t="e">
        <f t="shared" si="101"/>
        <v>#DIV/0!</v>
      </c>
    </row>
    <row r="53" spans="1:56">
      <c r="A53" s="17">
        <v>7</v>
      </c>
      <c r="B53" s="18" t="s">
        <v>31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P53" s="17">
        <v>7</v>
      </c>
      <c r="Q53" s="18" t="s">
        <v>31</v>
      </c>
      <c r="R53" s="19">
        <v>823944</v>
      </c>
      <c r="S53" s="19">
        <v>823944</v>
      </c>
      <c r="T53" s="19">
        <v>823944</v>
      </c>
      <c r="U53" s="19"/>
      <c r="V53" s="19"/>
      <c r="W53" s="19"/>
      <c r="X53" s="19"/>
      <c r="Y53" s="19"/>
      <c r="Z53" s="19"/>
      <c r="AA53" s="19"/>
      <c r="AB53" s="19"/>
      <c r="AC53" s="19"/>
      <c r="AE53" s="17">
        <v>7</v>
      </c>
      <c r="AF53" s="18" t="s">
        <v>31</v>
      </c>
      <c r="AG53" s="19">
        <f t="shared" si="78"/>
        <v>-823944</v>
      </c>
      <c r="AH53" s="19" t="e">
        <f t="shared" si="79"/>
        <v>#DIV/0!</v>
      </c>
      <c r="AI53" s="19">
        <f t="shared" si="80"/>
        <v>-823944</v>
      </c>
      <c r="AJ53" s="19" t="e">
        <f t="shared" si="81"/>
        <v>#DIV/0!</v>
      </c>
      <c r="AK53" s="19">
        <f t="shared" si="82"/>
        <v>-823944</v>
      </c>
      <c r="AL53" s="19" t="e">
        <f t="shared" si="83"/>
        <v>#DIV/0!</v>
      </c>
      <c r="AM53" s="19">
        <f t="shared" si="84"/>
        <v>0</v>
      </c>
      <c r="AN53" s="19" t="e">
        <f t="shared" si="85"/>
        <v>#DIV/0!</v>
      </c>
      <c r="AO53" s="19">
        <f t="shared" si="86"/>
        <v>0</v>
      </c>
      <c r="AP53" s="19" t="e">
        <f t="shared" si="87"/>
        <v>#DIV/0!</v>
      </c>
      <c r="AQ53" s="19">
        <f t="shared" si="88"/>
        <v>0</v>
      </c>
      <c r="AR53" s="19" t="e">
        <f t="shared" si="89"/>
        <v>#DIV/0!</v>
      </c>
      <c r="AS53" s="19">
        <f t="shared" si="90"/>
        <v>0</v>
      </c>
      <c r="AT53" s="19" t="e">
        <f t="shared" si="91"/>
        <v>#DIV/0!</v>
      </c>
      <c r="AU53" s="19">
        <f t="shared" si="92"/>
        <v>0</v>
      </c>
      <c r="AV53" s="19" t="e">
        <f t="shared" si="93"/>
        <v>#DIV/0!</v>
      </c>
      <c r="AW53" s="19">
        <f t="shared" si="94"/>
        <v>0</v>
      </c>
      <c r="AX53" s="19" t="e">
        <f t="shared" si="95"/>
        <v>#DIV/0!</v>
      </c>
      <c r="AY53" s="19">
        <f t="shared" si="96"/>
        <v>0</v>
      </c>
      <c r="AZ53" s="19" t="e">
        <f t="shared" si="97"/>
        <v>#DIV/0!</v>
      </c>
      <c r="BA53" s="19">
        <f t="shared" si="98"/>
        <v>0</v>
      </c>
      <c r="BB53" s="19" t="e">
        <f t="shared" si="99"/>
        <v>#DIV/0!</v>
      </c>
      <c r="BC53" s="19">
        <f t="shared" si="100"/>
        <v>0</v>
      </c>
      <c r="BD53" s="19" t="e">
        <f t="shared" si="101"/>
        <v>#DIV/0!</v>
      </c>
    </row>
    <row r="54" spans="1:56">
      <c r="A54" s="17">
        <v>8</v>
      </c>
      <c r="B54" s="18" t="s">
        <v>33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P54" s="17">
        <v>8</v>
      </c>
      <c r="Q54" s="18" t="s">
        <v>33</v>
      </c>
      <c r="R54" s="19">
        <v>205475</v>
      </c>
      <c r="S54" s="19">
        <v>205475</v>
      </c>
      <c r="T54" s="19">
        <v>205475</v>
      </c>
      <c r="U54" s="19"/>
      <c r="V54" s="19"/>
      <c r="W54" s="19"/>
      <c r="X54" s="19"/>
      <c r="Y54" s="19"/>
      <c r="Z54" s="19"/>
      <c r="AA54" s="19"/>
      <c r="AB54" s="19"/>
      <c r="AC54" s="19"/>
      <c r="AE54" s="17">
        <v>8</v>
      </c>
      <c r="AF54" s="18" t="s">
        <v>33</v>
      </c>
      <c r="AG54" s="19">
        <f t="shared" si="78"/>
        <v>-205475</v>
      </c>
      <c r="AH54" s="19" t="e">
        <f t="shared" si="79"/>
        <v>#DIV/0!</v>
      </c>
      <c r="AI54" s="19">
        <f t="shared" si="80"/>
        <v>-205475</v>
      </c>
      <c r="AJ54" s="19" t="e">
        <f t="shared" si="81"/>
        <v>#DIV/0!</v>
      </c>
      <c r="AK54" s="19">
        <f t="shared" si="82"/>
        <v>-205475</v>
      </c>
      <c r="AL54" s="19" t="e">
        <f t="shared" si="83"/>
        <v>#DIV/0!</v>
      </c>
      <c r="AM54" s="19">
        <f t="shared" si="84"/>
        <v>0</v>
      </c>
      <c r="AN54" s="19" t="e">
        <f t="shared" si="85"/>
        <v>#DIV/0!</v>
      </c>
      <c r="AO54" s="19">
        <f t="shared" si="86"/>
        <v>0</v>
      </c>
      <c r="AP54" s="19" t="e">
        <f t="shared" si="87"/>
        <v>#DIV/0!</v>
      </c>
      <c r="AQ54" s="19">
        <f t="shared" si="88"/>
        <v>0</v>
      </c>
      <c r="AR54" s="19" t="e">
        <f t="shared" si="89"/>
        <v>#DIV/0!</v>
      </c>
      <c r="AS54" s="19">
        <f t="shared" si="90"/>
        <v>0</v>
      </c>
      <c r="AT54" s="19" t="e">
        <f t="shared" si="91"/>
        <v>#DIV/0!</v>
      </c>
      <c r="AU54" s="19">
        <f t="shared" si="92"/>
        <v>0</v>
      </c>
      <c r="AV54" s="19" t="e">
        <f t="shared" si="93"/>
        <v>#DIV/0!</v>
      </c>
      <c r="AW54" s="19">
        <f t="shared" si="94"/>
        <v>0</v>
      </c>
      <c r="AX54" s="19" t="e">
        <f t="shared" si="95"/>
        <v>#DIV/0!</v>
      </c>
      <c r="AY54" s="19">
        <f t="shared" si="96"/>
        <v>0</v>
      </c>
      <c r="AZ54" s="19" t="e">
        <f t="shared" si="97"/>
        <v>#DIV/0!</v>
      </c>
      <c r="BA54" s="19">
        <f t="shared" si="98"/>
        <v>0</v>
      </c>
      <c r="BB54" s="19" t="e">
        <f t="shared" si="99"/>
        <v>#DIV/0!</v>
      </c>
      <c r="BC54" s="19">
        <f t="shared" si="100"/>
        <v>0</v>
      </c>
      <c r="BD54" s="19" t="e">
        <f t="shared" si="101"/>
        <v>#DIV/0!</v>
      </c>
    </row>
    <row r="55" spans="1:56">
      <c r="A55" s="17">
        <v>9</v>
      </c>
      <c r="B55" s="18" t="s">
        <v>35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P55" s="17">
        <v>9</v>
      </c>
      <c r="Q55" s="18" t="s">
        <v>35</v>
      </c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E55" s="17">
        <v>9</v>
      </c>
      <c r="AF55" s="18" t="s">
        <v>35</v>
      </c>
      <c r="AG55" s="19">
        <f t="shared" si="78"/>
        <v>0</v>
      </c>
      <c r="AH55" s="19" t="e">
        <f t="shared" si="79"/>
        <v>#DIV/0!</v>
      </c>
      <c r="AI55" s="19">
        <f t="shared" si="80"/>
        <v>0</v>
      </c>
      <c r="AJ55" s="19" t="e">
        <f t="shared" si="81"/>
        <v>#DIV/0!</v>
      </c>
      <c r="AK55" s="19">
        <f t="shared" si="82"/>
        <v>0</v>
      </c>
      <c r="AL55" s="19" t="e">
        <f t="shared" si="83"/>
        <v>#DIV/0!</v>
      </c>
      <c r="AM55" s="19">
        <f t="shared" si="84"/>
        <v>0</v>
      </c>
      <c r="AN55" s="19" t="e">
        <f t="shared" si="85"/>
        <v>#DIV/0!</v>
      </c>
      <c r="AO55" s="19">
        <f t="shared" si="86"/>
        <v>0</v>
      </c>
      <c r="AP55" s="19" t="e">
        <f t="shared" si="87"/>
        <v>#DIV/0!</v>
      </c>
      <c r="AQ55" s="19">
        <f t="shared" si="88"/>
        <v>0</v>
      </c>
      <c r="AR55" s="19" t="e">
        <f t="shared" si="89"/>
        <v>#DIV/0!</v>
      </c>
      <c r="AS55" s="19">
        <f t="shared" si="90"/>
        <v>0</v>
      </c>
      <c r="AT55" s="19" t="e">
        <f t="shared" si="91"/>
        <v>#DIV/0!</v>
      </c>
      <c r="AU55" s="19">
        <f t="shared" si="92"/>
        <v>0</v>
      </c>
      <c r="AV55" s="19" t="e">
        <f t="shared" si="93"/>
        <v>#DIV/0!</v>
      </c>
      <c r="AW55" s="19">
        <f t="shared" si="94"/>
        <v>0</v>
      </c>
      <c r="AX55" s="19" t="e">
        <f t="shared" si="95"/>
        <v>#DIV/0!</v>
      </c>
      <c r="AY55" s="19">
        <f t="shared" si="96"/>
        <v>0</v>
      </c>
      <c r="AZ55" s="19" t="e">
        <f t="shared" si="97"/>
        <v>#DIV/0!</v>
      </c>
      <c r="BA55" s="19">
        <f t="shared" si="98"/>
        <v>0</v>
      </c>
      <c r="BB55" s="19" t="e">
        <f t="shared" si="99"/>
        <v>#DIV/0!</v>
      </c>
      <c r="BC55" s="19">
        <f t="shared" si="100"/>
        <v>0</v>
      </c>
      <c r="BD55" s="19" t="e">
        <f t="shared" si="101"/>
        <v>#DIV/0!</v>
      </c>
    </row>
    <row r="56" spans="1:56">
      <c r="A56" s="17">
        <v>10</v>
      </c>
      <c r="B56" s="18" t="s">
        <v>37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P56" s="17">
        <v>10</v>
      </c>
      <c r="Q56" s="18" t="s">
        <v>37</v>
      </c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E56" s="17">
        <v>10</v>
      </c>
      <c r="AF56" s="18" t="s">
        <v>37</v>
      </c>
      <c r="AG56" s="19">
        <f t="shared" si="78"/>
        <v>0</v>
      </c>
      <c r="AH56" s="19" t="e">
        <f t="shared" si="79"/>
        <v>#DIV/0!</v>
      </c>
      <c r="AI56" s="19">
        <f t="shared" si="80"/>
        <v>0</v>
      </c>
      <c r="AJ56" s="19" t="e">
        <f t="shared" si="81"/>
        <v>#DIV/0!</v>
      </c>
      <c r="AK56" s="19">
        <f t="shared" si="82"/>
        <v>0</v>
      </c>
      <c r="AL56" s="19" t="e">
        <f t="shared" si="83"/>
        <v>#DIV/0!</v>
      </c>
      <c r="AM56" s="19">
        <f t="shared" si="84"/>
        <v>0</v>
      </c>
      <c r="AN56" s="19" t="e">
        <f t="shared" si="85"/>
        <v>#DIV/0!</v>
      </c>
      <c r="AO56" s="19">
        <f t="shared" si="86"/>
        <v>0</v>
      </c>
      <c r="AP56" s="19" t="e">
        <f t="shared" si="87"/>
        <v>#DIV/0!</v>
      </c>
      <c r="AQ56" s="19">
        <f t="shared" si="88"/>
        <v>0</v>
      </c>
      <c r="AR56" s="19" t="e">
        <f t="shared" si="89"/>
        <v>#DIV/0!</v>
      </c>
      <c r="AS56" s="19">
        <f t="shared" si="90"/>
        <v>0</v>
      </c>
      <c r="AT56" s="19" t="e">
        <f t="shared" si="91"/>
        <v>#DIV/0!</v>
      </c>
      <c r="AU56" s="19">
        <f t="shared" si="92"/>
        <v>0</v>
      </c>
      <c r="AV56" s="19" t="e">
        <f t="shared" si="93"/>
        <v>#DIV/0!</v>
      </c>
      <c r="AW56" s="19">
        <f t="shared" si="94"/>
        <v>0</v>
      </c>
      <c r="AX56" s="19" t="e">
        <f t="shared" si="95"/>
        <v>#DIV/0!</v>
      </c>
      <c r="AY56" s="19">
        <f t="shared" si="96"/>
        <v>0</v>
      </c>
      <c r="AZ56" s="19" t="e">
        <f t="shared" si="97"/>
        <v>#DIV/0!</v>
      </c>
      <c r="BA56" s="19">
        <f t="shared" si="98"/>
        <v>0</v>
      </c>
      <c r="BB56" s="19" t="e">
        <f t="shared" si="99"/>
        <v>#DIV/0!</v>
      </c>
      <c r="BC56" s="19">
        <f t="shared" si="100"/>
        <v>0</v>
      </c>
      <c r="BD56" s="19" t="e">
        <f t="shared" si="101"/>
        <v>#DIV/0!</v>
      </c>
    </row>
    <row r="57" spans="1:56">
      <c r="A57" s="17">
        <v>11</v>
      </c>
      <c r="B57" s="18" t="s">
        <v>39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P57" s="17">
        <v>11</v>
      </c>
      <c r="Q57" s="18" t="s">
        <v>39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E57" s="17">
        <v>11</v>
      </c>
      <c r="AF57" s="18" t="s">
        <v>39</v>
      </c>
      <c r="AG57" s="19">
        <f t="shared" si="78"/>
        <v>0</v>
      </c>
      <c r="AH57" s="19" t="e">
        <f t="shared" si="79"/>
        <v>#DIV/0!</v>
      </c>
      <c r="AI57" s="19">
        <f t="shared" si="80"/>
        <v>0</v>
      </c>
      <c r="AJ57" s="19" t="e">
        <f t="shared" si="81"/>
        <v>#DIV/0!</v>
      </c>
      <c r="AK57" s="19">
        <f t="shared" si="82"/>
        <v>0</v>
      </c>
      <c r="AL57" s="19" t="e">
        <f t="shared" si="83"/>
        <v>#DIV/0!</v>
      </c>
      <c r="AM57" s="19">
        <f t="shared" si="84"/>
        <v>0</v>
      </c>
      <c r="AN57" s="19" t="e">
        <f t="shared" si="85"/>
        <v>#DIV/0!</v>
      </c>
      <c r="AO57" s="19">
        <f t="shared" si="86"/>
        <v>0</v>
      </c>
      <c r="AP57" s="19" t="e">
        <f t="shared" si="87"/>
        <v>#DIV/0!</v>
      </c>
      <c r="AQ57" s="19">
        <f t="shared" si="88"/>
        <v>0</v>
      </c>
      <c r="AR57" s="19" t="e">
        <f t="shared" si="89"/>
        <v>#DIV/0!</v>
      </c>
      <c r="AS57" s="19">
        <f t="shared" si="90"/>
        <v>0</v>
      </c>
      <c r="AT57" s="19" t="e">
        <f t="shared" si="91"/>
        <v>#DIV/0!</v>
      </c>
      <c r="AU57" s="19">
        <f t="shared" si="92"/>
        <v>0</v>
      </c>
      <c r="AV57" s="19" t="e">
        <f t="shared" si="93"/>
        <v>#DIV/0!</v>
      </c>
      <c r="AW57" s="19">
        <f t="shared" si="94"/>
        <v>0</v>
      </c>
      <c r="AX57" s="19" t="e">
        <f t="shared" si="95"/>
        <v>#DIV/0!</v>
      </c>
      <c r="AY57" s="19">
        <f t="shared" si="96"/>
        <v>0</v>
      </c>
      <c r="AZ57" s="19" t="e">
        <f t="shared" si="97"/>
        <v>#DIV/0!</v>
      </c>
      <c r="BA57" s="19">
        <f t="shared" si="98"/>
        <v>0</v>
      </c>
      <c r="BB57" s="19" t="e">
        <f t="shared" si="99"/>
        <v>#DIV/0!</v>
      </c>
      <c r="BC57" s="19">
        <f t="shared" si="100"/>
        <v>0</v>
      </c>
      <c r="BD57" s="19" t="e">
        <f t="shared" si="101"/>
        <v>#DIV/0!</v>
      </c>
    </row>
    <row r="58" spans="1:56">
      <c r="A58" s="17">
        <v>12</v>
      </c>
      <c r="B58" s="18" t="s">
        <v>41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P58" s="17">
        <v>12</v>
      </c>
      <c r="Q58" s="18" t="s">
        <v>41</v>
      </c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E58" s="17">
        <v>12</v>
      </c>
      <c r="AF58" s="18" t="s">
        <v>41</v>
      </c>
      <c r="AG58" s="19">
        <f t="shared" si="78"/>
        <v>0</v>
      </c>
      <c r="AH58" s="19" t="e">
        <f t="shared" si="79"/>
        <v>#DIV/0!</v>
      </c>
      <c r="AI58" s="19">
        <f t="shared" si="80"/>
        <v>0</v>
      </c>
      <c r="AJ58" s="19" t="e">
        <f t="shared" si="81"/>
        <v>#DIV/0!</v>
      </c>
      <c r="AK58" s="19">
        <f t="shared" si="82"/>
        <v>0</v>
      </c>
      <c r="AL58" s="19" t="e">
        <f t="shared" si="83"/>
        <v>#DIV/0!</v>
      </c>
      <c r="AM58" s="19">
        <f t="shared" si="84"/>
        <v>0</v>
      </c>
      <c r="AN58" s="19" t="e">
        <f t="shared" si="85"/>
        <v>#DIV/0!</v>
      </c>
      <c r="AO58" s="19">
        <f t="shared" si="86"/>
        <v>0</v>
      </c>
      <c r="AP58" s="19" t="e">
        <f t="shared" si="87"/>
        <v>#DIV/0!</v>
      </c>
      <c r="AQ58" s="19">
        <f t="shared" si="88"/>
        <v>0</v>
      </c>
      <c r="AR58" s="19" t="e">
        <f t="shared" si="89"/>
        <v>#DIV/0!</v>
      </c>
      <c r="AS58" s="19">
        <f t="shared" si="90"/>
        <v>0</v>
      </c>
      <c r="AT58" s="19" t="e">
        <f t="shared" si="91"/>
        <v>#DIV/0!</v>
      </c>
      <c r="AU58" s="19">
        <f t="shared" si="92"/>
        <v>0</v>
      </c>
      <c r="AV58" s="19" t="e">
        <f t="shared" si="93"/>
        <v>#DIV/0!</v>
      </c>
      <c r="AW58" s="19">
        <f t="shared" si="94"/>
        <v>0</v>
      </c>
      <c r="AX58" s="19" t="e">
        <f t="shared" si="95"/>
        <v>#DIV/0!</v>
      </c>
      <c r="AY58" s="19">
        <f t="shared" si="96"/>
        <v>0</v>
      </c>
      <c r="AZ58" s="19" t="e">
        <f t="shared" si="97"/>
        <v>#DIV/0!</v>
      </c>
      <c r="BA58" s="19">
        <f t="shared" si="98"/>
        <v>0</v>
      </c>
      <c r="BB58" s="19" t="e">
        <f t="shared" si="99"/>
        <v>#DIV/0!</v>
      </c>
      <c r="BC58" s="19">
        <f t="shared" si="100"/>
        <v>0</v>
      </c>
      <c r="BD58" s="19" t="e">
        <f t="shared" si="101"/>
        <v>#DIV/0!</v>
      </c>
    </row>
    <row r="59" spans="1:56">
      <c r="A59" s="17">
        <v>13</v>
      </c>
      <c r="B59" s="18" t="s">
        <v>43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P59" s="17">
        <v>13</v>
      </c>
      <c r="Q59" s="18" t="s">
        <v>43</v>
      </c>
      <c r="R59" s="19">
        <f>62700+40149</f>
        <v>102849</v>
      </c>
      <c r="S59" s="19">
        <v>102849</v>
      </c>
      <c r="T59" s="19">
        <v>102849</v>
      </c>
      <c r="U59" s="19"/>
      <c r="V59" s="19"/>
      <c r="W59" s="19"/>
      <c r="X59" s="19"/>
      <c r="Y59" s="19"/>
      <c r="Z59" s="19"/>
      <c r="AA59" s="19"/>
      <c r="AB59" s="19"/>
      <c r="AC59" s="19"/>
      <c r="AE59" s="17">
        <v>13</v>
      </c>
      <c r="AF59" s="18" t="s">
        <v>43</v>
      </c>
      <c r="AG59" s="19">
        <f t="shared" si="78"/>
        <v>-102849</v>
      </c>
      <c r="AH59" s="19" t="e">
        <f t="shared" si="79"/>
        <v>#DIV/0!</v>
      </c>
      <c r="AI59" s="19">
        <f t="shared" si="80"/>
        <v>-102849</v>
      </c>
      <c r="AJ59" s="19" t="e">
        <f t="shared" si="81"/>
        <v>#DIV/0!</v>
      </c>
      <c r="AK59" s="19">
        <f t="shared" si="82"/>
        <v>-102849</v>
      </c>
      <c r="AL59" s="19" t="e">
        <f t="shared" si="83"/>
        <v>#DIV/0!</v>
      </c>
      <c r="AM59" s="19">
        <f t="shared" si="84"/>
        <v>0</v>
      </c>
      <c r="AN59" s="19" t="e">
        <f t="shared" si="85"/>
        <v>#DIV/0!</v>
      </c>
      <c r="AO59" s="19">
        <f t="shared" si="86"/>
        <v>0</v>
      </c>
      <c r="AP59" s="19" t="e">
        <f t="shared" si="87"/>
        <v>#DIV/0!</v>
      </c>
      <c r="AQ59" s="19">
        <f t="shared" si="88"/>
        <v>0</v>
      </c>
      <c r="AR59" s="19" t="e">
        <f t="shared" si="89"/>
        <v>#DIV/0!</v>
      </c>
      <c r="AS59" s="19">
        <f t="shared" si="90"/>
        <v>0</v>
      </c>
      <c r="AT59" s="19" t="e">
        <f t="shared" si="91"/>
        <v>#DIV/0!</v>
      </c>
      <c r="AU59" s="19">
        <f t="shared" si="92"/>
        <v>0</v>
      </c>
      <c r="AV59" s="19" t="e">
        <f t="shared" si="93"/>
        <v>#DIV/0!</v>
      </c>
      <c r="AW59" s="19">
        <f t="shared" si="94"/>
        <v>0</v>
      </c>
      <c r="AX59" s="19" t="e">
        <f t="shared" si="95"/>
        <v>#DIV/0!</v>
      </c>
      <c r="AY59" s="19">
        <f t="shared" si="96"/>
        <v>0</v>
      </c>
      <c r="AZ59" s="19" t="e">
        <f t="shared" si="97"/>
        <v>#DIV/0!</v>
      </c>
      <c r="BA59" s="19">
        <f t="shared" si="98"/>
        <v>0</v>
      </c>
      <c r="BB59" s="19" t="e">
        <f t="shared" si="99"/>
        <v>#DIV/0!</v>
      </c>
      <c r="BC59" s="19">
        <f t="shared" si="100"/>
        <v>0</v>
      </c>
      <c r="BD59" s="19" t="e">
        <f t="shared" si="101"/>
        <v>#DIV/0!</v>
      </c>
    </row>
    <row r="60" spans="1:56">
      <c r="A60" s="17">
        <v>14</v>
      </c>
      <c r="B60" s="18" t="s">
        <v>44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P60" s="17">
        <v>14</v>
      </c>
      <c r="Q60" s="18" t="s">
        <v>44</v>
      </c>
      <c r="R60" s="19">
        <v>99509</v>
      </c>
      <c r="S60" s="19">
        <v>99509</v>
      </c>
      <c r="T60" s="19">
        <v>99509</v>
      </c>
      <c r="U60" s="19"/>
      <c r="V60" s="19"/>
      <c r="W60" s="19"/>
      <c r="X60" s="19"/>
      <c r="Y60" s="19"/>
      <c r="Z60" s="19"/>
      <c r="AA60" s="19"/>
      <c r="AB60" s="19"/>
      <c r="AC60" s="19"/>
      <c r="AE60" s="17">
        <v>14</v>
      </c>
      <c r="AF60" s="18" t="s">
        <v>44</v>
      </c>
      <c r="AG60" s="19">
        <f t="shared" si="78"/>
        <v>-99509</v>
      </c>
      <c r="AH60" s="19" t="e">
        <f t="shared" si="79"/>
        <v>#DIV/0!</v>
      </c>
      <c r="AI60" s="19">
        <f t="shared" si="80"/>
        <v>-99509</v>
      </c>
      <c r="AJ60" s="19" t="e">
        <f t="shared" si="81"/>
        <v>#DIV/0!</v>
      </c>
      <c r="AK60" s="19">
        <f t="shared" si="82"/>
        <v>-99509</v>
      </c>
      <c r="AL60" s="19" t="e">
        <f t="shared" si="83"/>
        <v>#DIV/0!</v>
      </c>
      <c r="AM60" s="19">
        <f t="shared" si="84"/>
        <v>0</v>
      </c>
      <c r="AN60" s="19" t="e">
        <f t="shared" si="85"/>
        <v>#DIV/0!</v>
      </c>
      <c r="AO60" s="19">
        <f t="shared" si="86"/>
        <v>0</v>
      </c>
      <c r="AP60" s="19" t="e">
        <f t="shared" si="87"/>
        <v>#DIV/0!</v>
      </c>
      <c r="AQ60" s="19">
        <f t="shared" si="88"/>
        <v>0</v>
      </c>
      <c r="AR60" s="19" t="e">
        <f t="shared" si="89"/>
        <v>#DIV/0!</v>
      </c>
      <c r="AS60" s="19">
        <f t="shared" si="90"/>
        <v>0</v>
      </c>
      <c r="AT60" s="19" t="e">
        <f t="shared" si="91"/>
        <v>#DIV/0!</v>
      </c>
      <c r="AU60" s="19">
        <f t="shared" si="92"/>
        <v>0</v>
      </c>
      <c r="AV60" s="19" t="e">
        <f t="shared" si="93"/>
        <v>#DIV/0!</v>
      </c>
      <c r="AW60" s="19">
        <f t="shared" si="94"/>
        <v>0</v>
      </c>
      <c r="AX60" s="19" t="e">
        <f t="shared" si="95"/>
        <v>#DIV/0!</v>
      </c>
      <c r="AY60" s="19">
        <f t="shared" si="96"/>
        <v>0</v>
      </c>
      <c r="AZ60" s="19" t="e">
        <f t="shared" si="97"/>
        <v>#DIV/0!</v>
      </c>
      <c r="BA60" s="19">
        <f t="shared" si="98"/>
        <v>0</v>
      </c>
      <c r="BB60" s="19" t="e">
        <f t="shared" si="99"/>
        <v>#DIV/0!</v>
      </c>
      <c r="BC60" s="19">
        <f t="shared" si="100"/>
        <v>0</v>
      </c>
      <c r="BD60" s="19" t="e">
        <f t="shared" si="101"/>
        <v>#DIV/0!</v>
      </c>
    </row>
    <row r="61" spans="1:56" ht="25.2" thickBot="1">
      <c r="A61" s="17"/>
      <c r="B61" s="20" t="s">
        <v>17</v>
      </c>
      <c r="C61" s="27">
        <f>SUM(C47:C60)</f>
        <v>7637746.0599999996</v>
      </c>
      <c r="D61" s="27">
        <f t="shared" ref="D61:N61" si="102">SUM(D47:D60)</f>
        <v>7817790.0500000007</v>
      </c>
      <c r="E61" s="27">
        <f t="shared" si="102"/>
        <v>8003835.4499999993</v>
      </c>
      <c r="F61" s="27">
        <f t="shared" si="102"/>
        <v>0</v>
      </c>
      <c r="G61" s="27">
        <f t="shared" si="102"/>
        <v>0</v>
      </c>
      <c r="H61" s="27">
        <f t="shared" si="102"/>
        <v>0</v>
      </c>
      <c r="I61" s="27">
        <f t="shared" si="102"/>
        <v>0</v>
      </c>
      <c r="J61" s="27">
        <f t="shared" si="102"/>
        <v>0</v>
      </c>
      <c r="K61" s="27">
        <f t="shared" si="102"/>
        <v>0</v>
      </c>
      <c r="L61" s="27">
        <f t="shared" si="102"/>
        <v>0</v>
      </c>
      <c r="M61" s="27">
        <f t="shared" si="102"/>
        <v>0</v>
      </c>
      <c r="N61" s="27">
        <f t="shared" si="102"/>
        <v>0</v>
      </c>
      <c r="P61" s="17"/>
      <c r="Q61" s="20" t="s">
        <v>17</v>
      </c>
      <c r="R61" s="27">
        <f>SUM(R47:R60)</f>
        <v>13787933.82</v>
      </c>
      <c r="S61" s="27">
        <f t="shared" ref="S61:AC61" si="103">SUM(S47:S60)</f>
        <v>13970084.379999999</v>
      </c>
      <c r="T61" s="27">
        <f t="shared" si="103"/>
        <v>14152234.940000001</v>
      </c>
      <c r="U61" s="27">
        <f t="shared" si="103"/>
        <v>0</v>
      </c>
      <c r="V61" s="27">
        <f t="shared" si="103"/>
        <v>0</v>
      </c>
      <c r="W61" s="27">
        <f t="shared" si="103"/>
        <v>0</v>
      </c>
      <c r="X61" s="27">
        <f t="shared" si="103"/>
        <v>0</v>
      </c>
      <c r="Y61" s="27">
        <f t="shared" si="103"/>
        <v>0</v>
      </c>
      <c r="Z61" s="27">
        <f t="shared" si="103"/>
        <v>0</v>
      </c>
      <c r="AA61" s="27">
        <f t="shared" si="103"/>
        <v>0</v>
      </c>
      <c r="AB61" s="27">
        <f t="shared" si="103"/>
        <v>0</v>
      </c>
      <c r="AC61" s="27">
        <f t="shared" si="103"/>
        <v>0</v>
      </c>
      <c r="AE61" s="17"/>
      <c r="AF61" s="20" t="s">
        <v>17</v>
      </c>
      <c r="AG61" s="23">
        <f t="shared" si="78"/>
        <v>-6150187.7600000007</v>
      </c>
      <c r="AH61" s="23">
        <f t="shared" si="79"/>
        <v>-80.523595726878625</v>
      </c>
      <c r="AI61" s="23">
        <f t="shared" si="80"/>
        <v>-6152294.3299999982</v>
      </c>
      <c r="AJ61" s="23">
        <f t="shared" si="81"/>
        <v>-78.696080230499376</v>
      </c>
      <c r="AK61" s="23">
        <f t="shared" si="82"/>
        <v>-6148399.4900000021</v>
      </c>
      <c r="AL61" s="23">
        <f t="shared" si="83"/>
        <v>-76.818164596324905</v>
      </c>
      <c r="AM61" s="23">
        <f t="shared" si="84"/>
        <v>0</v>
      </c>
      <c r="AN61" s="23" t="e">
        <f t="shared" si="85"/>
        <v>#DIV/0!</v>
      </c>
      <c r="AO61" s="23">
        <f t="shared" si="86"/>
        <v>0</v>
      </c>
      <c r="AP61" s="23" t="e">
        <f t="shared" si="87"/>
        <v>#DIV/0!</v>
      </c>
      <c r="AQ61" s="23">
        <f t="shared" si="88"/>
        <v>0</v>
      </c>
      <c r="AR61" s="23" t="e">
        <f t="shared" si="89"/>
        <v>#DIV/0!</v>
      </c>
      <c r="AS61" s="23">
        <f t="shared" si="90"/>
        <v>0</v>
      </c>
      <c r="AT61" s="23" t="e">
        <f t="shared" si="91"/>
        <v>#DIV/0!</v>
      </c>
      <c r="AU61" s="23">
        <f t="shared" si="92"/>
        <v>0</v>
      </c>
      <c r="AV61" s="23" t="e">
        <f t="shared" si="93"/>
        <v>#DIV/0!</v>
      </c>
      <c r="AW61" s="23">
        <f t="shared" si="94"/>
        <v>0</v>
      </c>
      <c r="AX61" s="23" t="e">
        <f t="shared" si="95"/>
        <v>#DIV/0!</v>
      </c>
      <c r="AY61" s="23">
        <f t="shared" si="96"/>
        <v>0</v>
      </c>
      <c r="AZ61" s="23" t="e">
        <f t="shared" si="97"/>
        <v>#DIV/0!</v>
      </c>
      <c r="BA61" s="23">
        <f t="shared" si="98"/>
        <v>0</v>
      </c>
      <c r="BB61" s="23" t="e">
        <f t="shared" si="99"/>
        <v>#DIV/0!</v>
      </c>
      <c r="BC61" s="23">
        <f t="shared" si="100"/>
        <v>0</v>
      </c>
      <c r="BD61" s="23" t="e">
        <f t="shared" si="101"/>
        <v>#DIV/0!</v>
      </c>
    </row>
    <row r="62" spans="1:56" ht="25.2" thickTop="1"/>
    <row r="63" spans="1:56">
      <c r="A63" s="32" t="s">
        <v>1942</v>
      </c>
      <c r="B63" s="32"/>
      <c r="C63" s="32"/>
      <c r="D63" s="32"/>
      <c r="E63" s="32"/>
      <c r="F63" s="32"/>
      <c r="G63" s="32"/>
      <c r="H63" s="32"/>
      <c r="I63" s="32"/>
    </row>
    <row r="64" spans="1:56" customFormat="1" ht="21">
      <c r="A64" s="28" t="s">
        <v>659</v>
      </c>
      <c r="B64" s="28" t="s">
        <v>660</v>
      </c>
      <c r="C64" s="28" t="s">
        <v>661</v>
      </c>
      <c r="D64" s="28" t="s">
        <v>662</v>
      </c>
      <c r="E64" s="28" t="s">
        <v>663</v>
      </c>
      <c r="F64" s="28" t="s">
        <v>664</v>
      </c>
      <c r="G64" s="28" t="s">
        <v>665</v>
      </c>
    </row>
    <row r="65" spans="1:9" customFormat="1" ht="21">
      <c r="A65" s="28" t="s">
        <v>405</v>
      </c>
      <c r="B65" s="28" t="s">
        <v>91</v>
      </c>
      <c r="C65" s="28" t="s">
        <v>92</v>
      </c>
      <c r="D65" s="28" t="s">
        <v>406</v>
      </c>
      <c r="E65" s="29">
        <v>592700</v>
      </c>
      <c r="F65" s="29">
        <v>-592699</v>
      </c>
      <c r="G65" s="29">
        <v>1</v>
      </c>
      <c r="H65" t="s">
        <v>1750</v>
      </c>
      <c r="I65" t="s">
        <v>11</v>
      </c>
    </row>
    <row r="66" spans="1:9" customFormat="1" ht="21">
      <c r="A66" s="28" t="s">
        <v>407</v>
      </c>
      <c r="B66" s="28" t="s">
        <v>91</v>
      </c>
      <c r="C66" s="28" t="s">
        <v>92</v>
      </c>
      <c r="D66" s="28" t="s">
        <v>408</v>
      </c>
      <c r="E66" s="29">
        <v>514000</v>
      </c>
      <c r="F66" s="29">
        <v>-513999</v>
      </c>
      <c r="G66" s="29">
        <v>1</v>
      </c>
      <c r="H66" t="s">
        <v>1750</v>
      </c>
      <c r="I66" t="s">
        <v>11</v>
      </c>
    </row>
    <row r="67" spans="1:9" customFormat="1" ht="21">
      <c r="A67" s="28" t="s">
        <v>409</v>
      </c>
      <c r="B67" s="28" t="s">
        <v>91</v>
      </c>
      <c r="C67" s="28" t="s">
        <v>92</v>
      </c>
      <c r="D67" s="28" t="s">
        <v>410</v>
      </c>
      <c r="E67" s="29">
        <v>514000</v>
      </c>
      <c r="F67" s="29">
        <v>-513999</v>
      </c>
      <c r="G67" s="29">
        <v>1</v>
      </c>
      <c r="H67" t="s">
        <v>1750</v>
      </c>
      <c r="I67" t="s">
        <v>11</v>
      </c>
    </row>
    <row r="68" spans="1:9" customFormat="1" ht="21">
      <c r="A68" s="28" t="s">
        <v>411</v>
      </c>
      <c r="B68" s="28" t="s">
        <v>91</v>
      </c>
      <c r="C68" s="28" t="s">
        <v>92</v>
      </c>
      <c r="D68" s="28" t="s">
        <v>412</v>
      </c>
      <c r="E68" s="29">
        <v>514000</v>
      </c>
      <c r="F68" s="29">
        <v>-513999</v>
      </c>
      <c r="G68" s="29">
        <v>1</v>
      </c>
      <c r="H68" t="s">
        <v>1750</v>
      </c>
      <c r="I68" t="s">
        <v>11</v>
      </c>
    </row>
    <row r="69" spans="1:9" customFormat="1" ht="21">
      <c r="A69" s="28" t="s">
        <v>413</v>
      </c>
      <c r="B69" s="28" t="s">
        <v>91</v>
      </c>
      <c r="C69" s="28" t="s">
        <v>92</v>
      </c>
      <c r="D69" s="28" t="s">
        <v>414</v>
      </c>
      <c r="E69" s="29">
        <v>4094100</v>
      </c>
      <c r="F69" s="29">
        <v>-4094099</v>
      </c>
      <c r="G69" s="29">
        <v>1</v>
      </c>
      <c r="H69" t="s">
        <v>1750</v>
      </c>
      <c r="I69" t="s">
        <v>11</v>
      </c>
    </row>
    <row r="70" spans="1:9" customFormat="1" ht="21">
      <c r="A70" s="28" t="s">
        <v>415</v>
      </c>
      <c r="B70" s="28" t="s">
        <v>91</v>
      </c>
      <c r="C70" s="28" t="s">
        <v>92</v>
      </c>
      <c r="D70" s="28" t="s">
        <v>416</v>
      </c>
      <c r="E70" s="29">
        <v>409950</v>
      </c>
      <c r="F70" s="29">
        <v>-409949</v>
      </c>
      <c r="G70" s="29">
        <v>1</v>
      </c>
      <c r="H70" t="s">
        <v>1750</v>
      </c>
      <c r="I70" t="s">
        <v>11</v>
      </c>
    </row>
    <row r="71" spans="1:9" customFormat="1" ht="21">
      <c r="A71" s="28" t="s">
        <v>417</v>
      </c>
      <c r="B71" s="28" t="s">
        <v>91</v>
      </c>
      <c r="C71" s="28" t="s">
        <v>92</v>
      </c>
      <c r="D71" s="28" t="s">
        <v>418</v>
      </c>
      <c r="E71" s="29">
        <v>409950</v>
      </c>
      <c r="F71" s="29">
        <v>-409949</v>
      </c>
      <c r="G71" s="29">
        <v>1</v>
      </c>
      <c r="H71" t="s">
        <v>1750</v>
      </c>
      <c r="I71" t="s">
        <v>11</v>
      </c>
    </row>
    <row r="72" spans="1:9" customFormat="1" ht="21">
      <c r="A72" s="28" t="s">
        <v>419</v>
      </c>
      <c r="B72" s="28" t="s">
        <v>91</v>
      </c>
      <c r="C72" s="28" t="s">
        <v>92</v>
      </c>
      <c r="D72" s="28" t="s">
        <v>420</v>
      </c>
      <c r="E72" s="29">
        <v>1273000</v>
      </c>
      <c r="F72" s="29">
        <v>-1272999</v>
      </c>
      <c r="G72" s="29">
        <v>1</v>
      </c>
      <c r="H72" t="s">
        <v>1750</v>
      </c>
      <c r="I72" t="s">
        <v>11</v>
      </c>
    </row>
    <row r="73" spans="1:9" customFormat="1" ht="21">
      <c r="A73" s="28" t="s">
        <v>421</v>
      </c>
      <c r="B73" s="28" t="s">
        <v>91</v>
      </c>
      <c r="C73" s="28" t="s">
        <v>92</v>
      </c>
      <c r="D73" s="28" t="s">
        <v>422</v>
      </c>
      <c r="E73" s="29">
        <v>820000</v>
      </c>
      <c r="F73" s="29">
        <v>-819999</v>
      </c>
      <c r="G73" s="29">
        <v>1</v>
      </c>
      <c r="H73" t="s">
        <v>1750</v>
      </c>
      <c r="I73" t="s">
        <v>11</v>
      </c>
    </row>
    <row r="74" spans="1:9" customFormat="1" ht="21">
      <c r="A74" s="28" t="s">
        <v>584</v>
      </c>
      <c r="B74" s="28" t="s">
        <v>91</v>
      </c>
      <c r="C74" s="28" t="s">
        <v>92</v>
      </c>
      <c r="D74" s="28" t="s">
        <v>585</v>
      </c>
      <c r="E74" s="29">
        <v>4395700</v>
      </c>
      <c r="F74" s="29">
        <v>-4395699</v>
      </c>
      <c r="G74" s="29">
        <v>1</v>
      </c>
      <c r="H74" t="s">
        <v>1750</v>
      </c>
      <c r="I74" t="s">
        <v>9</v>
      </c>
    </row>
    <row r="75" spans="1:9" customFormat="1" ht="21">
      <c r="A75" s="28" t="s">
        <v>586</v>
      </c>
      <c r="B75" s="28" t="s">
        <v>91</v>
      </c>
      <c r="C75" s="28" t="s">
        <v>92</v>
      </c>
      <c r="D75" s="28" t="s">
        <v>587</v>
      </c>
      <c r="E75" s="29">
        <v>5718700</v>
      </c>
      <c r="F75" s="29">
        <v>-5718699</v>
      </c>
      <c r="G75" s="29">
        <v>1</v>
      </c>
      <c r="H75" t="s">
        <v>1750</v>
      </c>
      <c r="I75" t="s">
        <v>9</v>
      </c>
    </row>
    <row r="76" spans="1:9" customFormat="1" ht="21">
      <c r="A76" s="28" t="s">
        <v>588</v>
      </c>
      <c r="B76" s="28" t="s">
        <v>91</v>
      </c>
      <c r="C76" s="28" t="s">
        <v>92</v>
      </c>
      <c r="D76" s="28" t="s">
        <v>589</v>
      </c>
      <c r="E76" s="29">
        <v>8663790</v>
      </c>
      <c r="F76" s="29">
        <v>-8663789</v>
      </c>
      <c r="G76" s="29">
        <v>1</v>
      </c>
      <c r="H76" t="s">
        <v>1750</v>
      </c>
      <c r="I76" t="s">
        <v>9</v>
      </c>
    </row>
    <row r="77" spans="1:9" customFormat="1" ht="21">
      <c r="A77" s="28" t="s">
        <v>1751</v>
      </c>
      <c r="B77" s="28" t="s">
        <v>91</v>
      </c>
      <c r="C77" s="28" t="s">
        <v>92</v>
      </c>
      <c r="D77" s="28" t="s">
        <v>1752</v>
      </c>
      <c r="E77" s="29">
        <v>41276.410000000003</v>
      </c>
      <c r="F77" s="29">
        <v>-8054.66</v>
      </c>
      <c r="G77" s="29">
        <v>33221.75</v>
      </c>
      <c r="H77" t="s">
        <v>1750</v>
      </c>
      <c r="I77" t="s">
        <v>13</v>
      </c>
    </row>
    <row r="78" spans="1:9" customFormat="1" ht="21">
      <c r="A78" s="28" t="s">
        <v>1751</v>
      </c>
      <c r="B78" s="28" t="s">
        <v>108</v>
      </c>
      <c r="C78" s="28" t="s">
        <v>92</v>
      </c>
      <c r="D78" s="28" t="s">
        <v>1752</v>
      </c>
      <c r="E78" s="29">
        <v>93320.59</v>
      </c>
      <c r="F78" s="29">
        <v>-93319.59</v>
      </c>
      <c r="G78" s="29">
        <v>1</v>
      </c>
      <c r="H78" t="s">
        <v>1750</v>
      </c>
      <c r="I78" t="s">
        <v>13</v>
      </c>
    </row>
    <row r="79" spans="1:9" customFormat="1" ht="21">
      <c r="A79" s="28" t="s">
        <v>1753</v>
      </c>
      <c r="B79" s="28" t="s">
        <v>91</v>
      </c>
      <c r="C79" s="28" t="s">
        <v>92</v>
      </c>
      <c r="D79" s="28" t="s">
        <v>1754</v>
      </c>
      <c r="E79" s="29">
        <v>287410</v>
      </c>
      <c r="F79" s="29">
        <v>-69713.84</v>
      </c>
      <c r="G79" s="29">
        <v>217696.16</v>
      </c>
      <c r="H79" t="s">
        <v>1750</v>
      </c>
      <c r="I79" t="s">
        <v>13</v>
      </c>
    </row>
    <row r="80" spans="1:9" customFormat="1" ht="21">
      <c r="A80" s="28" t="s">
        <v>1753</v>
      </c>
      <c r="B80" s="28" t="s">
        <v>108</v>
      </c>
      <c r="C80" s="28" t="s">
        <v>92</v>
      </c>
      <c r="D80" s="28" t="s">
        <v>1754</v>
      </c>
      <c r="E80" s="29">
        <v>764090</v>
      </c>
      <c r="F80" s="29">
        <v>-764089</v>
      </c>
      <c r="G80" s="29">
        <v>1</v>
      </c>
      <c r="H80" t="s">
        <v>1750</v>
      </c>
      <c r="I80" t="s">
        <v>13</v>
      </c>
    </row>
    <row r="81" spans="1:9" customFormat="1" ht="21">
      <c r="A81" s="28" t="s">
        <v>1755</v>
      </c>
      <c r="B81" s="28" t="s">
        <v>91</v>
      </c>
      <c r="C81" s="28" t="s">
        <v>92</v>
      </c>
      <c r="D81" s="28" t="s">
        <v>1756</v>
      </c>
      <c r="E81" s="29">
        <v>694233</v>
      </c>
      <c r="F81" s="29">
        <v>-694232</v>
      </c>
      <c r="G81" s="29">
        <v>1</v>
      </c>
      <c r="H81" t="s">
        <v>1750</v>
      </c>
      <c r="I81" t="s">
        <v>13</v>
      </c>
    </row>
    <row r="82" spans="1:9" customFormat="1" ht="21">
      <c r="A82" s="28" t="s">
        <v>1757</v>
      </c>
      <c r="B82" s="28" t="s">
        <v>91</v>
      </c>
      <c r="C82" s="28" t="s">
        <v>92</v>
      </c>
      <c r="D82" s="28" t="s">
        <v>1758</v>
      </c>
      <c r="E82" s="29">
        <v>839000</v>
      </c>
      <c r="F82" s="29">
        <v>-838999</v>
      </c>
      <c r="G82" s="29">
        <v>1</v>
      </c>
      <c r="H82" t="s">
        <v>1750</v>
      </c>
      <c r="I82" t="s">
        <v>13</v>
      </c>
    </row>
    <row r="83" spans="1:9" customFormat="1" ht="21">
      <c r="A83" s="28" t="s">
        <v>1759</v>
      </c>
      <c r="B83" s="28" t="s">
        <v>91</v>
      </c>
      <c r="C83" s="28" t="s">
        <v>92</v>
      </c>
      <c r="D83" s="28" t="s">
        <v>1760</v>
      </c>
      <c r="E83" s="29">
        <v>788700</v>
      </c>
      <c r="F83" s="29">
        <v>-788699</v>
      </c>
      <c r="G83" s="29">
        <v>1</v>
      </c>
      <c r="H83" t="s">
        <v>1750</v>
      </c>
      <c r="I83" t="s">
        <v>13</v>
      </c>
    </row>
    <row r="84" spans="1:9" customFormat="1" ht="21">
      <c r="A84" s="28" t="s">
        <v>1761</v>
      </c>
      <c r="B84" s="28" t="s">
        <v>91</v>
      </c>
      <c r="C84" s="28" t="s">
        <v>92</v>
      </c>
      <c r="D84" s="28" t="s">
        <v>1762</v>
      </c>
      <c r="E84" s="29">
        <v>216254</v>
      </c>
      <c r="F84" s="29">
        <v>-216253</v>
      </c>
      <c r="G84" s="29">
        <v>1</v>
      </c>
      <c r="H84" t="s">
        <v>1750</v>
      </c>
      <c r="I84" t="s">
        <v>15</v>
      </c>
    </row>
    <row r="85" spans="1:9" customFormat="1" ht="21">
      <c r="A85" s="28" t="s">
        <v>1763</v>
      </c>
      <c r="B85" s="28" t="s">
        <v>91</v>
      </c>
      <c r="C85" s="28" t="s">
        <v>92</v>
      </c>
      <c r="D85" s="28" t="s">
        <v>1764</v>
      </c>
      <c r="E85" s="29">
        <v>1754700</v>
      </c>
      <c r="F85" s="29">
        <v>-1754699</v>
      </c>
      <c r="G85" s="29">
        <v>1</v>
      </c>
      <c r="H85" t="s">
        <v>1750</v>
      </c>
      <c r="I85" t="s">
        <v>15</v>
      </c>
    </row>
    <row r="86" spans="1:9" customFormat="1" ht="21">
      <c r="A86" s="28" t="s">
        <v>1765</v>
      </c>
      <c r="B86" s="28" t="s">
        <v>91</v>
      </c>
      <c r="C86" s="28" t="s">
        <v>92</v>
      </c>
      <c r="D86" s="28" t="s">
        <v>1766</v>
      </c>
      <c r="E86" s="29">
        <v>62500</v>
      </c>
      <c r="F86" s="29">
        <v>-62499</v>
      </c>
      <c r="G86" s="29">
        <v>1</v>
      </c>
      <c r="H86" t="s">
        <v>1750</v>
      </c>
      <c r="I86" t="s">
        <v>15</v>
      </c>
    </row>
    <row r="87" spans="1:9" customFormat="1" ht="21">
      <c r="A87" s="28" t="s">
        <v>1767</v>
      </c>
      <c r="B87" s="28" t="s">
        <v>91</v>
      </c>
      <c r="C87" s="28" t="s">
        <v>605</v>
      </c>
      <c r="D87" s="28" t="s">
        <v>762</v>
      </c>
      <c r="E87" s="29">
        <v>2495000</v>
      </c>
      <c r="F87" s="29">
        <v>-2352042.5499999998</v>
      </c>
      <c r="G87" s="29">
        <v>142957.45000000001</v>
      </c>
      <c r="H87" t="s">
        <v>1750</v>
      </c>
      <c r="I87" t="s">
        <v>675</v>
      </c>
    </row>
    <row r="88" spans="1:9" customFormat="1" ht="21">
      <c r="A88" s="28" t="s">
        <v>1768</v>
      </c>
      <c r="B88" s="28" t="s">
        <v>91</v>
      </c>
      <c r="C88" s="28" t="s">
        <v>679</v>
      </c>
      <c r="D88" s="28" t="s">
        <v>680</v>
      </c>
      <c r="E88" s="29">
        <v>449663</v>
      </c>
      <c r="F88" s="29">
        <v>-103237.7</v>
      </c>
      <c r="G88" s="29">
        <v>346425.3</v>
      </c>
      <c r="H88" t="s">
        <v>1750</v>
      </c>
      <c r="I88" t="s">
        <v>681</v>
      </c>
    </row>
    <row r="89" spans="1:9" customFormat="1" ht="21">
      <c r="A89" s="28" t="s">
        <v>1769</v>
      </c>
      <c r="B89" s="28" t="s">
        <v>91</v>
      </c>
      <c r="C89" s="28" t="s">
        <v>679</v>
      </c>
      <c r="D89" s="28" t="s">
        <v>683</v>
      </c>
      <c r="E89" s="29">
        <v>49870</v>
      </c>
      <c r="F89" s="29">
        <v>-11449.61</v>
      </c>
      <c r="G89" s="29">
        <v>38420.39</v>
      </c>
      <c r="H89" t="s">
        <v>1750</v>
      </c>
      <c r="I89" t="s">
        <v>681</v>
      </c>
    </row>
    <row r="90" spans="1:9" customFormat="1" ht="21">
      <c r="A90" s="28" t="s">
        <v>1770</v>
      </c>
      <c r="B90" s="28" t="s">
        <v>91</v>
      </c>
      <c r="C90" s="28" t="s">
        <v>679</v>
      </c>
      <c r="D90" s="28" t="s">
        <v>683</v>
      </c>
      <c r="E90" s="29">
        <v>49870</v>
      </c>
      <c r="F90" s="29">
        <v>-11449.61</v>
      </c>
      <c r="G90" s="29">
        <v>38420.39</v>
      </c>
      <c r="H90" t="s">
        <v>1750</v>
      </c>
      <c r="I90" t="s">
        <v>681</v>
      </c>
    </row>
    <row r="91" spans="1:9" customFormat="1" ht="21">
      <c r="A91" s="28" t="s">
        <v>1771</v>
      </c>
      <c r="B91" s="28" t="s">
        <v>91</v>
      </c>
      <c r="C91" s="28" t="s">
        <v>679</v>
      </c>
      <c r="D91" s="28" t="s">
        <v>683</v>
      </c>
      <c r="E91" s="29">
        <v>49870</v>
      </c>
      <c r="F91" s="29">
        <v>-11449.61</v>
      </c>
      <c r="G91" s="29">
        <v>38420.39</v>
      </c>
      <c r="H91" t="s">
        <v>1750</v>
      </c>
      <c r="I91" t="s">
        <v>681</v>
      </c>
    </row>
    <row r="92" spans="1:9" customFormat="1" ht="21">
      <c r="A92" s="28" t="s">
        <v>1772</v>
      </c>
      <c r="B92" s="28" t="s">
        <v>91</v>
      </c>
      <c r="C92" s="28" t="s">
        <v>679</v>
      </c>
      <c r="D92" s="28" t="s">
        <v>683</v>
      </c>
      <c r="E92" s="29">
        <v>49870</v>
      </c>
      <c r="F92" s="29">
        <v>-11449.61</v>
      </c>
      <c r="G92" s="29">
        <v>38420.39</v>
      </c>
      <c r="H92" t="s">
        <v>1750</v>
      </c>
      <c r="I92" t="s">
        <v>681</v>
      </c>
    </row>
    <row r="93" spans="1:9" customFormat="1" ht="21">
      <c r="A93" s="28" t="s">
        <v>1773</v>
      </c>
      <c r="B93" s="28" t="s">
        <v>91</v>
      </c>
      <c r="C93" s="28" t="s">
        <v>686</v>
      </c>
      <c r="D93" s="28" t="s">
        <v>687</v>
      </c>
      <c r="E93" s="29">
        <v>349650</v>
      </c>
      <c r="F93" s="29">
        <v>-91004.800000000003</v>
      </c>
      <c r="G93" s="29">
        <v>258645.2</v>
      </c>
      <c r="H93" t="s">
        <v>1750</v>
      </c>
      <c r="I93" t="s">
        <v>681</v>
      </c>
    </row>
    <row r="94" spans="1:9" customFormat="1" ht="21">
      <c r="A94" s="28" t="s">
        <v>1774</v>
      </c>
      <c r="B94" s="28" t="s">
        <v>91</v>
      </c>
      <c r="C94" s="28" t="s">
        <v>605</v>
      </c>
      <c r="D94" s="28" t="s">
        <v>1775</v>
      </c>
      <c r="E94" s="29">
        <v>156000</v>
      </c>
      <c r="F94" s="29">
        <v>-155999</v>
      </c>
      <c r="G94" s="29">
        <v>1</v>
      </c>
      <c r="H94" t="s">
        <v>1750</v>
      </c>
      <c r="I94" t="s">
        <v>681</v>
      </c>
    </row>
    <row r="95" spans="1:9" customFormat="1" ht="21">
      <c r="A95" s="28" t="s">
        <v>1776</v>
      </c>
      <c r="B95" s="28" t="s">
        <v>91</v>
      </c>
      <c r="C95" s="28" t="s">
        <v>605</v>
      </c>
      <c r="D95" s="28" t="s">
        <v>1777</v>
      </c>
      <c r="E95" s="29">
        <v>141800</v>
      </c>
      <c r="F95" s="29">
        <v>-141799</v>
      </c>
      <c r="G95" s="29">
        <v>1</v>
      </c>
      <c r="H95" t="s">
        <v>1750</v>
      </c>
      <c r="I95" t="s">
        <v>681</v>
      </c>
    </row>
    <row r="96" spans="1:9" customFormat="1" ht="21">
      <c r="A96" s="28" t="s">
        <v>1778</v>
      </c>
      <c r="B96" s="28" t="s">
        <v>91</v>
      </c>
      <c r="C96" s="28" t="s">
        <v>605</v>
      </c>
      <c r="D96" s="28" t="s">
        <v>855</v>
      </c>
      <c r="E96" s="29">
        <v>999500</v>
      </c>
      <c r="F96" s="29">
        <v>-956328.86</v>
      </c>
      <c r="G96" s="29">
        <v>43171.14</v>
      </c>
      <c r="H96" t="s">
        <v>1750</v>
      </c>
      <c r="I96" t="s">
        <v>681</v>
      </c>
    </row>
    <row r="97" spans="1:9" customFormat="1" ht="21">
      <c r="A97" s="28" t="s">
        <v>1779</v>
      </c>
      <c r="B97" s="28" t="s">
        <v>91</v>
      </c>
      <c r="C97" s="28" t="s">
        <v>605</v>
      </c>
      <c r="D97" s="28" t="s">
        <v>928</v>
      </c>
      <c r="E97" s="29">
        <v>1019000</v>
      </c>
      <c r="F97" s="29">
        <v>-946293.46</v>
      </c>
      <c r="G97" s="29">
        <v>72706.539999999994</v>
      </c>
      <c r="H97" t="s">
        <v>1750</v>
      </c>
      <c r="I97" t="s">
        <v>681</v>
      </c>
    </row>
    <row r="98" spans="1:9" customFormat="1" ht="21">
      <c r="A98" s="28" t="s">
        <v>1780</v>
      </c>
      <c r="B98" s="28" t="s">
        <v>91</v>
      </c>
      <c r="C98" s="28" t="s">
        <v>605</v>
      </c>
      <c r="D98" s="28" t="s">
        <v>798</v>
      </c>
      <c r="E98" s="29">
        <v>56235</v>
      </c>
      <c r="F98" s="29">
        <v>-52195.4</v>
      </c>
      <c r="G98" s="29">
        <v>4039.6</v>
      </c>
      <c r="H98" t="s">
        <v>1750</v>
      </c>
      <c r="I98" t="s">
        <v>681</v>
      </c>
    </row>
    <row r="99" spans="1:9" customFormat="1" ht="21">
      <c r="A99" s="28" t="s">
        <v>1781</v>
      </c>
      <c r="B99" s="28" t="s">
        <v>91</v>
      </c>
      <c r="C99" s="28" t="s">
        <v>605</v>
      </c>
      <c r="D99" s="28" t="s">
        <v>798</v>
      </c>
      <c r="E99" s="29">
        <v>56235</v>
      </c>
      <c r="F99" s="29">
        <v>-52195.4</v>
      </c>
      <c r="G99" s="29">
        <v>4039.6</v>
      </c>
      <c r="H99" t="s">
        <v>1750</v>
      </c>
      <c r="I99" t="s">
        <v>681</v>
      </c>
    </row>
    <row r="100" spans="1:9" customFormat="1" ht="21">
      <c r="A100" s="28" t="s">
        <v>1782</v>
      </c>
      <c r="B100" s="28" t="s">
        <v>91</v>
      </c>
      <c r="C100" s="28" t="s">
        <v>605</v>
      </c>
      <c r="D100" s="28" t="s">
        <v>798</v>
      </c>
      <c r="E100" s="29">
        <v>56235</v>
      </c>
      <c r="F100" s="29">
        <v>-52195.4</v>
      </c>
      <c r="G100" s="29">
        <v>4039.6</v>
      </c>
      <c r="H100" t="s">
        <v>1750</v>
      </c>
      <c r="I100" t="s">
        <v>681</v>
      </c>
    </row>
    <row r="101" spans="1:9" customFormat="1" ht="21">
      <c r="A101" s="28" t="s">
        <v>1783</v>
      </c>
      <c r="B101" s="28" t="s">
        <v>91</v>
      </c>
      <c r="C101" s="28" t="s">
        <v>605</v>
      </c>
      <c r="D101" s="28" t="s">
        <v>1114</v>
      </c>
      <c r="E101" s="29">
        <v>45475</v>
      </c>
      <c r="F101" s="29">
        <v>-42164.39</v>
      </c>
      <c r="G101" s="29">
        <v>3310.61</v>
      </c>
      <c r="H101" t="s">
        <v>1750</v>
      </c>
      <c r="I101" t="s">
        <v>681</v>
      </c>
    </row>
    <row r="102" spans="1:9" customFormat="1" ht="21">
      <c r="A102" s="28" t="s">
        <v>1784</v>
      </c>
      <c r="B102" s="28" t="s">
        <v>91</v>
      </c>
      <c r="C102" s="28" t="s">
        <v>605</v>
      </c>
      <c r="D102" s="28" t="s">
        <v>1114</v>
      </c>
      <c r="E102" s="29">
        <v>45475</v>
      </c>
      <c r="F102" s="29">
        <v>-42164.39</v>
      </c>
      <c r="G102" s="29">
        <v>3310.61</v>
      </c>
      <c r="H102" t="s">
        <v>1750</v>
      </c>
      <c r="I102" t="s">
        <v>681</v>
      </c>
    </row>
    <row r="103" spans="1:9" customFormat="1" ht="21">
      <c r="A103" s="28" t="s">
        <v>1785</v>
      </c>
      <c r="B103" s="28" t="s">
        <v>91</v>
      </c>
      <c r="C103" s="28" t="s">
        <v>605</v>
      </c>
      <c r="D103" s="28" t="s">
        <v>1114</v>
      </c>
      <c r="E103" s="29">
        <v>45475</v>
      </c>
      <c r="F103" s="29">
        <v>-42164.39</v>
      </c>
      <c r="G103" s="29">
        <v>3310.61</v>
      </c>
      <c r="H103" t="s">
        <v>1750</v>
      </c>
      <c r="I103" t="s">
        <v>681</v>
      </c>
    </row>
    <row r="104" spans="1:9" customFormat="1" ht="21">
      <c r="A104" s="28" t="s">
        <v>1786</v>
      </c>
      <c r="B104" s="28" t="s">
        <v>91</v>
      </c>
      <c r="C104" s="28" t="s">
        <v>605</v>
      </c>
      <c r="D104" s="28" t="s">
        <v>855</v>
      </c>
      <c r="E104" s="29">
        <v>989700</v>
      </c>
      <c r="F104" s="29">
        <v>-783551.64</v>
      </c>
      <c r="G104" s="29">
        <v>206148.36</v>
      </c>
      <c r="H104" t="s">
        <v>1750</v>
      </c>
      <c r="I104" t="s">
        <v>681</v>
      </c>
    </row>
    <row r="105" spans="1:9" customFormat="1" ht="21">
      <c r="A105" s="28" t="s">
        <v>1787</v>
      </c>
      <c r="B105" s="28" t="s">
        <v>91</v>
      </c>
      <c r="C105" s="28" t="s">
        <v>605</v>
      </c>
      <c r="D105" s="28" t="s">
        <v>697</v>
      </c>
      <c r="E105" s="29">
        <v>148500</v>
      </c>
      <c r="F105" s="29">
        <v>-116112.19</v>
      </c>
      <c r="G105" s="29">
        <v>32387.81</v>
      </c>
      <c r="H105" t="s">
        <v>1750</v>
      </c>
      <c r="I105" t="s">
        <v>681</v>
      </c>
    </row>
    <row r="106" spans="1:9" customFormat="1" ht="21">
      <c r="A106" s="28" t="s">
        <v>1788</v>
      </c>
      <c r="B106" s="28" t="s">
        <v>91</v>
      </c>
      <c r="C106" s="28" t="s">
        <v>605</v>
      </c>
      <c r="D106" s="28" t="s">
        <v>716</v>
      </c>
      <c r="E106" s="29">
        <v>798000</v>
      </c>
      <c r="F106" s="29">
        <v>-527368</v>
      </c>
      <c r="G106" s="29">
        <v>270632</v>
      </c>
      <c r="H106" t="s">
        <v>1750</v>
      </c>
      <c r="I106" t="s">
        <v>681</v>
      </c>
    </row>
    <row r="107" spans="1:9" customFormat="1" ht="21">
      <c r="A107" s="28" t="s">
        <v>1789</v>
      </c>
      <c r="B107" s="28" t="s">
        <v>91</v>
      </c>
      <c r="C107" s="28" t="s">
        <v>605</v>
      </c>
      <c r="D107" s="28" t="s">
        <v>819</v>
      </c>
      <c r="E107" s="29">
        <v>1992310</v>
      </c>
      <c r="F107" s="29">
        <v>-1306915.04</v>
      </c>
      <c r="G107" s="29">
        <v>685394.96</v>
      </c>
      <c r="H107" t="s">
        <v>1750</v>
      </c>
      <c r="I107" t="s">
        <v>681</v>
      </c>
    </row>
    <row r="108" spans="1:9" customFormat="1" ht="21">
      <c r="A108" s="28" t="s">
        <v>1790</v>
      </c>
      <c r="B108" s="28" t="s">
        <v>91</v>
      </c>
      <c r="C108" s="28" t="s">
        <v>605</v>
      </c>
      <c r="D108" s="28" t="s">
        <v>886</v>
      </c>
      <c r="E108" s="29">
        <v>1320000</v>
      </c>
      <c r="F108" s="29">
        <v>-465269.16</v>
      </c>
      <c r="G108" s="29">
        <v>854730.84</v>
      </c>
      <c r="H108" t="s">
        <v>1750</v>
      </c>
      <c r="I108" t="s">
        <v>681</v>
      </c>
    </row>
    <row r="109" spans="1:9" customFormat="1" ht="21">
      <c r="A109" s="28" t="s">
        <v>1791</v>
      </c>
      <c r="B109" s="28" t="s">
        <v>91</v>
      </c>
      <c r="C109" s="28" t="s">
        <v>605</v>
      </c>
      <c r="D109" s="28" t="s">
        <v>843</v>
      </c>
      <c r="E109" s="29">
        <v>639500</v>
      </c>
      <c r="F109" s="29">
        <v>-217666.81</v>
      </c>
      <c r="G109" s="29">
        <v>421833.19</v>
      </c>
      <c r="H109" t="s">
        <v>1750</v>
      </c>
      <c r="I109" t="s">
        <v>681</v>
      </c>
    </row>
    <row r="110" spans="1:9" customFormat="1" ht="21">
      <c r="A110" s="28" t="s">
        <v>1792</v>
      </c>
      <c r="B110" s="28" t="s">
        <v>91</v>
      </c>
      <c r="C110" s="28" t="s">
        <v>927</v>
      </c>
      <c r="D110" s="28" t="s">
        <v>687</v>
      </c>
      <c r="E110" s="29">
        <v>594800</v>
      </c>
      <c r="F110" s="29">
        <v>-594799</v>
      </c>
      <c r="G110" s="29">
        <v>1</v>
      </c>
      <c r="H110" t="s">
        <v>1750</v>
      </c>
      <c r="I110" t="s">
        <v>681</v>
      </c>
    </row>
    <row r="111" spans="1:9" customFormat="1" ht="21">
      <c r="A111" s="28" t="s">
        <v>1793</v>
      </c>
      <c r="B111" s="28" t="s">
        <v>91</v>
      </c>
      <c r="C111" s="28" t="s">
        <v>1794</v>
      </c>
      <c r="D111" s="28" t="s">
        <v>1124</v>
      </c>
      <c r="E111" s="29">
        <v>837000</v>
      </c>
      <c r="F111" s="29">
        <v>-57787.41</v>
      </c>
      <c r="G111" s="29">
        <v>779212.59</v>
      </c>
      <c r="H111" t="s">
        <v>1750</v>
      </c>
      <c r="I111" t="s">
        <v>681</v>
      </c>
    </row>
  </sheetData>
  <mergeCells count="105">
    <mergeCell ref="A3:A4"/>
    <mergeCell ref="B3:B4"/>
    <mergeCell ref="C3:N3"/>
    <mergeCell ref="P3:P4"/>
    <mergeCell ref="Q3:Q4"/>
    <mergeCell ref="R3:AC3"/>
    <mergeCell ref="A1:N1"/>
    <mergeCell ref="P1:AC1"/>
    <mergeCell ref="AE1:BD1"/>
    <mergeCell ref="A2:N2"/>
    <mergeCell ref="P2:AC2"/>
    <mergeCell ref="AE2:BD2"/>
    <mergeCell ref="C14:N14"/>
    <mergeCell ref="P14:P15"/>
    <mergeCell ref="Q14:Q15"/>
    <mergeCell ref="R14:AC14"/>
    <mergeCell ref="BA3:BB3"/>
    <mergeCell ref="BC3:BD3"/>
    <mergeCell ref="A12:N12"/>
    <mergeCell ref="P12:AC12"/>
    <mergeCell ref="AE12:BD12"/>
    <mergeCell ref="A13:N13"/>
    <mergeCell ref="P13:AC13"/>
    <mergeCell ref="AE13:BD13"/>
    <mergeCell ref="AO3:AP3"/>
    <mergeCell ref="AQ3:AR3"/>
    <mergeCell ref="AS3:AT3"/>
    <mergeCell ref="AU3:AV3"/>
    <mergeCell ref="AW3:AX3"/>
    <mergeCell ref="AY3:AZ3"/>
    <mergeCell ref="AE3:AE4"/>
    <mergeCell ref="AF3:AF4"/>
    <mergeCell ref="AG3:AH3"/>
    <mergeCell ref="AI3:AJ3"/>
    <mergeCell ref="AK3:AL3"/>
    <mergeCell ref="AM3:AN3"/>
    <mergeCell ref="Q25:Q26"/>
    <mergeCell ref="R25:AC25"/>
    <mergeCell ref="BA14:BB14"/>
    <mergeCell ref="BC14:BD14"/>
    <mergeCell ref="A23:N23"/>
    <mergeCell ref="P23:AC23"/>
    <mergeCell ref="AE23:BD23"/>
    <mergeCell ref="A24:N24"/>
    <mergeCell ref="P24:AC24"/>
    <mergeCell ref="AE24:BD24"/>
    <mergeCell ref="AO14:AP14"/>
    <mergeCell ref="AQ14:AR14"/>
    <mergeCell ref="AS14:AT14"/>
    <mergeCell ref="AU14:AV14"/>
    <mergeCell ref="AW14:AX14"/>
    <mergeCell ref="AY14:AZ14"/>
    <mergeCell ref="AE14:AE15"/>
    <mergeCell ref="AF14:AF15"/>
    <mergeCell ref="AG14:AH14"/>
    <mergeCell ref="AI14:AJ14"/>
    <mergeCell ref="AK14:AL14"/>
    <mergeCell ref="AM14:AN14"/>
    <mergeCell ref="A14:A15"/>
    <mergeCell ref="B14:B15"/>
    <mergeCell ref="BA25:BB25"/>
    <mergeCell ref="BC25:BD25"/>
    <mergeCell ref="A43:N43"/>
    <mergeCell ref="P43:AC43"/>
    <mergeCell ref="AE43:BD43"/>
    <mergeCell ref="A44:N44"/>
    <mergeCell ref="P44:AC44"/>
    <mergeCell ref="AE44:BD44"/>
    <mergeCell ref="AO25:AP25"/>
    <mergeCell ref="AQ25:AR25"/>
    <mergeCell ref="AS25:AT25"/>
    <mergeCell ref="AU25:AV25"/>
    <mergeCell ref="AW25:AX25"/>
    <mergeCell ref="AY25:AZ25"/>
    <mergeCell ref="AE25:AE26"/>
    <mergeCell ref="AF25:AF26"/>
    <mergeCell ref="AG25:AH25"/>
    <mergeCell ref="AI25:AJ25"/>
    <mergeCell ref="AK25:AL25"/>
    <mergeCell ref="AM25:AN25"/>
    <mergeCell ref="A25:A26"/>
    <mergeCell ref="B25:B26"/>
    <mergeCell ref="C25:N25"/>
    <mergeCell ref="P25:P26"/>
    <mergeCell ref="BA45:BB45"/>
    <mergeCell ref="BC45:BD45"/>
    <mergeCell ref="A63:I63"/>
    <mergeCell ref="AO45:AP45"/>
    <mergeCell ref="AQ45:AR45"/>
    <mergeCell ref="AS45:AT45"/>
    <mergeCell ref="AU45:AV45"/>
    <mergeCell ref="AW45:AX45"/>
    <mergeCell ref="AY45:AZ45"/>
    <mergeCell ref="AE45:AE46"/>
    <mergeCell ref="AF45:AF46"/>
    <mergeCell ref="AG45:AH45"/>
    <mergeCell ref="AI45:AJ45"/>
    <mergeCell ref="AK45:AL45"/>
    <mergeCell ref="AM45:AN45"/>
    <mergeCell ref="A45:A46"/>
    <mergeCell ref="B45:B46"/>
    <mergeCell ref="C45:N45"/>
    <mergeCell ref="P45:P46"/>
    <mergeCell ref="Q45:Q46"/>
    <mergeCell ref="R45:AC4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3681-3AB9-4E7D-9CE4-7B8714A31DE5}">
  <dimension ref="A1:BD193"/>
  <sheetViews>
    <sheetView workbookViewId="0">
      <selection activeCell="E53" sqref="E53"/>
    </sheetView>
  </sheetViews>
  <sheetFormatPr defaultColWidth="18.75" defaultRowHeight="24.6"/>
  <cols>
    <col min="1" max="1" width="6.75" style="24" bestFit="1" customWidth="1"/>
    <col min="2" max="2" width="53" style="13" bestFit="1" customWidth="1"/>
    <col min="3" max="3" width="19.5" style="13" bestFit="1" customWidth="1"/>
    <col min="4" max="4" width="20.25" style="13" customWidth="1"/>
    <col min="5" max="5" width="19.625" style="13" customWidth="1"/>
    <col min="6" max="15" width="18.75" style="13"/>
    <col min="16" max="16" width="6.75" style="24" bestFit="1" customWidth="1"/>
    <col min="17" max="17" width="53" style="13" bestFit="1" customWidth="1"/>
    <col min="18" max="20" width="19.5" style="13" bestFit="1" customWidth="1"/>
    <col min="21" max="30" width="18.75" style="13"/>
    <col min="31" max="31" width="6.75" style="24" bestFit="1" customWidth="1"/>
    <col min="32" max="32" width="53" style="13" bestFit="1" customWidth="1"/>
    <col min="33" max="16384" width="18.75" style="13"/>
  </cols>
  <sheetData>
    <row r="1" spans="1:56">
      <c r="A1" s="37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2"/>
      <c r="P1" s="37" t="s">
        <v>49</v>
      </c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E1" s="37" t="s">
        <v>0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</row>
    <row r="2" spans="1:56">
      <c r="A2" s="37" t="s">
        <v>1957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2"/>
      <c r="P2" s="37" t="s">
        <v>1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E2" s="37" t="s">
        <v>1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</row>
    <row r="3" spans="1:56" s="15" customFormat="1">
      <c r="A3" s="35" t="s">
        <v>2</v>
      </c>
      <c r="B3" s="35" t="s">
        <v>3</v>
      </c>
      <c r="C3" s="38" t="s">
        <v>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  <c r="O3" s="14"/>
      <c r="P3" s="35" t="s">
        <v>2</v>
      </c>
      <c r="Q3" s="35" t="s">
        <v>3</v>
      </c>
      <c r="R3" s="38" t="s">
        <v>5</v>
      </c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E3" s="35" t="s">
        <v>2</v>
      </c>
      <c r="AF3" s="35" t="s">
        <v>3</v>
      </c>
      <c r="AG3" s="33">
        <v>25112</v>
      </c>
      <c r="AH3" s="34"/>
      <c r="AI3" s="33">
        <v>25143</v>
      </c>
      <c r="AJ3" s="34"/>
      <c r="AK3" s="33">
        <v>25173</v>
      </c>
      <c r="AL3" s="34"/>
      <c r="AM3" s="33">
        <v>25204</v>
      </c>
      <c r="AN3" s="34"/>
      <c r="AO3" s="33">
        <v>25235</v>
      </c>
      <c r="AP3" s="34"/>
      <c r="AQ3" s="33">
        <v>25263</v>
      </c>
      <c r="AR3" s="34"/>
      <c r="AS3" s="33">
        <v>25294</v>
      </c>
      <c r="AT3" s="34"/>
      <c r="AU3" s="33">
        <v>25324</v>
      </c>
      <c r="AV3" s="34"/>
      <c r="AW3" s="33">
        <v>25355</v>
      </c>
      <c r="AX3" s="34"/>
      <c r="AY3" s="33">
        <v>25385</v>
      </c>
      <c r="AZ3" s="34"/>
      <c r="BA3" s="33">
        <v>25416</v>
      </c>
      <c r="BB3" s="34"/>
      <c r="BC3" s="33">
        <v>25447</v>
      </c>
      <c r="BD3" s="34"/>
    </row>
    <row r="4" spans="1:56" s="15" customFormat="1">
      <c r="A4" s="36"/>
      <c r="B4" s="36"/>
      <c r="C4" s="16">
        <v>25112</v>
      </c>
      <c r="D4" s="16">
        <v>25143</v>
      </c>
      <c r="E4" s="16">
        <v>25173</v>
      </c>
      <c r="F4" s="16">
        <v>25204</v>
      </c>
      <c r="G4" s="16">
        <v>25235</v>
      </c>
      <c r="H4" s="16">
        <v>25263</v>
      </c>
      <c r="I4" s="16">
        <v>25294</v>
      </c>
      <c r="J4" s="16">
        <v>25324</v>
      </c>
      <c r="K4" s="16">
        <v>25355</v>
      </c>
      <c r="L4" s="16">
        <v>25385</v>
      </c>
      <c r="M4" s="16">
        <v>25416</v>
      </c>
      <c r="N4" s="16">
        <v>25447</v>
      </c>
      <c r="P4" s="36"/>
      <c r="Q4" s="36"/>
      <c r="R4" s="16">
        <v>25112</v>
      </c>
      <c r="S4" s="16">
        <v>25143</v>
      </c>
      <c r="T4" s="16">
        <v>25173</v>
      </c>
      <c r="U4" s="16">
        <v>25204</v>
      </c>
      <c r="V4" s="16">
        <v>25235</v>
      </c>
      <c r="W4" s="16">
        <v>25263</v>
      </c>
      <c r="X4" s="16">
        <v>25294</v>
      </c>
      <c r="Y4" s="16">
        <v>25324</v>
      </c>
      <c r="Z4" s="16">
        <v>25355</v>
      </c>
      <c r="AA4" s="16">
        <v>25385</v>
      </c>
      <c r="AB4" s="16">
        <v>25416</v>
      </c>
      <c r="AC4" s="16">
        <v>25447</v>
      </c>
      <c r="AE4" s="36"/>
      <c r="AF4" s="36"/>
      <c r="AG4" s="16" t="s">
        <v>85</v>
      </c>
      <c r="AH4" s="16" t="s">
        <v>86</v>
      </c>
      <c r="AI4" s="16" t="s">
        <v>85</v>
      </c>
      <c r="AJ4" s="16" t="s">
        <v>86</v>
      </c>
      <c r="AK4" s="16" t="s">
        <v>85</v>
      </c>
      <c r="AL4" s="16" t="s">
        <v>86</v>
      </c>
      <c r="AM4" s="16" t="s">
        <v>85</v>
      </c>
      <c r="AN4" s="16" t="s">
        <v>86</v>
      </c>
      <c r="AO4" s="16" t="s">
        <v>85</v>
      </c>
      <c r="AP4" s="16" t="s">
        <v>86</v>
      </c>
      <c r="AQ4" s="16" t="s">
        <v>85</v>
      </c>
      <c r="AR4" s="16" t="s">
        <v>86</v>
      </c>
      <c r="AS4" s="16" t="s">
        <v>85</v>
      </c>
      <c r="AT4" s="16" t="s">
        <v>86</v>
      </c>
      <c r="AU4" s="16" t="s">
        <v>85</v>
      </c>
      <c r="AV4" s="16" t="s">
        <v>86</v>
      </c>
      <c r="AW4" s="16" t="s">
        <v>85</v>
      </c>
      <c r="AX4" s="16" t="s">
        <v>86</v>
      </c>
      <c r="AY4" s="16" t="s">
        <v>85</v>
      </c>
      <c r="AZ4" s="16" t="s">
        <v>86</v>
      </c>
      <c r="BA4" s="16" t="s">
        <v>85</v>
      </c>
      <c r="BB4" s="16" t="s">
        <v>86</v>
      </c>
      <c r="BC4" s="16" t="s">
        <v>85</v>
      </c>
      <c r="BD4" s="16" t="s">
        <v>86</v>
      </c>
    </row>
    <row r="5" spans="1:56">
      <c r="A5" s="17">
        <v>1</v>
      </c>
      <c r="B5" s="18" t="s">
        <v>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P5" s="17">
        <v>1</v>
      </c>
      <c r="Q5" s="18" t="s">
        <v>8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E5" s="17">
        <v>1</v>
      </c>
      <c r="AF5" s="18" t="s">
        <v>8</v>
      </c>
      <c r="AG5" s="19">
        <f>+C5-R5</f>
        <v>0</v>
      </c>
      <c r="AH5" s="19" t="e">
        <f>+AG5/C5*100</f>
        <v>#DIV/0!</v>
      </c>
      <c r="AI5" s="19">
        <f>+D5-S5</f>
        <v>0</v>
      </c>
      <c r="AJ5" s="19" t="e">
        <f>+AI5/D5*100</f>
        <v>#DIV/0!</v>
      </c>
      <c r="AK5" s="19">
        <f>+E5-T5</f>
        <v>0</v>
      </c>
      <c r="AL5" s="19" t="e">
        <f>+AK5/E5*100</f>
        <v>#DIV/0!</v>
      </c>
      <c r="AM5" s="19">
        <f>+F5-U5</f>
        <v>0</v>
      </c>
      <c r="AN5" s="19" t="e">
        <f>+AM5/F5*100</f>
        <v>#DIV/0!</v>
      </c>
      <c r="AO5" s="19">
        <f>+G5-V5</f>
        <v>0</v>
      </c>
      <c r="AP5" s="19" t="e">
        <f>+AO5/G5*100</f>
        <v>#DIV/0!</v>
      </c>
      <c r="AQ5" s="19">
        <f>+H5-W5</f>
        <v>0</v>
      </c>
      <c r="AR5" s="19" t="e">
        <f>+AQ5/H5*100</f>
        <v>#DIV/0!</v>
      </c>
      <c r="AS5" s="19">
        <f>+I5-X5</f>
        <v>0</v>
      </c>
      <c r="AT5" s="19" t="e">
        <f>+AS5/I5*100</f>
        <v>#DIV/0!</v>
      </c>
      <c r="AU5" s="19">
        <f>+J5-Y5</f>
        <v>0</v>
      </c>
      <c r="AV5" s="19" t="e">
        <f>+AU5/J5*100</f>
        <v>#DIV/0!</v>
      </c>
      <c r="AW5" s="19">
        <f>+K5-Z5</f>
        <v>0</v>
      </c>
      <c r="AX5" s="19" t="e">
        <f>+AW5/K5*100</f>
        <v>#DIV/0!</v>
      </c>
      <c r="AY5" s="19">
        <f>+L5-AA5</f>
        <v>0</v>
      </c>
      <c r="AZ5" s="19" t="e">
        <f>+AY5/L5*100</f>
        <v>#DIV/0!</v>
      </c>
      <c r="BA5" s="19">
        <f>+M5-AB5</f>
        <v>0</v>
      </c>
      <c r="BB5" s="19" t="e">
        <f>+BA5/M5*100</f>
        <v>#DIV/0!</v>
      </c>
      <c r="BC5" s="19">
        <f>+N5-AC5</f>
        <v>0</v>
      </c>
      <c r="BD5" s="19" t="e">
        <f>+BC5/N5*100</f>
        <v>#DIV/0!</v>
      </c>
    </row>
    <row r="6" spans="1:56">
      <c r="A6" s="17">
        <v>2</v>
      </c>
      <c r="B6" s="18" t="s">
        <v>9</v>
      </c>
      <c r="C6" s="19">
        <v>101694121</v>
      </c>
      <c r="D6" s="19">
        <v>101694121</v>
      </c>
      <c r="E6" s="19">
        <v>101694121</v>
      </c>
      <c r="F6" s="19"/>
      <c r="G6" s="19"/>
      <c r="H6" s="19"/>
      <c r="I6" s="19"/>
      <c r="J6" s="19"/>
      <c r="K6" s="19"/>
      <c r="L6" s="19"/>
      <c r="M6" s="19"/>
      <c r="N6" s="19"/>
      <c r="P6" s="17">
        <v>2</v>
      </c>
      <c r="Q6" s="18" t="s">
        <v>9</v>
      </c>
      <c r="R6" s="19">
        <v>111732154.16</v>
      </c>
      <c r="S6" s="19">
        <v>111732154.16</v>
      </c>
      <c r="T6" s="19">
        <v>111732154.16</v>
      </c>
      <c r="U6" s="19"/>
      <c r="V6" s="19"/>
      <c r="W6" s="19"/>
      <c r="X6" s="19"/>
      <c r="Y6" s="19"/>
      <c r="Z6" s="19"/>
      <c r="AA6" s="19"/>
      <c r="AB6" s="19"/>
      <c r="AC6" s="19"/>
      <c r="AE6" s="17">
        <v>2</v>
      </c>
      <c r="AF6" s="18" t="s">
        <v>9</v>
      </c>
      <c r="AG6" s="19">
        <f t="shared" ref="AG6:AG10" si="0">+C6-R6</f>
        <v>-10038033.159999996</v>
      </c>
      <c r="AH6" s="19">
        <f t="shared" ref="AH6:AH10" si="1">+AG6/C6*100</f>
        <v>-9.870809700002221</v>
      </c>
      <c r="AI6" s="19">
        <f t="shared" ref="AI6:AI10" si="2">+D6-S6</f>
        <v>-10038033.159999996</v>
      </c>
      <c r="AJ6" s="19">
        <f t="shared" ref="AJ6:AJ10" si="3">+AI6/D6*100</f>
        <v>-9.870809700002221</v>
      </c>
      <c r="AK6" s="19">
        <f t="shared" ref="AK6:AK10" si="4">+E6-T6</f>
        <v>-10038033.159999996</v>
      </c>
      <c r="AL6" s="19">
        <f t="shared" ref="AL6:AL10" si="5">+AK6/E6*100</f>
        <v>-9.870809700002221</v>
      </c>
      <c r="AM6" s="19">
        <f t="shared" ref="AM6:AM10" si="6">+F6-U6</f>
        <v>0</v>
      </c>
      <c r="AN6" s="19" t="e">
        <f t="shared" ref="AN6:AN10" si="7">+AM6/F6*100</f>
        <v>#DIV/0!</v>
      </c>
      <c r="AO6" s="19">
        <f t="shared" ref="AO6:AO10" si="8">+G6-V6</f>
        <v>0</v>
      </c>
      <c r="AP6" s="19" t="e">
        <f t="shared" ref="AP6:AP10" si="9">+AO6/G6*100</f>
        <v>#DIV/0!</v>
      </c>
      <c r="AQ6" s="19">
        <f t="shared" ref="AQ6:AQ10" si="10">+H6-W6</f>
        <v>0</v>
      </c>
      <c r="AR6" s="19" t="e">
        <f t="shared" ref="AR6:AR10" si="11">+AQ6/H6*100</f>
        <v>#DIV/0!</v>
      </c>
      <c r="AS6" s="19">
        <f t="shared" ref="AS6:AS10" si="12">+I6-X6</f>
        <v>0</v>
      </c>
      <c r="AT6" s="19" t="e">
        <f t="shared" ref="AT6:AT10" si="13">+AS6/I6*100</f>
        <v>#DIV/0!</v>
      </c>
      <c r="AU6" s="19">
        <f t="shared" ref="AU6:AU10" si="14">+J6-Y6</f>
        <v>0</v>
      </c>
      <c r="AV6" s="19" t="e">
        <f t="shared" ref="AV6:AV10" si="15">+AU6/J6*100</f>
        <v>#DIV/0!</v>
      </c>
      <c r="AW6" s="19">
        <f t="shared" ref="AW6:AW10" si="16">+K6-Z6</f>
        <v>0</v>
      </c>
      <c r="AX6" s="19" t="e">
        <f t="shared" ref="AX6:AX10" si="17">+AW6/K6*100</f>
        <v>#DIV/0!</v>
      </c>
      <c r="AY6" s="19">
        <f t="shared" ref="AY6:AY10" si="18">+L6-AA6</f>
        <v>0</v>
      </c>
      <c r="AZ6" s="19" t="e">
        <f t="shared" ref="AZ6:AZ10" si="19">+AY6/L6*100</f>
        <v>#DIV/0!</v>
      </c>
      <c r="BA6" s="19">
        <f t="shared" ref="BA6:BA10" si="20">+M6-AB6</f>
        <v>0</v>
      </c>
      <c r="BB6" s="19" t="e">
        <f t="shared" ref="BB6:BB10" si="21">+BA6/M6*100</f>
        <v>#DIV/0!</v>
      </c>
      <c r="BC6" s="19">
        <f t="shared" ref="BC6:BC10" si="22">+N6-AC6</f>
        <v>0</v>
      </c>
      <c r="BD6" s="19" t="e">
        <f t="shared" ref="BD6:BD10" si="23">+BC6/N6*100</f>
        <v>#DIV/0!</v>
      </c>
    </row>
    <row r="7" spans="1:56">
      <c r="A7" s="17">
        <v>3</v>
      </c>
      <c r="B7" s="18" t="s">
        <v>11</v>
      </c>
      <c r="C7" s="19">
        <v>32865507.359999999</v>
      </c>
      <c r="D7" s="19">
        <v>32865507.359999999</v>
      </c>
      <c r="E7" s="19">
        <v>32865507.359999999</v>
      </c>
      <c r="F7" s="19"/>
      <c r="G7" s="19"/>
      <c r="H7" s="19"/>
      <c r="I7" s="19"/>
      <c r="J7" s="19"/>
      <c r="K7" s="19"/>
      <c r="L7" s="19"/>
      <c r="M7" s="19"/>
      <c r="N7" s="19"/>
      <c r="P7" s="17">
        <v>3</v>
      </c>
      <c r="Q7" s="18" t="s">
        <v>11</v>
      </c>
      <c r="R7" s="19">
        <v>47265157.840000004</v>
      </c>
      <c r="S7" s="19">
        <v>47265157.840000004</v>
      </c>
      <c r="T7" s="19">
        <v>47265157.840000004</v>
      </c>
      <c r="U7" s="19"/>
      <c r="V7" s="19"/>
      <c r="W7" s="19"/>
      <c r="X7" s="19"/>
      <c r="Y7" s="19"/>
      <c r="Z7" s="19"/>
      <c r="AA7" s="19"/>
      <c r="AB7" s="19"/>
      <c r="AC7" s="19"/>
      <c r="AE7" s="17">
        <v>3</v>
      </c>
      <c r="AF7" s="18" t="s">
        <v>11</v>
      </c>
      <c r="AG7" s="19">
        <f t="shared" si="0"/>
        <v>-14399650.480000004</v>
      </c>
      <c r="AH7" s="19">
        <f t="shared" si="1"/>
        <v>-43.813869423252996</v>
      </c>
      <c r="AI7" s="19">
        <f t="shared" si="2"/>
        <v>-14399650.480000004</v>
      </c>
      <c r="AJ7" s="19">
        <f t="shared" si="3"/>
        <v>-43.813869423252996</v>
      </c>
      <c r="AK7" s="19">
        <f t="shared" si="4"/>
        <v>-14399650.480000004</v>
      </c>
      <c r="AL7" s="19">
        <f t="shared" si="5"/>
        <v>-43.813869423252996</v>
      </c>
      <c r="AM7" s="19">
        <f t="shared" si="6"/>
        <v>0</v>
      </c>
      <c r="AN7" s="19" t="e">
        <f t="shared" si="7"/>
        <v>#DIV/0!</v>
      </c>
      <c r="AO7" s="19">
        <f t="shared" si="8"/>
        <v>0</v>
      </c>
      <c r="AP7" s="19" t="e">
        <f t="shared" si="9"/>
        <v>#DIV/0!</v>
      </c>
      <c r="AQ7" s="19">
        <f t="shared" si="10"/>
        <v>0</v>
      </c>
      <c r="AR7" s="19" t="e">
        <f t="shared" si="11"/>
        <v>#DIV/0!</v>
      </c>
      <c r="AS7" s="19">
        <f t="shared" si="12"/>
        <v>0</v>
      </c>
      <c r="AT7" s="19" t="e">
        <f t="shared" si="13"/>
        <v>#DIV/0!</v>
      </c>
      <c r="AU7" s="19">
        <f t="shared" si="14"/>
        <v>0</v>
      </c>
      <c r="AV7" s="19" t="e">
        <f t="shared" si="15"/>
        <v>#DIV/0!</v>
      </c>
      <c r="AW7" s="19">
        <f t="shared" si="16"/>
        <v>0</v>
      </c>
      <c r="AX7" s="19" t="e">
        <f t="shared" si="17"/>
        <v>#DIV/0!</v>
      </c>
      <c r="AY7" s="19">
        <f t="shared" si="18"/>
        <v>0</v>
      </c>
      <c r="AZ7" s="19" t="e">
        <f t="shared" si="19"/>
        <v>#DIV/0!</v>
      </c>
      <c r="BA7" s="19">
        <f t="shared" si="20"/>
        <v>0</v>
      </c>
      <c r="BB7" s="19" t="e">
        <f t="shared" si="21"/>
        <v>#DIV/0!</v>
      </c>
      <c r="BC7" s="19">
        <f t="shared" si="22"/>
        <v>0</v>
      </c>
      <c r="BD7" s="19" t="e">
        <f t="shared" si="23"/>
        <v>#DIV/0!</v>
      </c>
    </row>
    <row r="8" spans="1:56">
      <c r="A8" s="17">
        <v>4</v>
      </c>
      <c r="B8" s="18" t="s">
        <v>13</v>
      </c>
      <c r="C8" s="19">
        <v>22880259</v>
      </c>
      <c r="D8" s="19">
        <v>22880259</v>
      </c>
      <c r="E8" s="19">
        <v>22880259</v>
      </c>
      <c r="F8" s="19"/>
      <c r="G8" s="19"/>
      <c r="H8" s="19"/>
      <c r="I8" s="19"/>
      <c r="J8" s="19"/>
      <c r="K8" s="19"/>
      <c r="L8" s="19"/>
      <c r="M8" s="19"/>
      <c r="N8" s="19"/>
      <c r="P8" s="17">
        <v>4</v>
      </c>
      <c r="Q8" s="18" t="s">
        <v>13</v>
      </c>
      <c r="R8" s="19">
        <v>325000</v>
      </c>
      <c r="S8" s="19">
        <v>325000</v>
      </c>
      <c r="T8" s="19">
        <v>325000</v>
      </c>
      <c r="U8" s="19"/>
      <c r="V8" s="19"/>
      <c r="W8" s="19"/>
      <c r="X8" s="19"/>
      <c r="Y8" s="19"/>
      <c r="Z8" s="19"/>
      <c r="AA8" s="19"/>
      <c r="AB8" s="19"/>
      <c r="AC8" s="19"/>
      <c r="AE8" s="17">
        <v>4</v>
      </c>
      <c r="AF8" s="18" t="s">
        <v>13</v>
      </c>
      <c r="AG8" s="19">
        <f t="shared" si="0"/>
        <v>22555259</v>
      </c>
      <c r="AH8" s="19">
        <f t="shared" si="1"/>
        <v>98.579561533809553</v>
      </c>
      <c r="AI8" s="19">
        <f t="shared" si="2"/>
        <v>22555259</v>
      </c>
      <c r="AJ8" s="19">
        <f t="shared" si="3"/>
        <v>98.579561533809553</v>
      </c>
      <c r="AK8" s="19">
        <f t="shared" si="4"/>
        <v>22555259</v>
      </c>
      <c r="AL8" s="19">
        <f t="shared" si="5"/>
        <v>98.579561533809553</v>
      </c>
      <c r="AM8" s="19">
        <f t="shared" si="6"/>
        <v>0</v>
      </c>
      <c r="AN8" s="19" t="e">
        <f t="shared" si="7"/>
        <v>#DIV/0!</v>
      </c>
      <c r="AO8" s="19">
        <f t="shared" si="8"/>
        <v>0</v>
      </c>
      <c r="AP8" s="19" t="e">
        <f t="shared" si="9"/>
        <v>#DIV/0!</v>
      </c>
      <c r="AQ8" s="19">
        <f t="shared" si="10"/>
        <v>0</v>
      </c>
      <c r="AR8" s="19" t="e">
        <f t="shared" si="11"/>
        <v>#DIV/0!</v>
      </c>
      <c r="AS8" s="19">
        <f t="shared" si="12"/>
        <v>0</v>
      </c>
      <c r="AT8" s="19" t="e">
        <f t="shared" si="13"/>
        <v>#DIV/0!</v>
      </c>
      <c r="AU8" s="19">
        <f t="shared" si="14"/>
        <v>0</v>
      </c>
      <c r="AV8" s="19" t="e">
        <f t="shared" si="15"/>
        <v>#DIV/0!</v>
      </c>
      <c r="AW8" s="19">
        <f t="shared" si="16"/>
        <v>0</v>
      </c>
      <c r="AX8" s="19" t="e">
        <f t="shared" si="17"/>
        <v>#DIV/0!</v>
      </c>
      <c r="AY8" s="19">
        <f t="shared" si="18"/>
        <v>0</v>
      </c>
      <c r="AZ8" s="19" t="e">
        <f t="shared" si="19"/>
        <v>#DIV/0!</v>
      </c>
      <c r="BA8" s="19">
        <f t="shared" si="20"/>
        <v>0</v>
      </c>
      <c r="BB8" s="19" t="e">
        <f t="shared" si="21"/>
        <v>#DIV/0!</v>
      </c>
      <c r="BC8" s="19">
        <f t="shared" si="22"/>
        <v>0</v>
      </c>
      <c r="BD8" s="19" t="e">
        <f t="shared" si="23"/>
        <v>#DIV/0!</v>
      </c>
    </row>
    <row r="9" spans="1:56">
      <c r="A9" s="17">
        <v>5</v>
      </c>
      <c r="B9" s="18" t="s">
        <v>15</v>
      </c>
      <c r="C9" s="19">
        <v>10837086</v>
      </c>
      <c r="D9" s="19">
        <v>10837086</v>
      </c>
      <c r="E9" s="19">
        <v>10837086</v>
      </c>
      <c r="F9" s="19"/>
      <c r="G9" s="19"/>
      <c r="H9" s="19"/>
      <c r="I9" s="19"/>
      <c r="J9" s="19"/>
      <c r="K9" s="19"/>
      <c r="L9" s="19"/>
      <c r="M9" s="19"/>
      <c r="N9" s="19"/>
      <c r="P9" s="17">
        <v>5</v>
      </c>
      <c r="Q9" s="18" t="s">
        <v>15</v>
      </c>
      <c r="R9" s="19">
        <v>10603342</v>
      </c>
      <c r="S9" s="19">
        <v>10603342</v>
      </c>
      <c r="T9" s="19">
        <v>10603342</v>
      </c>
      <c r="U9" s="19"/>
      <c r="V9" s="19"/>
      <c r="W9" s="19"/>
      <c r="X9" s="19"/>
      <c r="Y9" s="19"/>
      <c r="Z9" s="19"/>
      <c r="AA9" s="19"/>
      <c r="AB9" s="19"/>
      <c r="AC9" s="19"/>
      <c r="AE9" s="17">
        <v>5</v>
      </c>
      <c r="AF9" s="18" t="s">
        <v>15</v>
      </c>
      <c r="AG9" s="19">
        <f t="shared" si="0"/>
        <v>233744</v>
      </c>
      <c r="AH9" s="19">
        <f t="shared" si="1"/>
        <v>2.1568897764583581</v>
      </c>
      <c r="AI9" s="19">
        <f t="shared" si="2"/>
        <v>233744</v>
      </c>
      <c r="AJ9" s="19">
        <f t="shared" si="3"/>
        <v>2.1568897764583581</v>
      </c>
      <c r="AK9" s="19">
        <f t="shared" si="4"/>
        <v>233744</v>
      </c>
      <c r="AL9" s="19">
        <f t="shared" si="5"/>
        <v>2.1568897764583581</v>
      </c>
      <c r="AM9" s="19">
        <f t="shared" si="6"/>
        <v>0</v>
      </c>
      <c r="AN9" s="19" t="e">
        <f t="shared" si="7"/>
        <v>#DIV/0!</v>
      </c>
      <c r="AO9" s="19">
        <f t="shared" si="8"/>
        <v>0</v>
      </c>
      <c r="AP9" s="19" t="e">
        <f t="shared" si="9"/>
        <v>#DIV/0!</v>
      </c>
      <c r="AQ9" s="19">
        <f t="shared" si="10"/>
        <v>0</v>
      </c>
      <c r="AR9" s="19" t="e">
        <f t="shared" si="11"/>
        <v>#DIV/0!</v>
      </c>
      <c r="AS9" s="19">
        <f t="shared" si="12"/>
        <v>0</v>
      </c>
      <c r="AT9" s="19" t="e">
        <f t="shared" si="13"/>
        <v>#DIV/0!</v>
      </c>
      <c r="AU9" s="19">
        <f t="shared" si="14"/>
        <v>0</v>
      </c>
      <c r="AV9" s="19" t="e">
        <f t="shared" si="15"/>
        <v>#DIV/0!</v>
      </c>
      <c r="AW9" s="19">
        <f t="shared" si="16"/>
        <v>0</v>
      </c>
      <c r="AX9" s="19" t="e">
        <f t="shared" si="17"/>
        <v>#DIV/0!</v>
      </c>
      <c r="AY9" s="19">
        <f t="shared" si="18"/>
        <v>0</v>
      </c>
      <c r="AZ9" s="19" t="e">
        <f t="shared" si="19"/>
        <v>#DIV/0!</v>
      </c>
      <c r="BA9" s="19">
        <f t="shared" si="20"/>
        <v>0</v>
      </c>
      <c r="BB9" s="19" t="e">
        <f t="shared" si="21"/>
        <v>#DIV/0!</v>
      </c>
      <c r="BC9" s="19">
        <f t="shared" si="22"/>
        <v>0</v>
      </c>
      <c r="BD9" s="19" t="e">
        <f t="shared" si="23"/>
        <v>#DIV/0!</v>
      </c>
    </row>
    <row r="10" spans="1:56" s="22" customFormat="1" ht="25.2" thickBot="1">
      <c r="A10" s="20"/>
      <c r="B10" s="20" t="s">
        <v>17</v>
      </c>
      <c r="C10" s="21">
        <f>SUM(C5:C9)</f>
        <v>168276973.36000001</v>
      </c>
      <c r="D10" s="21">
        <f t="shared" ref="D10:N10" si="24">SUM(D5:D9)</f>
        <v>168276973.36000001</v>
      </c>
      <c r="E10" s="21">
        <f t="shared" si="24"/>
        <v>168276973.36000001</v>
      </c>
      <c r="F10" s="21">
        <f t="shared" si="24"/>
        <v>0</v>
      </c>
      <c r="G10" s="21">
        <f t="shared" si="24"/>
        <v>0</v>
      </c>
      <c r="H10" s="21">
        <f t="shared" si="24"/>
        <v>0</v>
      </c>
      <c r="I10" s="21">
        <f t="shared" si="24"/>
        <v>0</v>
      </c>
      <c r="J10" s="21">
        <f t="shared" si="24"/>
        <v>0</v>
      </c>
      <c r="K10" s="21">
        <f t="shared" si="24"/>
        <v>0</v>
      </c>
      <c r="L10" s="21">
        <f t="shared" si="24"/>
        <v>0</v>
      </c>
      <c r="M10" s="21">
        <f t="shared" si="24"/>
        <v>0</v>
      </c>
      <c r="N10" s="21">
        <f t="shared" si="24"/>
        <v>0</v>
      </c>
      <c r="P10" s="20"/>
      <c r="Q10" s="20" t="s">
        <v>17</v>
      </c>
      <c r="R10" s="21">
        <f>SUM(R5:R9)</f>
        <v>169925654</v>
      </c>
      <c r="S10" s="21">
        <f t="shared" ref="S10:AC10" si="25">SUM(S5:S9)</f>
        <v>169925654</v>
      </c>
      <c r="T10" s="21">
        <f t="shared" si="25"/>
        <v>169925654</v>
      </c>
      <c r="U10" s="21">
        <f t="shared" si="25"/>
        <v>0</v>
      </c>
      <c r="V10" s="21">
        <f t="shared" si="25"/>
        <v>0</v>
      </c>
      <c r="W10" s="21">
        <f t="shared" si="25"/>
        <v>0</v>
      </c>
      <c r="X10" s="21">
        <f t="shared" si="25"/>
        <v>0</v>
      </c>
      <c r="Y10" s="21">
        <f t="shared" si="25"/>
        <v>0</v>
      </c>
      <c r="Z10" s="21">
        <f t="shared" si="25"/>
        <v>0</v>
      </c>
      <c r="AA10" s="21">
        <f t="shared" si="25"/>
        <v>0</v>
      </c>
      <c r="AB10" s="21">
        <f t="shared" si="25"/>
        <v>0</v>
      </c>
      <c r="AC10" s="21">
        <f t="shared" si="25"/>
        <v>0</v>
      </c>
      <c r="AE10" s="20"/>
      <c r="AF10" s="20" t="s">
        <v>17</v>
      </c>
      <c r="AG10" s="23">
        <f t="shared" si="0"/>
        <v>-1648680.6399999857</v>
      </c>
      <c r="AH10" s="23">
        <f t="shared" si="1"/>
        <v>-0.97974227078170306</v>
      </c>
      <c r="AI10" s="23">
        <f t="shared" si="2"/>
        <v>-1648680.6399999857</v>
      </c>
      <c r="AJ10" s="23">
        <f t="shared" si="3"/>
        <v>-0.97974227078170306</v>
      </c>
      <c r="AK10" s="23">
        <f t="shared" si="4"/>
        <v>-1648680.6399999857</v>
      </c>
      <c r="AL10" s="23">
        <f t="shared" si="5"/>
        <v>-0.97974227078170306</v>
      </c>
      <c r="AM10" s="23">
        <f t="shared" si="6"/>
        <v>0</v>
      </c>
      <c r="AN10" s="23" t="e">
        <f t="shared" si="7"/>
        <v>#DIV/0!</v>
      </c>
      <c r="AO10" s="23">
        <f t="shared" si="8"/>
        <v>0</v>
      </c>
      <c r="AP10" s="23" t="e">
        <f t="shared" si="9"/>
        <v>#DIV/0!</v>
      </c>
      <c r="AQ10" s="23">
        <f t="shared" si="10"/>
        <v>0</v>
      </c>
      <c r="AR10" s="23" t="e">
        <f t="shared" si="11"/>
        <v>#DIV/0!</v>
      </c>
      <c r="AS10" s="23">
        <f t="shared" si="12"/>
        <v>0</v>
      </c>
      <c r="AT10" s="23" t="e">
        <f t="shared" si="13"/>
        <v>#DIV/0!</v>
      </c>
      <c r="AU10" s="23">
        <f t="shared" si="14"/>
        <v>0</v>
      </c>
      <c r="AV10" s="23" t="e">
        <f t="shared" si="15"/>
        <v>#DIV/0!</v>
      </c>
      <c r="AW10" s="23">
        <f t="shared" si="16"/>
        <v>0</v>
      </c>
      <c r="AX10" s="23" t="e">
        <f t="shared" si="17"/>
        <v>#DIV/0!</v>
      </c>
      <c r="AY10" s="23">
        <f t="shared" si="18"/>
        <v>0</v>
      </c>
      <c r="AZ10" s="23" t="e">
        <f t="shared" si="19"/>
        <v>#DIV/0!</v>
      </c>
      <c r="BA10" s="23">
        <f t="shared" si="20"/>
        <v>0</v>
      </c>
      <c r="BB10" s="23" t="e">
        <f t="shared" si="21"/>
        <v>#DIV/0!</v>
      </c>
      <c r="BC10" s="23">
        <f t="shared" si="22"/>
        <v>0</v>
      </c>
      <c r="BD10" s="23" t="e">
        <f t="shared" si="23"/>
        <v>#DIV/0!</v>
      </c>
    </row>
    <row r="11" spans="1:56" ht="25.2" thickTop="1"/>
    <row r="12" spans="1:56">
      <c r="A12" s="37" t="s">
        <v>46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P12" s="37" t="s">
        <v>50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E12" s="37" t="s">
        <v>87</v>
      </c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</row>
    <row r="13" spans="1:56">
      <c r="A13" s="37" t="s">
        <v>1957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P13" s="37" t="s">
        <v>1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E13" s="37" t="s">
        <v>1</v>
      </c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</row>
    <row r="14" spans="1:56" s="15" customFormat="1">
      <c r="A14" s="35" t="s">
        <v>2</v>
      </c>
      <c r="B14" s="35" t="s">
        <v>3</v>
      </c>
      <c r="C14" s="38" t="s">
        <v>4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0"/>
      <c r="P14" s="35" t="s">
        <v>2</v>
      </c>
      <c r="Q14" s="35" t="s">
        <v>3</v>
      </c>
      <c r="R14" s="38" t="s">
        <v>5</v>
      </c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40"/>
      <c r="AE14" s="35" t="s">
        <v>2</v>
      </c>
      <c r="AF14" s="35" t="s">
        <v>3</v>
      </c>
      <c r="AG14" s="33">
        <v>25112</v>
      </c>
      <c r="AH14" s="34"/>
      <c r="AI14" s="33">
        <v>25143</v>
      </c>
      <c r="AJ14" s="34"/>
      <c r="AK14" s="33">
        <v>25173</v>
      </c>
      <c r="AL14" s="34"/>
      <c r="AM14" s="33">
        <v>25204</v>
      </c>
      <c r="AN14" s="34"/>
      <c r="AO14" s="33">
        <v>25235</v>
      </c>
      <c r="AP14" s="34"/>
      <c r="AQ14" s="33">
        <v>25263</v>
      </c>
      <c r="AR14" s="34"/>
      <c r="AS14" s="33">
        <v>25294</v>
      </c>
      <c r="AT14" s="34"/>
      <c r="AU14" s="33">
        <v>25324</v>
      </c>
      <c r="AV14" s="34"/>
      <c r="AW14" s="33">
        <v>25355</v>
      </c>
      <c r="AX14" s="34"/>
      <c r="AY14" s="33">
        <v>25385</v>
      </c>
      <c r="AZ14" s="34"/>
      <c r="BA14" s="33">
        <v>25416</v>
      </c>
      <c r="BB14" s="34"/>
      <c r="BC14" s="33">
        <v>25447</v>
      </c>
      <c r="BD14" s="34"/>
    </row>
    <row r="15" spans="1:56" s="15" customFormat="1">
      <c r="A15" s="36"/>
      <c r="B15" s="36"/>
      <c r="C15" s="16">
        <v>25112</v>
      </c>
      <c r="D15" s="16">
        <v>25143</v>
      </c>
      <c r="E15" s="16">
        <v>25173</v>
      </c>
      <c r="F15" s="16">
        <v>25204</v>
      </c>
      <c r="G15" s="16">
        <v>25235</v>
      </c>
      <c r="H15" s="16">
        <v>25263</v>
      </c>
      <c r="I15" s="16">
        <v>25294</v>
      </c>
      <c r="J15" s="16">
        <v>25324</v>
      </c>
      <c r="K15" s="16">
        <v>25355</v>
      </c>
      <c r="L15" s="16">
        <v>25385</v>
      </c>
      <c r="M15" s="16">
        <v>25416</v>
      </c>
      <c r="N15" s="16">
        <v>25447</v>
      </c>
      <c r="P15" s="36"/>
      <c r="Q15" s="36"/>
      <c r="R15" s="16">
        <v>25112</v>
      </c>
      <c r="S15" s="16">
        <v>25143</v>
      </c>
      <c r="T15" s="16">
        <v>25173</v>
      </c>
      <c r="U15" s="16">
        <v>25204</v>
      </c>
      <c r="V15" s="16">
        <v>25235</v>
      </c>
      <c r="W15" s="16">
        <v>25263</v>
      </c>
      <c r="X15" s="16">
        <v>25294</v>
      </c>
      <c r="Y15" s="16">
        <v>25324</v>
      </c>
      <c r="Z15" s="16">
        <v>25355</v>
      </c>
      <c r="AA15" s="16">
        <v>25385</v>
      </c>
      <c r="AB15" s="16">
        <v>25416</v>
      </c>
      <c r="AC15" s="16">
        <v>25447</v>
      </c>
      <c r="AE15" s="36"/>
      <c r="AF15" s="36"/>
      <c r="AG15" s="16" t="s">
        <v>85</v>
      </c>
      <c r="AH15" s="16" t="s">
        <v>86</v>
      </c>
      <c r="AI15" s="16" t="s">
        <v>85</v>
      </c>
      <c r="AJ15" s="16" t="s">
        <v>86</v>
      </c>
      <c r="AK15" s="16" t="s">
        <v>85</v>
      </c>
      <c r="AL15" s="16" t="s">
        <v>86</v>
      </c>
      <c r="AM15" s="16" t="s">
        <v>85</v>
      </c>
      <c r="AN15" s="16" t="s">
        <v>86</v>
      </c>
      <c r="AO15" s="16" t="s">
        <v>85</v>
      </c>
      <c r="AP15" s="16" t="s">
        <v>86</v>
      </c>
      <c r="AQ15" s="16" t="s">
        <v>85</v>
      </c>
      <c r="AR15" s="16" t="s">
        <v>86</v>
      </c>
      <c r="AS15" s="16" t="s">
        <v>85</v>
      </c>
      <c r="AT15" s="16" t="s">
        <v>86</v>
      </c>
      <c r="AU15" s="16" t="s">
        <v>85</v>
      </c>
      <c r="AV15" s="16" t="s">
        <v>86</v>
      </c>
      <c r="AW15" s="16" t="s">
        <v>85</v>
      </c>
      <c r="AX15" s="16" t="s">
        <v>86</v>
      </c>
      <c r="AY15" s="16" t="s">
        <v>85</v>
      </c>
      <c r="AZ15" s="16" t="s">
        <v>86</v>
      </c>
      <c r="BA15" s="16" t="s">
        <v>85</v>
      </c>
      <c r="BB15" s="16" t="s">
        <v>86</v>
      </c>
      <c r="BC15" s="16" t="s">
        <v>85</v>
      </c>
      <c r="BD15" s="16" t="s">
        <v>86</v>
      </c>
    </row>
    <row r="16" spans="1:56">
      <c r="A16" s="17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P16" s="17"/>
      <c r="Q16" s="18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E16" s="17"/>
      <c r="AF16" s="18"/>
      <c r="AG16" s="19"/>
      <c r="AH16" s="19"/>
      <c r="AI16" s="19"/>
      <c r="AJ16" s="19"/>
      <c r="AK16" s="19"/>
      <c r="AL16" s="19"/>
      <c r="AM16" s="19"/>
      <c r="AN16" s="19"/>
      <c r="AO16" s="18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</row>
    <row r="17" spans="1:56">
      <c r="A17" s="17">
        <v>1</v>
      </c>
      <c r="B17" s="18" t="s">
        <v>10</v>
      </c>
      <c r="C17" s="19">
        <v>50356090.68</v>
      </c>
      <c r="D17" s="19">
        <v>50583543.020000003</v>
      </c>
      <c r="E17" s="19">
        <v>50818577.109999999</v>
      </c>
      <c r="F17" s="19"/>
      <c r="G17" s="19"/>
      <c r="H17" s="19"/>
      <c r="I17" s="19"/>
      <c r="J17" s="19"/>
      <c r="K17" s="19"/>
      <c r="L17" s="19"/>
      <c r="M17" s="19"/>
      <c r="N17" s="19"/>
      <c r="P17" s="17">
        <v>1</v>
      </c>
      <c r="Q17" s="18" t="s">
        <v>10</v>
      </c>
      <c r="R17" s="19">
        <v>69735471.540000007</v>
      </c>
      <c r="S17" s="19">
        <v>69814608.209999993</v>
      </c>
      <c r="T17" s="19">
        <v>69893744.879999995</v>
      </c>
      <c r="U17" s="19"/>
      <c r="V17" s="19"/>
      <c r="W17" s="19"/>
      <c r="X17" s="19"/>
      <c r="Y17" s="19"/>
      <c r="Z17" s="19"/>
      <c r="AA17" s="19"/>
      <c r="AB17" s="19"/>
      <c r="AC17" s="19"/>
      <c r="AE17" s="17">
        <v>1</v>
      </c>
      <c r="AF17" s="18" t="s">
        <v>10</v>
      </c>
      <c r="AG17" s="19">
        <f t="shared" ref="AG17:AG21" si="26">+C17-R17</f>
        <v>-19379380.860000007</v>
      </c>
      <c r="AH17" s="19">
        <f t="shared" ref="AH17:AH21" si="27">+AG17/C17*100</f>
        <v>-38.484680995494642</v>
      </c>
      <c r="AI17" s="19">
        <f t="shared" ref="AI17:AI21" si="28">+D17-S17</f>
        <v>-19231065.18999999</v>
      </c>
      <c r="AJ17" s="19">
        <f t="shared" ref="AJ17:AJ21" si="29">+AI17/D17*100</f>
        <v>-38.01842267631649</v>
      </c>
      <c r="AK17" s="19">
        <f t="shared" ref="AK17:AK21" si="30">+E17-T17</f>
        <v>-19075167.769999996</v>
      </c>
      <c r="AL17" s="19">
        <f t="shared" ref="AL17:AL21" si="31">+AK17/E17*100</f>
        <v>-37.535816338797915</v>
      </c>
      <c r="AM17" s="19">
        <f t="shared" ref="AM17:AM21" si="32">+F17-U17</f>
        <v>0</v>
      </c>
      <c r="AN17" s="19" t="e">
        <f t="shared" ref="AN17:AN21" si="33">+AM17/F17*100</f>
        <v>#DIV/0!</v>
      </c>
      <c r="AO17" s="19">
        <f t="shared" ref="AO17:AO21" si="34">+G17-V17</f>
        <v>0</v>
      </c>
      <c r="AP17" s="19" t="e">
        <f t="shared" ref="AP17:AP21" si="35">+AO17/G17*100</f>
        <v>#DIV/0!</v>
      </c>
      <c r="AQ17" s="19">
        <f t="shared" ref="AQ17:AQ21" si="36">+H17-W17</f>
        <v>0</v>
      </c>
      <c r="AR17" s="19" t="e">
        <f t="shared" ref="AR17:AR21" si="37">+AQ17/H17*100</f>
        <v>#DIV/0!</v>
      </c>
      <c r="AS17" s="19">
        <f t="shared" ref="AS17:AS21" si="38">+I17-X17</f>
        <v>0</v>
      </c>
      <c r="AT17" s="19" t="e">
        <f t="shared" ref="AT17:AT21" si="39">+AS17/I17*100</f>
        <v>#DIV/0!</v>
      </c>
      <c r="AU17" s="19">
        <f t="shared" ref="AU17:AU21" si="40">+J17-Y17</f>
        <v>0</v>
      </c>
      <c r="AV17" s="19" t="e">
        <f t="shared" ref="AV17:AV21" si="41">+AU17/J17*100</f>
        <v>#DIV/0!</v>
      </c>
      <c r="AW17" s="19">
        <f t="shared" ref="AW17:AW21" si="42">+K17-Z17</f>
        <v>0</v>
      </c>
      <c r="AX17" s="19" t="e">
        <f t="shared" ref="AX17:AX21" si="43">+AW17/K17*100</f>
        <v>#DIV/0!</v>
      </c>
      <c r="AY17" s="19">
        <f t="shared" ref="AY17:AY21" si="44">+L17-AA17</f>
        <v>0</v>
      </c>
      <c r="AZ17" s="19" t="e">
        <f t="shared" ref="AZ17:AZ21" si="45">+AY17/L17*100</f>
        <v>#DIV/0!</v>
      </c>
      <c r="BA17" s="19">
        <f t="shared" ref="BA17:BA21" si="46">+M17-AB17</f>
        <v>0</v>
      </c>
      <c r="BB17" s="19" t="e">
        <f t="shared" ref="BB17:BB21" si="47">+BA17/M17*100</f>
        <v>#DIV/0!</v>
      </c>
      <c r="BC17" s="19">
        <f t="shared" ref="BC17:BC21" si="48">+N17-AC17</f>
        <v>0</v>
      </c>
      <c r="BD17" s="19" t="e">
        <f t="shared" ref="BD17:BD21" si="49">+BC17/N17*100</f>
        <v>#DIV/0!</v>
      </c>
    </row>
    <row r="18" spans="1:56">
      <c r="A18" s="17">
        <v>2</v>
      </c>
      <c r="B18" s="18" t="s">
        <v>12</v>
      </c>
      <c r="C18" s="19">
        <v>21397123.239999998</v>
      </c>
      <c r="D18" s="19">
        <v>21458260.91</v>
      </c>
      <c r="E18" s="19">
        <v>21521436.510000002</v>
      </c>
      <c r="F18" s="19"/>
      <c r="G18" s="19"/>
      <c r="H18" s="19"/>
      <c r="I18" s="19"/>
      <c r="J18" s="19"/>
      <c r="K18" s="19"/>
      <c r="L18" s="19"/>
      <c r="M18" s="19"/>
      <c r="N18" s="19"/>
      <c r="P18" s="17">
        <v>2</v>
      </c>
      <c r="Q18" s="18" t="s">
        <v>12</v>
      </c>
      <c r="R18" s="19">
        <v>27684044.170000002</v>
      </c>
      <c r="S18" s="19">
        <v>27746033.59</v>
      </c>
      <c r="T18" s="19">
        <v>27808023.010000002</v>
      </c>
      <c r="U18" s="19"/>
      <c r="V18" s="19"/>
      <c r="W18" s="19"/>
      <c r="X18" s="19"/>
      <c r="Y18" s="19"/>
      <c r="Z18" s="19"/>
      <c r="AA18" s="19"/>
      <c r="AB18" s="19"/>
      <c r="AC18" s="19"/>
      <c r="AE18" s="17">
        <v>2</v>
      </c>
      <c r="AF18" s="18" t="s">
        <v>12</v>
      </c>
      <c r="AG18" s="19">
        <f t="shared" si="26"/>
        <v>-6286920.9300000034</v>
      </c>
      <c r="AH18" s="19">
        <f t="shared" si="27"/>
        <v>-29.3820849629317</v>
      </c>
      <c r="AI18" s="19">
        <f t="shared" si="28"/>
        <v>-6287772.6799999997</v>
      </c>
      <c r="AJ18" s="19">
        <f t="shared" si="29"/>
        <v>-29.30234051292463</v>
      </c>
      <c r="AK18" s="19">
        <f t="shared" si="30"/>
        <v>-6286586.5</v>
      </c>
      <c r="AL18" s="19">
        <f t="shared" si="31"/>
        <v>-29.210812656854568</v>
      </c>
      <c r="AM18" s="19">
        <f t="shared" si="32"/>
        <v>0</v>
      </c>
      <c r="AN18" s="19" t="e">
        <f t="shared" si="33"/>
        <v>#DIV/0!</v>
      </c>
      <c r="AO18" s="19">
        <f t="shared" si="34"/>
        <v>0</v>
      </c>
      <c r="AP18" s="19" t="e">
        <f t="shared" si="35"/>
        <v>#DIV/0!</v>
      </c>
      <c r="AQ18" s="19">
        <f t="shared" si="36"/>
        <v>0</v>
      </c>
      <c r="AR18" s="19" t="e">
        <f t="shared" si="37"/>
        <v>#DIV/0!</v>
      </c>
      <c r="AS18" s="19">
        <f t="shared" si="38"/>
        <v>0</v>
      </c>
      <c r="AT18" s="19" t="e">
        <f t="shared" si="39"/>
        <v>#DIV/0!</v>
      </c>
      <c r="AU18" s="19">
        <f t="shared" si="40"/>
        <v>0</v>
      </c>
      <c r="AV18" s="19" t="e">
        <f t="shared" si="41"/>
        <v>#DIV/0!</v>
      </c>
      <c r="AW18" s="19">
        <f t="shared" si="42"/>
        <v>0</v>
      </c>
      <c r="AX18" s="19" t="e">
        <f t="shared" si="43"/>
        <v>#DIV/0!</v>
      </c>
      <c r="AY18" s="19">
        <f t="shared" si="44"/>
        <v>0</v>
      </c>
      <c r="AZ18" s="19" t="e">
        <f t="shared" si="45"/>
        <v>#DIV/0!</v>
      </c>
      <c r="BA18" s="19">
        <f t="shared" si="46"/>
        <v>0</v>
      </c>
      <c r="BB18" s="19" t="e">
        <f t="shared" si="47"/>
        <v>#DIV/0!</v>
      </c>
      <c r="BC18" s="19">
        <f t="shared" si="48"/>
        <v>0</v>
      </c>
      <c r="BD18" s="19" t="e">
        <f t="shared" si="49"/>
        <v>#DIV/0!</v>
      </c>
    </row>
    <row r="19" spans="1:56">
      <c r="A19" s="17">
        <v>3</v>
      </c>
      <c r="B19" s="18" t="s">
        <v>14</v>
      </c>
      <c r="C19" s="19">
        <v>10468003.039999999</v>
      </c>
      <c r="D19" s="19">
        <v>10545960.73</v>
      </c>
      <c r="E19" s="19">
        <v>10626517</v>
      </c>
      <c r="F19" s="19"/>
      <c r="G19" s="19"/>
      <c r="H19" s="19"/>
      <c r="I19" s="19"/>
      <c r="J19" s="19"/>
      <c r="K19" s="19"/>
      <c r="L19" s="19"/>
      <c r="M19" s="19"/>
      <c r="N19" s="19"/>
      <c r="P19" s="17">
        <v>3</v>
      </c>
      <c r="Q19" s="18" t="s">
        <v>14</v>
      </c>
      <c r="R19" s="19">
        <v>231072.84</v>
      </c>
      <c r="S19" s="19">
        <v>232006.17</v>
      </c>
      <c r="T19" s="19">
        <v>232939.5</v>
      </c>
      <c r="U19" s="19"/>
      <c r="V19" s="19"/>
      <c r="W19" s="19"/>
      <c r="X19" s="19"/>
      <c r="Y19" s="19"/>
      <c r="Z19" s="19"/>
      <c r="AA19" s="19"/>
      <c r="AB19" s="19"/>
      <c r="AC19" s="19"/>
      <c r="AE19" s="17">
        <v>3</v>
      </c>
      <c r="AF19" s="18" t="s">
        <v>14</v>
      </c>
      <c r="AG19" s="19">
        <f t="shared" si="26"/>
        <v>10236930.199999999</v>
      </c>
      <c r="AH19" s="19">
        <f t="shared" si="27"/>
        <v>97.792579548200052</v>
      </c>
      <c r="AI19" s="19">
        <f t="shared" si="28"/>
        <v>10313954.560000001</v>
      </c>
      <c r="AJ19" s="19">
        <f t="shared" si="29"/>
        <v>97.800047089687965</v>
      </c>
      <c r="AK19" s="19">
        <f t="shared" si="30"/>
        <v>10393577.5</v>
      </c>
      <c r="AL19" s="19">
        <f t="shared" si="31"/>
        <v>97.807941209711515</v>
      </c>
      <c r="AM19" s="19">
        <f t="shared" si="32"/>
        <v>0</v>
      </c>
      <c r="AN19" s="19" t="e">
        <f t="shared" si="33"/>
        <v>#DIV/0!</v>
      </c>
      <c r="AO19" s="19">
        <f t="shared" si="34"/>
        <v>0</v>
      </c>
      <c r="AP19" s="19" t="e">
        <f t="shared" si="35"/>
        <v>#DIV/0!</v>
      </c>
      <c r="AQ19" s="19">
        <f t="shared" si="36"/>
        <v>0</v>
      </c>
      <c r="AR19" s="19" t="e">
        <f t="shared" si="37"/>
        <v>#DIV/0!</v>
      </c>
      <c r="AS19" s="19">
        <f t="shared" si="38"/>
        <v>0</v>
      </c>
      <c r="AT19" s="19" t="e">
        <f t="shared" si="39"/>
        <v>#DIV/0!</v>
      </c>
      <c r="AU19" s="19">
        <f t="shared" si="40"/>
        <v>0</v>
      </c>
      <c r="AV19" s="19" t="e">
        <f t="shared" si="41"/>
        <v>#DIV/0!</v>
      </c>
      <c r="AW19" s="19">
        <f t="shared" si="42"/>
        <v>0</v>
      </c>
      <c r="AX19" s="19" t="e">
        <f t="shared" si="43"/>
        <v>#DIV/0!</v>
      </c>
      <c r="AY19" s="19">
        <f t="shared" si="44"/>
        <v>0</v>
      </c>
      <c r="AZ19" s="19" t="e">
        <f t="shared" si="45"/>
        <v>#DIV/0!</v>
      </c>
      <c r="BA19" s="19">
        <f t="shared" si="46"/>
        <v>0</v>
      </c>
      <c r="BB19" s="19" t="e">
        <f t="shared" si="47"/>
        <v>#DIV/0!</v>
      </c>
      <c r="BC19" s="19">
        <f t="shared" si="48"/>
        <v>0</v>
      </c>
      <c r="BD19" s="19" t="e">
        <f t="shared" si="49"/>
        <v>#DIV/0!</v>
      </c>
    </row>
    <row r="20" spans="1:56">
      <c r="A20" s="17">
        <v>4</v>
      </c>
      <c r="B20" s="18" t="s">
        <v>16</v>
      </c>
      <c r="C20" s="19">
        <v>9795235.8100000005</v>
      </c>
      <c r="D20" s="19">
        <v>9830759.9900000002</v>
      </c>
      <c r="E20" s="19">
        <v>9867468.3100000005</v>
      </c>
      <c r="F20" s="19"/>
      <c r="G20" s="19"/>
      <c r="H20" s="19"/>
      <c r="I20" s="19"/>
      <c r="J20" s="19"/>
      <c r="K20" s="19"/>
      <c r="L20" s="19"/>
      <c r="M20" s="19"/>
      <c r="N20" s="19"/>
      <c r="P20" s="17">
        <v>4</v>
      </c>
      <c r="Q20" s="18" t="s">
        <v>16</v>
      </c>
      <c r="R20" s="19">
        <v>10228808.220000001</v>
      </c>
      <c r="S20" s="19">
        <v>10244226.550000001</v>
      </c>
      <c r="T20" s="19">
        <v>10259644.880000001</v>
      </c>
      <c r="U20" s="19"/>
      <c r="V20" s="19"/>
      <c r="W20" s="19"/>
      <c r="X20" s="19"/>
      <c r="Y20" s="19"/>
      <c r="Z20" s="19"/>
      <c r="AA20" s="19"/>
      <c r="AB20" s="19"/>
      <c r="AC20" s="19"/>
      <c r="AE20" s="17">
        <v>4</v>
      </c>
      <c r="AF20" s="18" t="s">
        <v>16</v>
      </c>
      <c r="AG20" s="19">
        <f t="shared" si="26"/>
        <v>-433572.41000000015</v>
      </c>
      <c r="AH20" s="19">
        <f t="shared" si="27"/>
        <v>-4.4263601041371983</v>
      </c>
      <c r="AI20" s="19">
        <f t="shared" si="28"/>
        <v>-413466.56000000052</v>
      </c>
      <c r="AJ20" s="19">
        <f t="shared" si="29"/>
        <v>-4.2058453305805967</v>
      </c>
      <c r="AK20" s="19">
        <f t="shared" si="30"/>
        <v>-392176.5700000003</v>
      </c>
      <c r="AL20" s="19">
        <f t="shared" si="31"/>
        <v>-3.9744396199636776</v>
      </c>
      <c r="AM20" s="19">
        <f t="shared" si="32"/>
        <v>0</v>
      </c>
      <c r="AN20" s="19" t="e">
        <f t="shared" si="33"/>
        <v>#DIV/0!</v>
      </c>
      <c r="AO20" s="19">
        <f t="shared" si="34"/>
        <v>0</v>
      </c>
      <c r="AP20" s="19" t="e">
        <f t="shared" si="35"/>
        <v>#DIV/0!</v>
      </c>
      <c r="AQ20" s="19">
        <f t="shared" si="36"/>
        <v>0</v>
      </c>
      <c r="AR20" s="19" t="e">
        <f t="shared" si="37"/>
        <v>#DIV/0!</v>
      </c>
      <c r="AS20" s="19">
        <f t="shared" si="38"/>
        <v>0</v>
      </c>
      <c r="AT20" s="19" t="e">
        <f t="shared" si="39"/>
        <v>#DIV/0!</v>
      </c>
      <c r="AU20" s="19">
        <f t="shared" si="40"/>
        <v>0</v>
      </c>
      <c r="AV20" s="19" t="e">
        <f t="shared" si="41"/>
        <v>#DIV/0!</v>
      </c>
      <c r="AW20" s="19">
        <f t="shared" si="42"/>
        <v>0</v>
      </c>
      <c r="AX20" s="19" t="e">
        <f t="shared" si="43"/>
        <v>#DIV/0!</v>
      </c>
      <c r="AY20" s="19">
        <f t="shared" si="44"/>
        <v>0</v>
      </c>
      <c r="AZ20" s="19" t="e">
        <f t="shared" si="45"/>
        <v>#DIV/0!</v>
      </c>
      <c r="BA20" s="19">
        <f t="shared" si="46"/>
        <v>0</v>
      </c>
      <c r="BB20" s="19" t="e">
        <f t="shared" si="47"/>
        <v>#DIV/0!</v>
      </c>
      <c r="BC20" s="19">
        <f t="shared" si="48"/>
        <v>0</v>
      </c>
      <c r="BD20" s="19" t="e">
        <f t="shared" si="49"/>
        <v>#DIV/0!</v>
      </c>
    </row>
    <row r="21" spans="1:56" ht="25.2" thickBot="1">
      <c r="A21" s="20"/>
      <c r="B21" s="20" t="s">
        <v>17</v>
      </c>
      <c r="C21" s="21">
        <f>SUM(C16:C20)</f>
        <v>92016452.770000011</v>
      </c>
      <c r="D21" s="21">
        <f t="shared" ref="D21:N21" si="50">SUM(D16:D20)</f>
        <v>92418524.650000006</v>
      </c>
      <c r="E21" s="21">
        <f t="shared" si="50"/>
        <v>92833998.930000007</v>
      </c>
      <c r="F21" s="21">
        <f t="shared" si="50"/>
        <v>0</v>
      </c>
      <c r="G21" s="21">
        <f t="shared" si="50"/>
        <v>0</v>
      </c>
      <c r="H21" s="21">
        <f t="shared" si="50"/>
        <v>0</v>
      </c>
      <c r="I21" s="21">
        <f t="shared" si="50"/>
        <v>0</v>
      </c>
      <c r="J21" s="21">
        <f t="shared" si="50"/>
        <v>0</v>
      </c>
      <c r="K21" s="21">
        <f t="shared" si="50"/>
        <v>0</v>
      </c>
      <c r="L21" s="21">
        <f t="shared" si="50"/>
        <v>0</v>
      </c>
      <c r="M21" s="21">
        <f t="shared" si="50"/>
        <v>0</v>
      </c>
      <c r="N21" s="21">
        <f t="shared" si="50"/>
        <v>0</v>
      </c>
      <c r="P21" s="20"/>
      <c r="Q21" s="20" t="s">
        <v>17</v>
      </c>
      <c r="R21" s="21">
        <f>SUM(R16:R20)</f>
        <v>107879396.77000001</v>
      </c>
      <c r="S21" s="21">
        <f t="shared" ref="S21:AC21" si="51">SUM(S16:S20)</f>
        <v>108036874.52</v>
      </c>
      <c r="T21" s="21">
        <f t="shared" si="51"/>
        <v>108194352.27</v>
      </c>
      <c r="U21" s="21">
        <f t="shared" si="51"/>
        <v>0</v>
      </c>
      <c r="V21" s="21">
        <f t="shared" si="51"/>
        <v>0</v>
      </c>
      <c r="W21" s="21">
        <f t="shared" si="51"/>
        <v>0</v>
      </c>
      <c r="X21" s="21">
        <f t="shared" si="51"/>
        <v>0</v>
      </c>
      <c r="Y21" s="21">
        <f t="shared" si="51"/>
        <v>0</v>
      </c>
      <c r="Z21" s="21">
        <f t="shared" si="51"/>
        <v>0</v>
      </c>
      <c r="AA21" s="21">
        <f t="shared" si="51"/>
        <v>0</v>
      </c>
      <c r="AB21" s="21">
        <f t="shared" si="51"/>
        <v>0</v>
      </c>
      <c r="AC21" s="21">
        <f t="shared" si="51"/>
        <v>0</v>
      </c>
      <c r="AE21" s="20"/>
      <c r="AF21" s="20" t="s">
        <v>17</v>
      </c>
      <c r="AG21" s="23">
        <f t="shared" si="26"/>
        <v>-15862944</v>
      </c>
      <c r="AH21" s="23">
        <f t="shared" si="27"/>
        <v>-17.239247463331658</v>
      </c>
      <c r="AI21" s="23">
        <f t="shared" si="28"/>
        <v>-15618349.86999999</v>
      </c>
      <c r="AJ21" s="23">
        <f t="shared" si="29"/>
        <v>-16.899587965885139</v>
      </c>
      <c r="AK21" s="23">
        <f t="shared" si="30"/>
        <v>-15360353.339999989</v>
      </c>
      <c r="AL21" s="23">
        <f t="shared" si="31"/>
        <v>-16.546042955213228</v>
      </c>
      <c r="AM21" s="23">
        <f t="shared" si="32"/>
        <v>0</v>
      </c>
      <c r="AN21" s="23" t="e">
        <f t="shared" si="33"/>
        <v>#DIV/0!</v>
      </c>
      <c r="AO21" s="23">
        <f t="shared" si="34"/>
        <v>0</v>
      </c>
      <c r="AP21" s="23" t="e">
        <f t="shared" si="35"/>
        <v>#DIV/0!</v>
      </c>
      <c r="AQ21" s="23">
        <f t="shared" si="36"/>
        <v>0</v>
      </c>
      <c r="AR21" s="23" t="e">
        <f t="shared" si="37"/>
        <v>#DIV/0!</v>
      </c>
      <c r="AS21" s="23">
        <f t="shared" si="38"/>
        <v>0</v>
      </c>
      <c r="AT21" s="23" t="e">
        <f t="shared" si="39"/>
        <v>#DIV/0!</v>
      </c>
      <c r="AU21" s="23">
        <f t="shared" si="40"/>
        <v>0</v>
      </c>
      <c r="AV21" s="23" t="e">
        <f t="shared" si="41"/>
        <v>#DIV/0!</v>
      </c>
      <c r="AW21" s="23">
        <f t="shared" si="42"/>
        <v>0</v>
      </c>
      <c r="AX21" s="23" t="e">
        <f t="shared" si="43"/>
        <v>#DIV/0!</v>
      </c>
      <c r="AY21" s="23">
        <f t="shared" si="44"/>
        <v>0</v>
      </c>
      <c r="AZ21" s="23" t="e">
        <f t="shared" si="45"/>
        <v>#DIV/0!</v>
      </c>
      <c r="BA21" s="23">
        <f t="shared" si="46"/>
        <v>0</v>
      </c>
      <c r="BB21" s="23" t="e">
        <f t="shared" si="47"/>
        <v>#DIV/0!</v>
      </c>
      <c r="BC21" s="23">
        <f t="shared" si="48"/>
        <v>0</v>
      </c>
      <c r="BD21" s="23" t="e">
        <f t="shared" si="49"/>
        <v>#DIV/0!</v>
      </c>
    </row>
    <row r="22" spans="1:56" ht="25.2" thickTop="1"/>
    <row r="23" spans="1:56">
      <c r="A23" s="37" t="s">
        <v>47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P23" s="37" t="s">
        <v>51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E23" s="37" t="s">
        <v>88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</row>
    <row r="24" spans="1:56">
      <c r="A24" s="37" t="s">
        <v>1957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P24" s="37" t="s">
        <v>1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E24" s="37" t="s">
        <v>1</v>
      </c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</row>
    <row r="25" spans="1:56" s="25" customFormat="1">
      <c r="A25" s="35" t="s">
        <v>2</v>
      </c>
      <c r="B25" s="35" t="s">
        <v>3</v>
      </c>
      <c r="C25" s="38" t="s">
        <v>4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P25" s="35" t="s">
        <v>2</v>
      </c>
      <c r="Q25" s="35" t="s">
        <v>3</v>
      </c>
      <c r="R25" s="38" t="s">
        <v>5</v>
      </c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/>
      <c r="AE25" s="35" t="s">
        <v>2</v>
      </c>
      <c r="AF25" s="35" t="s">
        <v>3</v>
      </c>
      <c r="AG25" s="33">
        <v>25112</v>
      </c>
      <c r="AH25" s="34"/>
      <c r="AI25" s="33">
        <v>25143</v>
      </c>
      <c r="AJ25" s="34"/>
      <c r="AK25" s="33">
        <v>25173</v>
      </c>
      <c r="AL25" s="34"/>
      <c r="AM25" s="33">
        <v>25204</v>
      </c>
      <c r="AN25" s="34"/>
      <c r="AO25" s="33">
        <v>25235</v>
      </c>
      <c r="AP25" s="34"/>
      <c r="AQ25" s="33">
        <v>25263</v>
      </c>
      <c r="AR25" s="34"/>
      <c r="AS25" s="33">
        <v>25294</v>
      </c>
      <c r="AT25" s="34"/>
      <c r="AU25" s="33">
        <v>25324</v>
      </c>
      <c r="AV25" s="34"/>
      <c r="AW25" s="33">
        <v>25355</v>
      </c>
      <c r="AX25" s="34"/>
      <c r="AY25" s="33">
        <v>25385</v>
      </c>
      <c r="AZ25" s="34"/>
      <c r="BA25" s="33">
        <v>25416</v>
      </c>
      <c r="BB25" s="34"/>
      <c r="BC25" s="33">
        <v>25447</v>
      </c>
      <c r="BD25" s="34"/>
    </row>
    <row r="26" spans="1:56" s="25" customFormat="1">
      <c r="A26" s="36"/>
      <c r="B26" s="36"/>
      <c r="C26" s="16">
        <v>25112</v>
      </c>
      <c r="D26" s="16">
        <v>25143</v>
      </c>
      <c r="E26" s="16">
        <v>25173</v>
      </c>
      <c r="F26" s="16">
        <v>25204</v>
      </c>
      <c r="G26" s="16">
        <v>25235</v>
      </c>
      <c r="H26" s="16">
        <v>25263</v>
      </c>
      <c r="I26" s="16">
        <v>25294</v>
      </c>
      <c r="J26" s="16">
        <v>25324</v>
      </c>
      <c r="K26" s="16">
        <v>25355</v>
      </c>
      <c r="L26" s="16">
        <v>25385</v>
      </c>
      <c r="M26" s="16">
        <v>25416</v>
      </c>
      <c r="N26" s="16">
        <v>25447</v>
      </c>
      <c r="P26" s="36"/>
      <c r="Q26" s="36"/>
      <c r="R26" s="16">
        <v>25112</v>
      </c>
      <c r="S26" s="16">
        <v>25143</v>
      </c>
      <c r="T26" s="16">
        <v>25173</v>
      </c>
      <c r="U26" s="16">
        <v>25204</v>
      </c>
      <c r="V26" s="16">
        <v>25235</v>
      </c>
      <c r="W26" s="16">
        <v>25263</v>
      </c>
      <c r="X26" s="16">
        <v>25294</v>
      </c>
      <c r="Y26" s="16">
        <v>25324</v>
      </c>
      <c r="Z26" s="16">
        <v>25355</v>
      </c>
      <c r="AA26" s="16">
        <v>25385</v>
      </c>
      <c r="AB26" s="16">
        <v>25416</v>
      </c>
      <c r="AC26" s="16">
        <v>25447</v>
      </c>
      <c r="AE26" s="36"/>
      <c r="AF26" s="36"/>
      <c r="AG26" s="16" t="s">
        <v>85</v>
      </c>
      <c r="AH26" s="16" t="s">
        <v>86</v>
      </c>
      <c r="AI26" s="16" t="s">
        <v>85</v>
      </c>
      <c r="AJ26" s="16" t="s">
        <v>86</v>
      </c>
      <c r="AK26" s="16" t="s">
        <v>85</v>
      </c>
      <c r="AL26" s="16" t="s">
        <v>86</v>
      </c>
      <c r="AM26" s="16" t="s">
        <v>85</v>
      </c>
      <c r="AN26" s="16" t="s">
        <v>86</v>
      </c>
      <c r="AO26" s="16" t="s">
        <v>85</v>
      </c>
      <c r="AP26" s="16" t="s">
        <v>86</v>
      </c>
      <c r="AQ26" s="16" t="s">
        <v>85</v>
      </c>
      <c r="AR26" s="16" t="s">
        <v>86</v>
      </c>
      <c r="AS26" s="16" t="s">
        <v>85</v>
      </c>
      <c r="AT26" s="16" t="s">
        <v>86</v>
      </c>
      <c r="AU26" s="16" t="s">
        <v>85</v>
      </c>
      <c r="AV26" s="16" t="s">
        <v>86</v>
      </c>
      <c r="AW26" s="16" t="s">
        <v>85</v>
      </c>
      <c r="AX26" s="16" t="s">
        <v>86</v>
      </c>
      <c r="AY26" s="16" t="s">
        <v>85</v>
      </c>
      <c r="AZ26" s="16" t="s">
        <v>86</v>
      </c>
      <c r="BA26" s="16" t="s">
        <v>85</v>
      </c>
      <c r="BB26" s="16" t="s">
        <v>86</v>
      </c>
      <c r="BC26" s="16" t="s">
        <v>85</v>
      </c>
      <c r="BD26" s="16" t="s">
        <v>86</v>
      </c>
    </row>
    <row r="27" spans="1:56">
      <c r="A27" s="17">
        <v>1</v>
      </c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6"/>
      <c r="P27" s="17">
        <v>1</v>
      </c>
      <c r="Q27" s="18" t="s">
        <v>18</v>
      </c>
      <c r="R27" s="19">
        <v>1597905</v>
      </c>
      <c r="S27" s="19">
        <v>1597905</v>
      </c>
      <c r="T27" s="19">
        <v>1597905</v>
      </c>
      <c r="U27" s="19"/>
      <c r="V27" s="19"/>
      <c r="W27" s="19"/>
      <c r="X27" s="19"/>
      <c r="Y27" s="19"/>
      <c r="Z27" s="19"/>
      <c r="AA27" s="19"/>
      <c r="AB27" s="19"/>
      <c r="AC27" s="19"/>
      <c r="AE27" s="17">
        <v>1</v>
      </c>
      <c r="AF27" s="18" t="s">
        <v>18</v>
      </c>
      <c r="AG27" s="19">
        <f t="shared" ref="AG27:AG41" si="52">+C27-R27</f>
        <v>-1597905</v>
      </c>
      <c r="AH27" s="19" t="e">
        <f t="shared" ref="AH27:AH41" si="53">+AG27/C27*100</f>
        <v>#DIV/0!</v>
      </c>
      <c r="AI27" s="19">
        <f t="shared" ref="AI27:AI41" si="54">+D27-S27</f>
        <v>-1597905</v>
      </c>
      <c r="AJ27" s="19" t="e">
        <f t="shared" ref="AJ27:AJ41" si="55">+AI27/D27*100</f>
        <v>#DIV/0!</v>
      </c>
      <c r="AK27" s="19">
        <f t="shared" ref="AK27:AK41" si="56">+E27-T27</f>
        <v>-1597905</v>
      </c>
      <c r="AL27" s="19" t="e">
        <f t="shared" ref="AL27:AL41" si="57">+AK27/E27*100</f>
        <v>#DIV/0!</v>
      </c>
      <c r="AM27" s="19">
        <f t="shared" ref="AM27:AM41" si="58">+F27-U27</f>
        <v>0</v>
      </c>
      <c r="AN27" s="19" t="e">
        <f t="shared" ref="AN27:AN41" si="59">+AM27/F27*100</f>
        <v>#DIV/0!</v>
      </c>
      <c r="AO27" s="19">
        <f t="shared" ref="AO27:AO41" si="60">+G27-V27</f>
        <v>0</v>
      </c>
      <c r="AP27" s="19" t="e">
        <f t="shared" ref="AP27:AP41" si="61">+AO27/G27*100</f>
        <v>#DIV/0!</v>
      </c>
      <c r="AQ27" s="19">
        <f t="shared" ref="AQ27:AQ41" si="62">+H27-W27</f>
        <v>0</v>
      </c>
      <c r="AR27" s="19" t="e">
        <f t="shared" ref="AR27:AR41" si="63">+AQ27/H27*100</f>
        <v>#DIV/0!</v>
      </c>
      <c r="AS27" s="19">
        <f t="shared" ref="AS27:AS41" si="64">+I27-X27</f>
        <v>0</v>
      </c>
      <c r="AT27" s="19" t="e">
        <f t="shared" ref="AT27:AT41" si="65">+AS27/I27*100</f>
        <v>#DIV/0!</v>
      </c>
      <c r="AU27" s="19">
        <f t="shared" ref="AU27:AU41" si="66">+J27-Y27</f>
        <v>0</v>
      </c>
      <c r="AV27" s="19" t="e">
        <f t="shared" ref="AV27:AV41" si="67">+AU27/J27*100</f>
        <v>#DIV/0!</v>
      </c>
      <c r="AW27" s="19">
        <f t="shared" ref="AW27:AW41" si="68">+K27-Z27</f>
        <v>0</v>
      </c>
      <c r="AX27" s="19" t="e">
        <f t="shared" ref="AX27:AX41" si="69">+AW27/K27*100</f>
        <v>#DIV/0!</v>
      </c>
      <c r="AY27" s="19">
        <f t="shared" ref="AY27:AY41" si="70">+L27-AA27</f>
        <v>0</v>
      </c>
      <c r="AZ27" s="19" t="e">
        <f t="shared" ref="AZ27:AZ41" si="71">+AY27/L27*100</f>
        <v>#DIV/0!</v>
      </c>
      <c r="BA27" s="19">
        <f t="shared" ref="BA27:BA41" si="72">+M27-AB27</f>
        <v>0</v>
      </c>
      <c r="BB27" s="19" t="e">
        <f t="shared" ref="BB27:BB41" si="73">+BA27/M27*100</f>
        <v>#DIV/0!</v>
      </c>
      <c r="BC27" s="19">
        <f t="shared" ref="BC27:BC41" si="74">+N27-AC27</f>
        <v>0</v>
      </c>
      <c r="BD27" s="19" t="e">
        <f t="shared" ref="BD27:BD41" si="75">+BC27/N27*100</f>
        <v>#DIV/0!</v>
      </c>
    </row>
    <row r="28" spans="1:56">
      <c r="A28" s="17">
        <v>2</v>
      </c>
      <c r="B28" s="18" t="s">
        <v>20</v>
      </c>
      <c r="C28" s="19">
        <v>8419600</v>
      </c>
      <c r="D28" s="19">
        <v>8419600</v>
      </c>
      <c r="E28" s="19">
        <v>8419600</v>
      </c>
      <c r="F28" s="19"/>
      <c r="G28" s="19"/>
      <c r="H28" s="19"/>
      <c r="I28" s="19"/>
      <c r="J28" s="19"/>
      <c r="K28" s="19"/>
      <c r="L28" s="19"/>
      <c r="M28" s="19"/>
      <c r="N28" s="19"/>
      <c r="O28" s="26"/>
      <c r="P28" s="17">
        <v>2</v>
      </c>
      <c r="Q28" s="18" t="s">
        <v>20</v>
      </c>
      <c r="R28" s="19">
        <v>17232400</v>
      </c>
      <c r="S28" s="19">
        <v>17232400</v>
      </c>
      <c r="T28" s="19">
        <v>17232400</v>
      </c>
      <c r="U28" s="19"/>
      <c r="V28" s="19"/>
      <c r="W28" s="19"/>
      <c r="X28" s="19"/>
      <c r="Y28" s="19"/>
      <c r="Z28" s="19"/>
      <c r="AA28" s="19"/>
      <c r="AB28" s="19"/>
      <c r="AC28" s="19"/>
      <c r="AE28" s="17">
        <v>2</v>
      </c>
      <c r="AF28" s="18" t="s">
        <v>20</v>
      </c>
      <c r="AG28" s="19">
        <f t="shared" si="52"/>
        <v>-8812800</v>
      </c>
      <c r="AH28" s="19">
        <f t="shared" si="53"/>
        <v>-104.67005558458835</v>
      </c>
      <c r="AI28" s="19">
        <f t="shared" si="54"/>
        <v>-8812800</v>
      </c>
      <c r="AJ28" s="19">
        <f t="shared" si="55"/>
        <v>-104.67005558458835</v>
      </c>
      <c r="AK28" s="19">
        <f t="shared" si="56"/>
        <v>-8812800</v>
      </c>
      <c r="AL28" s="19">
        <f t="shared" si="57"/>
        <v>-104.67005558458835</v>
      </c>
      <c r="AM28" s="19">
        <f t="shared" si="58"/>
        <v>0</v>
      </c>
      <c r="AN28" s="19" t="e">
        <f t="shared" si="59"/>
        <v>#DIV/0!</v>
      </c>
      <c r="AO28" s="19">
        <f t="shared" si="60"/>
        <v>0</v>
      </c>
      <c r="AP28" s="19" t="e">
        <f t="shared" si="61"/>
        <v>#DIV/0!</v>
      </c>
      <c r="AQ28" s="19">
        <f t="shared" si="62"/>
        <v>0</v>
      </c>
      <c r="AR28" s="19" t="e">
        <f t="shared" si="63"/>
        <v>#DIV/0!</v>
      </c>
      <c r="AS28" s="19">
        <f t="shared" si="64"/>
        <v>0</v>
      </c>
      <c r="AT28" s="19" t="e">
        <f t="shared" si="65"/>
        <v>#DIV/0!</v>
      </c>
      <c r="AU28" s="19">
        <f t="shared" si="66"/>
        <v>0</v>
      </c>
      <c r="AV28" s="19" t="e">
        <f t="shared" si="67"/>
        <v>#DIV/0!</v>
      </c>
      <c r="AW28" s="19">
        <f t="shared" si="68"/>
        <v>0</v>
      </c>
      <c r="AX28" s="19" t="e">
        <f t="shared" si="69"/>
        <v>#DIV/0!</v>
      </c>
      <c r="AY28" s="19">
        <f t="shared" si="70"/>
        <v>0</v>
      </c>
      <c r="AZ28" s="19" t="e">
        <f t="shared" si="71"/>
        <v>#DIV/0!</v>
      </c>
      <c r="BA28" s="19">
        <f t="shared" si="72"/>
        <v>0</v>
      </c>
      <c r="BB28" s="19" t="e">
        <f t="shared" si="73"/>
        <v>#DIV/0!</v>
      </c>
      <c r="BC28" s="19">
        <f t="shared" si="74"/>
        <v>0</v>
      </c>
      <c r="BD28" s="19" t="e">
        <f t="shared" si="75"/>
        <v>#DIV/0!</v>
      </c>
    </row>
    <row r="29" spans="1:56">
      <c r="A29" s="17">
        <v>3</v>
      </c>
      <c r="B29" s="18" t="s">
        <v>22</v>
      </c>
      <c r="C29" s="19">
        <v>1390000</v>
      </c>
      <c r="D29" s="19">
        <v>1390000</v>
      </c>
      <c r="E29" s="19">
        <v>1390000</v>
      </c>
      <c r="F29" s="19"/>
      <c r="G29" s="19"/>
      <c r="H29" s="19"/>
      <c r="I29" s="19"/>
      <c r="J29" s="19"/>
      <c r="K29" s="19"/>
      <c r="L29" s="19"/>
      <c r="M29" s="19"/>
      <c r="N29" s="19"/>
      <c r="O29" s="26"/>
      <c r="P29" s="17">
        <v>3</v>
      </c>
      <c r="Q29" s="18" t="s">
        <v>22</v>
      </c>
      <c r="R29" s="19">
        <v>3004709.5</v>
      </c>
      <c r="S29" s="19">
        <v>3004709.5</v>
      </c>
      <c r="T29" s="19">
        <v>3004709.5</v>
      </c>
      <c r="U29" s="19"/>
      <c r="V29" s="19"/>
      <c r="W29" s="19"/>
      <c r="X29" s="19"/>
      <c r="Y29" s="19"/>
      <c r="Z29" s="19"/>
      <c r="AA29" s="19"/>
      <c r="AB29" s="19"/>
      <c r="AC29" s="19"/>
      <c r="AE29" s="17">
        <v>3</v>
      </c>
      <c r="AF29" s="18" t="s">
        <v>22</v>
      </c>
      <c r="AG29" s="19">
        <f t="shared" si="52"/>
        <v>-1614709.5</v>
      </c>
      <c r="AH29" s="19">
        <f t="shared" si="53"/>
        <v>-116.16615107913668</v>
      </c>
      <c r="AI29" s="19">
        <f t="shared" si="54"/>
        <v>-1614709.5</v>
      </c>
      <c r="AJ29" s="19">
        <f t="shared" si="55"/>
        <v>-116.16615107913668</v>
      </c>
      <c r="AK29" s="19">
        <f t="shared" si="56"/>
        <v>-1614709.5</v>
      </c>
      <c r="AL29" s="19">
        <f t="shared" si="57"/>
        <v>-116.16615107913668</v>
      </c>
      <c r="AM29" s="19">
        <f t="shared" si="58"/>
        <v>0</v>
      </c>
      <c r="AN29" s="19" t="e">
        <f t="shared" si="59"/>
        <v>#DIV/0!</v>
      </c>
      <c r="AO29" s="19">
        <f t="shared" si="60"/>
        <v>0</v>
      </c>
      <c r="AP29" s="19" t="e">
        <f t="shared" si="61"/>
        <v>#DIV/0!</v>
      </c>
      <c r="AQ29" s="19">
        <f t="shared" si="62"/>
        <v>0</v>
      </c>
      <c r="AR29" s="19" t="e">
        <f t="shared" si="63"/>
        <v>#DIV/0!</v>
      </c>
      <c r="AS29" s="19">
        <f t="shared" si="64"/>
        <v>0</v>
      </c>
      <c r="AT29" s="19" t="e">
        <f t="shared" si="65"/>
        <v>#DIV/0!</v>
      </c>
      <c r="AU29" s="19">
        <f t="shared" si="66"/>
        <v>0</v>
      </c>
      <c r="AV29" s="19" t="e">
        <f t="shared" si="67"/>
        <v>#DIV/0!</v>
      </c>
      <c r="AW29" s="19">
        <f t="shared" si="68"/>
        <v>0</v>
      </c>
      <c r="AX29" s="19" t="e">
        <f t="shared" si="69"/>
        <v>#DIV/0!</v>
      </c>
      <c r="AY29" s="19">
        <f t="shared" si="70"/>
        <v>0</v>
      </c>
      <c r="AZ29" s="19" t="e">
        <f t="shared" si="71"/>
        <v>#DIV/0!</v>
      </c>
      <c r="BA29" s="19">
        <f t="shared" si="72"/>
        <v>0</v>
      </c>
      <c r="BB29" s="19" t="e">
        <f t="shared" si="73"/>
        <v>#DIV/0!</v>
      </c>
      <c r="BC29" s="19">
        <f t="shared" si="74"/>
        <v>0</v>
      </c>
      <c r="BD29" s="19" t="e">
        <f t="shared" si="75"/>
        <v>#DIV/0!</v>
      </c>
    </row>
    <row r="30" spans="1:56">
      <c r="A30" s="17">
        <v>4</v>
      </c>
      <c r="B30" s="18" t="s">
        <v>24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6"/>
      <c r="P30" s="17">
        <v>4</v>
      </c>
      <c r="Q30" s="18" t="s">
        <v>24</v>
      </c>
      <c r="R30" s="19">
        <v>723845</v>
      </c>
      <c r="S30" s="19">
        <v>723845</v>
      </c>
      <c r="T30" s="19">
        <v>723845</v>
      </c>
      <c r="U30" s="19"/>
      <c r="V30" s="19"/>
      <c r="W30" s="19"/>
      <c r="X30" s="19"/>
      <c r="Y30" s="19"/>
      <c r="Z30" s="19"/>
      <c r="AA30" s="19"/>
      <c r="AB30" s="19"/>
      <c r="AC30" s="19"/>
      <c r="AE30" s="17">
        <v>4</v>
      </c>
      <c r="AF30" s="18" t="s">
        <v>24</v>
      </c>
      <c r="AG30" s="19">
        <f t="shared" si="52"/>
        <v>-723845</v>
      </c>
      <c r="AH30" s="19" t="e">
        <f t="shared" si="53"/>
        <v>#DIV/0!</v>
      </c>
      <c r="AI30" s="19">
        <f t="shared" si="54"/>
        <v>-723845</v>
      </c>
      <c r="AJ30" s="19" t="e">
        <f t="shared" si="55"/>
        <v>#DIV/0!</v>
      </c>
      <c r="AK30" s="19">
        <f t="shared" si="56"/>
        <v>-723845</v>
      </c>
      <c r="AL30" s="19" t="e">
        <f t="shared" si="57"/>
        <v>#DIV/0!</v>
      </c>
      <c r="AM30" s="19">
        <f t="shared" si="58"/>
        <v>0</v>
      </c>
      <c r="AN30" s="19" t="e">
        <f t="shared" si="59"/>
        <v>#DIV/0!</v>
      </c>
      <c r="AO30" s="19">
        <f t="shared" si="60"/>
        <v>0</v>
      </c>
      <c r="AP30" s="19" t="e">
        <f t="shared" si="61"/>
        <v>#DIV/0!</v>
      </c>
      <c r="AQ30" s="19">
        <f t="shared" si="62"/>
        <v>0</v>
      </c>
      <c r="AR30" s="19" t="e">
        <f t="shared" si="63"/>
        <v>#DIV/0!</v>
      </c>
      <c r="AS30" s="19">
        <f t="shared" si="64"/>
        <v>0</v>
      </c>
      <c r="AT30" s="19" t="e">
        <f t="shared" si="65"/>
        <v>#DIV/0!</v>
      </c>
      <c r="AU30" s="19">
        <f t="shared" si="66"/>
        <v>0</v>
      </c>
      <c r="AV30" s="19" t="e">
        <f t="shared" si="67"/>
        <v>#DIV/0!</v>
      </c>
      <c r="AW30" s="19">
        <f t="shared" si="68"/>
        <v>0</v>
      </c>
      <c r="AX30" s="19" t="e">
        <f t="shared" si="69"/>
        <v>#DIV/0!</v>
      </c>
      <c r="AY30" s="19">
        <f t="shared" si="70"/>
        <v>0</v>
      </c>
      <c r="AZ30" s="19" t="e">
        <f t="shared" si="71"/>
        <v>#DIV/0!</v>
      </c>
      <c r="BA30" s="19">
        <f t="shared" si="72"/>
        <v>0</v>
      </c>
      <c r="BB30" s="19" t="e">
        <f t="shared" si="73"/>
        <v>#DIV/0!</v>
      </c>
      <c r="BC30" s="19">
        <f t="shared" si="74"/>
        <v>0</v>
      </c>
      <c r="BD30" s="19" t="e">
        <f t="shared" si="75"/>
        <v>#DIV/0!</v>
      </c>
    </row>
    <row r="31" spans="1:56">
      <c r="A31" s="17">
        <v>5</v>
      </c>
      <c r="B31" s="18" t="s">
        <v>26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6"/>
      <c r="P31" s="17">
        <v>5</v>
      </c>
      <c r="Q31" s="18" t="s">
        <v>26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E31" s="17">
        <v>5</v>
      </c>
      <c r="AF31" s="18" t="s">
        <v>26</v>
      </c>
      <c r="AG31" s="19">
        <f t="shared" si="52"/>
        <v>0</v>
      </c>
      <c r="AH31" s="19" t="e">
        <f t="shared" si="53"/>
        <v>#DIV/0!</v>
      </c>
      <c r="AI31" s="19">
        <f t="shared" si="54"/>
        <v>0</v>
      </c>
      <c r="AJ31" s="19" t="e">
        <f t="shared" si="55"/>
        <v>#DIV/0!</v>
      </c>
      <c r="AK31" s="19">
        <f t="shared" si="56"/>
        <v>0</v>
      </c>
      <c r="AL31" s="19" t="e">
        <f t="shared" si="57"/>
        <v>#DIV/0!</v>
      </c>
      <c r="AM31" s="19">
        <f t="shared" si="58"/>
        <v>0</v>
      </c>
      <c r="AN31" s="19" t="e">
        <f t="shared" si="59"/>
        <v>#DIV/0!</v>
      </c>
      <c r="AO31" s="19">
        <f t="shared" si="60"/>
        <v>0</v>
      </c>
      <c r="AP31" s="19" t="e">
        <f t="shared" si="61"/>
        <v>#DIV/0!</v>
      </c>
      <c r="AQ31" s="19">
        <f t="shared" si="62"/>
        <v>0</v>
      </c>
      <c r="AR31" s="19" t="e">
        <f t="shared" si="63"/>
        <v>#DIV/0!</v>
      </c>
      <c r="AS31" s="19">
        <f t="shared" si="64"/>
        <v>0</v>
      </c>
      <c r="AT31" s="19" t="e">
        <f t="shared" si="65"/>
        <v>#DIV/0!</v>
      </c>
      <c r="AU31" s="19">
        <f t="shared" si="66"/>
        <v>0</v>
      </c>
      <c r="AV31" s="19" t="e">
        <f t="shared" si="67"/>
        <v>#DIV/0!</v>
      </c>
      <c r="AW31" s="19">
        <f t="shared" si="68"/>
        <v>0</v>
      </c>
      <c r="AX31" s="19" t="e">
        <f t="shared" si="69"/>
        <v>#DIV/0!</v>
      </c>
      <c r="AY31" s="19">
        <f t="shared" si="70"/>
        <v>0</v>
      </c>
      <c r="AZ31" s="19" t="e">
        <f t="shared" si="71"/>
        <v>#DIV/0!</v>
      </c>
      <c r="BA31" s="19">
        <f t="shared" si="72"/>
        <v>0</v>
      </c>
      <c r="BB31" s="19" t="e">
        <f t="shared" si="73"/>
        <v>#DIV/0!</v>
      </c>
      <c r="BC31" s="19">
        <f t="shared" si="74"/>
        <v>0</v>
      </c>
      <c r="BD31" s="19" t="e">
        <f t="shared" si="75"/>
        <v>#DIV/0!</v>
      </c>
    </row>
    <row r="32" spans="1:56">
      <c r="A32" s="17">
        <v>6</v>
      </c>
      <c r="B32" s="18" t="s">
        <v>28</v>
      </c>
      <c r="C32" s="19">
        <v>39662468</v>
      </c>
      <c r="D32" s="19">
        <v>39662468</v>
      </c>
      <c r="E32" s="19">
        <v>39662468</v>
      </c>
      <c r="F32" s="19"/>
      <c r="G32" s="19"/>
      <c r="H32" s="19"/>
      <c r="I32" s="19"/>
      <c r="J32" s="19"/>
      <c r="K32" s="19"/>
      <c r="L32" s="19"/>
      <c r="M32" s="19"/>
      <c r="N32" s="19"/>
      <c r="O32" s="26"/>
      <c r="P32" s="17">
        <v>6</v>
      </c>
      <c r="Q32" s="18" t="s">
        <v>28</v>
      </c>
      <c r="R32" s="19">
        <v>52604166</v>
      </c>
      <c r="S32" s="19">
        <v>52604166</v>
      </c>
      <c r="T32" s="19">
        <v>52604166</v>
      </c>
      <c r="U32" s="19"/>
      <c r="V32" s="19"/>
      <c r="W32" s="19"/>
      <c r="X32" s="19"/>
      <c r="Y32" s="19"/>
      <c r="Z32" s="19"/>
      <c r="AA32" s="19"/>
      <c r="AB32" s="19"/>
      <c r="AC32" s="19"/>
      <c r="AE32" s="17">
        <v>6</v>
      </c>
      <c r="AF32" s="18" t="s">
        <v>28</v>
      </c>
      <c r="AG32" s="19">
        <f t="shared" si="52"/>
        <v>-12941698</v>
      </c>
      <c r="AH32" s="19">
        <f t="shared" si="53"/>
        <v>-32.62958321201797</v>
      </c>
      <c r="AI32" s="19">
        <f t="shared" si="54"/>
        <v>-12941698</v>
      </c>
      <c r="AJ32" s="19">
        <f t="shared" si="55"/>
        <v>-32.62958321201797</v>
      </c>
      <c r="AK32" s="19">
        <f t="shared" si="56"/>
        <v>-12941698</v>
      </c>
      <c r="AL32" s="19">
        <f t="shared" si="57"/>
        <v>-32.62958321201797</v>
      </c>
      <c r="AM32" s="19">
        <f t="shared" si="58"/>
        <v>0</v>
      </c>
      <c r="AN32" s="19" t="e">
        <f t="shared" si="59"/>
        <v>#DIV/0!</v>
      </c>
      <c r="AO32" s="19">
        <f t="shared" si="60"/>
        <v>0</v>
      </c>
      <c r="AP32" s="19" t="e">
        <f t="shared" si="61"/>
        <v>#DIV/0!</v>
      </c>
      <c r="AQ32" s="19">
        <f t="shared" si="62"/>
        <v>0</v>
      </c>
      <c r="AR32" s="19" t="e">
        <f t="shared" si="63"/>
        <v>#DIV/0!</v>
      </c>
      <c r="AS32" s="19">
        <f t="shared" si="64"/>
        <v>0</v>
      </c>
      <c r="AT32" s="19" t="e">
        <f t="shared" si="65"/>
        <v>#DIV/0!</v>
      </c>
      <c r="AU32" s="19">
        <f t="shared" si="66"/>
        <v>0</v>
      </c>
      <c r="AV32" s="19" t="e">
        <f t="shared" si="67"/>
        <v>#DIV/0!</v>
      </c>
      <c r="AW32" s="19">
        <f t="shared" si="68"/>
        <v>0</v>
      </c>
      <c r="AX32" s="19" t="e">
        <f t="shared" si="69"/>
        <v>#DIV/0!</v>
      </c>
      <c r="AY32" s="19">
        <f t="shared" si="70"/>
        <v>0</v>
      </c>
      <c r="AZ32" s="19" t="e">
        <f t="shared" si="71"/>
        <v>#DIV/0!</v>
      </c>
      <c r="BA32" s="19">
        <f t="shared" si="72"/>
        <v>0</v>
      </c>
      <c r="BB32" s="19" t="e">
        <f t="shared" si="73"/>
        <v>#DIV/0!</v>
      </c>
      <c r="BC32" s="19">
        <f t="shared" si="74"/>
        <v>0</v>
      </c>
      <c r="BD32" s="19" t="e">
        <f t="shared" si="75"/>
        <v>#DIV/0!</v>
      </c>
    </row>
    <row r="33" spans="1:56">
      <c r="A33" s="17">
        <v>7</v>
      </c>
      <c r="B33" s="18" t="s">
        <v>30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6"/>
      <c r="P33" s="17">
        <v>7</v>
      </c>
      <c r="Q33" s="18" t="s">
        <v>30</v>
      </c>
      <c r="R33" s="19">
        <v>1609822</v>
      </c>
      <c r="S33" s="19">
        <v>1609822</v>
      </c>
      <c r="T33" s="19">
        <v>1609822</v>
      </c>
      <c r="U33" s="19"/>
      <c r="V33" s="19"/>
      <c r="W33" s="19"/>
      <c r="X33" s="19"/>
      <c r="Y33" s="19"/>
      <c r="Z33" s="19"/>
      <c r="AA33" s="19"/>
      <c r="AB33" s="19"/>
      <c r="AC33" s="19"/>
      <c r="AE33" s="17">
        <v>7</v>
      </c>
      <c r="AF33" s="18" t="s">
        <v>30</v>
      </c>
      <c r="AG33" s="19">
        <f t="shared" si="52"/>
        <v>-1609822</v>
      </c>
      <c r="AH33" s="19" t="e">
        <f t="shared" si="53"/>
        <v>#DIV/0!</v>
      </c>
      <c r="AI33" s="19">
        <f t="shared" si="54"/>
        <v>-1609822</v>
      </c>
      <c r="AJ33" s="19" t="e">
        <f t="shared" si="55"/>
        <v>#DIV/0!</v>
      </c>
      <c r="AK33" s="19">
        <f t="shared" si="56"/>
        <v>-1609822</v>
      </c>
      <c r="AL33" s="19" t="e">
        <f t="shared" si="57"/>
        <v>#DIV/0!</v>
      </c>
      <c r="AM33" s="19">
        <f t="shared" si="58"/>
        <v>0</v>
      </c>
      <c r="AN33" s="19" t="e">
        <f t="shared" si="59"/>
        <v>#DIV/0!</v>
      </c>
      <c r="AO33" s="19">
        <f t="shared" si="60"/>
        <v>0</v>
      </c>
      <c r="AP33" s="19" t="e">
        <f t="shared" si="61"/>
        <v>#DIV/0!</v>
      </c>
      <c r="AQ33" s="19">
        <f t="shared" si="62"/>
        <v>0</v>
      </c>
      <c r="AR33" s="19" t="e">
        <f t="shared" si="63"/>
        <v>#DIV/0!</v>
      </c>
      <c r="AS33" s="19">
        <f t="shared" si="64"/>
        <v>0</v>
      </c>
      <c r="AT33" s="19" t="e">
        <f t="shared" si="65"/>
        <v>#DIV/0!</v>
      </c>
      <c r="AU33" s="19">
        <f t="shared" si="66"/>
        <v>0</v>
      </c>
      <c r="AV33" s="19" t="e">
        <f t="shared" si="67"/>
        <v>#DIV/0!</v>
      </c>
      <c r="AW33" s="19">
        <f t="shared" si="68"/>
        <v>0</v>
      </c>
      <c r="AX33" s="19" t="e">
        <f t="shared" si="69"/>
        <v>#DIV/0!</v>
      </c>
      <c r="AY33" s="19">
        <f t="shared" si="70"/>
        <v>0</v>
      </c>
      <c r="AZ33" s="19" t="e">
        <f t="shared" si="71"/>
        <v>#DIV/0!</v>
      </c>
      <c r="BA33" s="19">
        <f t="shared" si="72"/>
        <v>0</v>
      </c>
      <c r="BB33" s="19" t="e">
        <f t="shared" si="73"/>
        <v>#DIV/0!</v>
      </c>
      <c r="BC33" s="19">
        <f t="shared" si="74"/>
        <v>0</v>
      </c>
      <c r="BD33" s="19" t="e">
        <f t="shared" si="75"/>
        <v>#DIV/0!</v>
      </c>
    </row>
    <row r="34" spans="1:56">
      <c r="A34" s="17">
        <v>8</v>
      </c>
      <c r="B34" s="18" t="s">
        <v>32</v>
      </c>
      <c r="C34" s="19">
        <v>547500</v>
      </c>
      <c r="D34" s="19">
        <v>547500</v>
      </c>
      <c r="E34" s="19">
        <v>547500</v>
      </c>
      <c r="F34" s="19"/>
      <c r="G34" s="19"/>
      <c r="H34" s="19"/>
      <c r="I34" s="19"/>
      <c r="J34" s="19"/>
      <c r="K34" s="19"/>
      <c r="L34" s="19"/>
      <c r="M34" s="19"/>
      <c r="N34" s="19"/>
      <c r="O34" s="26"/>
      <c r="P34" s="17">
        <v>8</v>
      </c>
      <c r="Q34" s="18" t="s">
        <v>32</v>
      </c>
      <c r="R34" s="19">
        <v>2696140</v>
      </c>
      <c r="S34" s="19">
        <v>2696140</v>
      </c>
      <c r="T34" s="19">
        <v>2696140</v>
      </c>
      <c r="U34" s="19"/>
      <c r="V34" s="19"/>
      <c r="W34" s="19"/>
      <c r="X34" s="19"/>
      <c r="Y34" s="19"/>
      <c r="Z34" s="19"/>
      <c r="AA34" s="19"/>
      <c r="AB34" s="19"/>
      <c r="AC34" s="19"/>
      <c r="AE34" s="17">
        <v>8</v>
      </c>
      <c r="AF34" s="18" t="s">
        <v>32</v>
      </c>
      <c r="AG34" s="19">
        <f t="shared" si="52"/>
        <v>-2148640</v>
      </c>
      <c r="AH34" s="19">
        <f t="shared" si="53"/>
        <v>-392.44566210045662</v>
      </c>
      <c r="AI34" s="19">
        <f t="shared" si="54"/>
        <v>-2148640</v>
      </c>
      <c r="AJ34" s="19">
        <f t="shared" si="55"/>
        <v>-392.44566210045662</v>
      </c>
      <c r="AK34" s="19">
        <f t="shared" si="56"/>
        <v>-2148640</v>
      </c>
      <c r="AL34" s="19">
        <f t="shared" si="57"/>
        <v>-392.44566210045662</v>
      </c>
      <c r="AM34" s="19">
        <f t="shared" si="58"/>
        <v>0</v>
      </c>
      <c r="AN34" s="19" t="e">
        <f t="shared" si="59"/>
        <v>#DIV/0!</v>
      </c>
      <c r="AO34" s="19">
        <f t="shared" si="60"/>
        <v>0</v>
      </c>
      <c r="AP34" s="19" t="e">
        <f t="shared" si="61"/>
        <v>#DIV/0!</v>
      </c>
      <c r="AQ34" s="19">
        <f t="shared" si="62"/>
        <v>0</v>
      </c>
      <c r="AR34" s="19" t="e">
        <f t="shared" si="63"/>
        <v>#DIV/0!</v>
      </c>
      <c r="AS34" s="19">
        <f t="shared" si="64"/>
        <v>0</v>
      </c>
      <c r="AT34" s="19" t="e">
        <f t="shared" si="65"/>
        <v>#DIV/0!</v>
      </c>
      <c r="AU34" s="19">
        <f t="shared" si="66"/>
        <v>0</v>
      </c>
      <c r="AV34" s="19" t="e">
        <f t="shared" si="67"/>
        <v>#DIV/0!</v>
      </c>
      <c r="AW34" s="19">
        <f t="shared" si="68"/>
        <v>0</v>
      </c>
      <c r="AX34" s="19" t="e">
        <f t="shared" si="69"/>
        <v>#DIV/0!</v>
      </c>
      <c r="AY34" s="19">
        <f t="shared" si="70"/>
        <v>0</v>
      </c>
      <c r="AZ34" s="19" t="e">
        <f t="shared" si="71"/>
        <v>#DIV/0!</v>
      </c>
      <c r="BA34" s="19">
        <f t="shared" si="72"/>
        <v>0</v>
      </c>
      <c r="BB34" s="19" t="e">
        <f t="shared" si="73"/>
        <v>#DIV/0!</v>
      </c>
      <c r="BC34" s="19">
        <f t="shared" si="74"/>
        <v>0</v>
      </c>
      <c r="BD34" s="19" t="e">
        <f t="shared" si="75"/>
        <v>#DIV/0!</v>
      </c>
    </row>
    <row r="35" spans="1:56">
      <c r="A35" s="17">
        <v>9</v>
      </c>
      <c r="B35" s="18" t="s">
        <v>34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6"/>
      <c r="P35" s="17">
        <v>9</v>
      </c>
      <c r="Q35" s="18" t="s">
        <v>34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E35" s="17">
        <v>9</v>
      </c>
      <c r="AF35" s="18" t="s">
        <v>34</v>
      </c>
      <c r="AG35" s="19">
        <f t="shared" si="52"/>
        <v>0</v>
      </c>
      <c r="AH35" s="19" t="e">
        <f t="shared" si="53"/>
        <v>#DIV/0!</v>
      </c>
      <c r="AI35" s="19">
        <f t="shared" si="54"/>
        <v>0</v>
      </c>
      <c r="AJ35" s="19" t="e">
        <f t="shared" si="55"/>
        <v>#DIV/0!</v>
      </c>
      <c r="AK35" s="19">
        <f t="shared" si="56"/>
        <v>0</v>
      </c>
      <c r="AL35" s="19" t="e">
        <f t="shared" si="57"/>
        <v>#DIV/0!</v>
      </c>
      <c r="AM35" s="19">
        <f t="shared" si="58"/>
        <v>0</v>
      </c>
      <c r="AN35" s="19" t="e">
        <f t="shared" si="59"/>
        <v>#DIV/0!</v>
      </c>
      <c r="AO35" s="19">
        <f t="shared" si="60"/>
        <v>0</v>
      </c>
      <c r="AP35" s="19" t="e">
        <f t="shared" si="61"/>
        <v>#DIV/0!</v>
      </c>
      <c r="AQ35" s="19">
        <f t="shared" si="62"/>
        <v>0</v>
      </c>
      <c r="AR35" s="19" t="e">
        <f t="shared" si="63"/>
        <v>#DIV/0!</v>
      </c>
      <c r="AS35" s="19">
        <f t="shared" si="64"/>
        <v>0</v>
      </c>
      <c r="AT35" s="19" t="e">
        <f t="shared" si="65"/>
        <v>#DIV/0!</v>
      </c>
      <c r="AU35" s="19">
        <f t="shared" si="66"/>
        <v>0</v>
      </c>
      <c r="AV35" s="19" t="e">
        <f t="shared" si="67"/>
        <v>#DIV/0!</v>
      </c>
      <c r="AW35" s="19">
        <f t="shared" si="68"/>
        <v>0</v>
      </c>
      <c r="AX35" s="19" t="e">
        <f t="shared" si="69"/>
        <v>#DIV/0!</v>
      </c>
      <c r="AY35" s="19">
        <f t="shared" si="70"/>
        <v>0</v>
      </c>
      <c r="AZ35" s="19" t="e">
        <f t="shared" si="71"/>
        <v>#DIV/0!</v>
      </c>
      <c r="BA35" s="19">
        <f t="shared" si="72"/>
        <v>0</v>
      </c>
      <c r="BB35" s="19" t="e">
        <f t="shared" si="73"/>
        <v>#DIV/0!</v>
      </c>
      <c r="BC35" s="19">
        <f t="shared" si="74"/>
        <v>0</v>
      </c>
      <c r="BD35" s="19" t="e">
        <f t="shared" si="75"/>
        <v>#DIV/0!</v>
      </c>
    </row>
    <row r="36" spans="1:56">
      <c r="A36" s="17">
        <v>10</v>
      </c>
      <c r="B36" s="18" t="s">
        <v>36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6"/>
      <c r="P36" s="17">
        <v>10</v>
      </c>
      <c r="Q36" s="18" t="s">
        <v>36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E36" s="17">
        <v>10</v>
      </c>
      <c r="AF36" s="18" t="s">
        <v>36</v>
      </c>
      <c r="AG36" s="19">
        <f t="shared" si="52"/>
        <v>0</v>
      </c>
      <c r="AH36" s="19" t="e">
        <f t="shared" si="53"/>
        <v>#DIV/0!</v>
      </c>
      <c r="AI36" s="19">
        <f t="shared" si="54"/>
        <v>0</v>
      </c>
      <c r="AJ36" s="19" t="e">
        <f t="shared" si="55"/>
        <v>#DIV/0!</v>
      </c>
      <c r="AK36" s="19">
        <f t="shared" si="56"/>
        <v>0</v>
      </c>
      <c r="AL36" s="19" t="e">
        <f t="shared" si="57"/>
        <v>#DIV/0!</v>
      </c>
      <c r="AM36" s="19">
        <f t="shared" si="58"/>
        <v>0</v>
      </c>
      <c r="AN36" s="19" t="e">
        <f t="shared" si="59"/>
        <v>#DIV/0!</v>
      </c>
      <c r="AO36" s="19">
        <f t="shared" si="60"/>
        <v>0</v>
      </c>
      <c r="AP36" s="19" t="e">
        <f t="shared" si="61"/>
        <v>#DIV/0!</v>
      </c>
      <c r="AQ36" s="19">
        <f t="shared" si="62"/>
        <v>0</v>
      </c>
      <c r="AR36" s="19" t="e">
        <f t="shared" si="63"/>
        <v>#DIV/0!</v>
      </c>
      <c r="AS36" s="19">
        <f t="shared" si="64"/>
        <v>0</v>
      </c>
      <c r="AT36" s="19" t="e">
        <f t="shared" si="65"/>
        <v>#DIV/0!</v>
      </c>
      <c r="AU36" s="19">
        <f t="shared" si="66"/>
        <v>0</v>
      </c>
      <c r="AV36" s="19" t="e">
        <f t="shared" si="67"/>
        <v>#DIV/0!</v>
      </c>
      <c r="AW36" s="19">
        <f t="shared" si="68"/>
        <v>0</v>
      </c>
      <c r="AX36" s="19" t="e">
        <f t="shared" si="69"/>
        <v>#DIV/0!</v>
      </c>
      <c r="AY36" s="19">
        <f t="shared" si="70"/>
        <v>0</v>
      </c>
      <c r="AZ36" s="19" t="e">
        <f t="shared" si="71"/>
        <v>#DIV/0!</v>
      </c>
      <c r="BA36" s="19">
        <f t="shared" si="72"/>
        <v>0</v>
      </c>
      <c r="BB36" s="19" t="e">
        <f t="shared" si="73"/>
        <v>#DIV/0!</v>
      </c>
      <c r="BC36" s="19">
        <f t="shared" si="74"/>
        <v>0</v>
      </c>
      <c r="BD36" s="19" t="e">
        <f t="shared" si="75"/>
        <v>#DIV/0!</v>
      </c>
    </row>
    <row r="37" spans="1:56">
      <c r="A37" s="17">
        <v>11</v>
      </c>
      <c r="B37" s="18" t="s">
        <v>38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6"/>
      <c r="P37" s="17">
        <v>11</v>
      </c>
      <c r="Q37" s="18" t="s">
        <v>38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E37" s="17">
        <v>11</v>
      </c>
      <c r="AF37" s="18" t="s">
        <v>38</v>
      </c>
      <c r="AG37" s="19">
        <f t="shared" si="52"/>
        <v>0</v>
      </c>
      <c r="AH37" s="19" t="e">
        <f t="shared" si="53"/>
        <v>#DIV/0!</v>
      </c>
      <c r="AI37" s="19">
        <f t="shared" si="54"/>
        <v>0</v>
      </c>
      <c r="AJ37" s="19" t="e">
        <f t="shared" si="55"/>
        <v>#DIV/0!</v>
      </c>
      <c r="AK37" s="19">
        <f t="shared" si="56"/>
        <v>0</v>
      </c>
      <c r="AL37" s="19" t="e">
        <f t="shared" si="57"/>
        <v>#DIV/0!</v>
      </c>
      <c r="AM37" s="19">
        <f t="shared" si="58"/>
        <v>0</v>
      </c>
      <c r="AN37" s="19" t="e">
        <f t="shared" si="59"/>
        <v>#DIV/0!</v>
      </c>
      <c r="AO37" s="19">
        <f t="shared" si="60"/>
        <v>0</v>
      </c>
      <c r="AP37" s="19" t="e">
        <f t="shared" si="61"/>
        <v>#DIV/0!</v>
      </c>
      <c r="AQ37" s="19">
        <f t="shared" si="62"/>
        <v>0</v>
      </c>
      <c r="AR37" s="19" t="e">
        <f t="shared" si="63"/>
        <v>#DIV/0!</v>
      </c>
      <c r="AS37" s="19">
        <f t="shared" si="64"/>
        <v>0</v>
      </c>
      <c r="AT37" s="19" t="e">
        <f t="shared" si="65"/>
        <v>#DIV/0!</v>
      </c>
      <c r="AU37" s="19">
        <f t="shared" si="66"/>
        <v>0</v>
      </c>
      <c r="AV37" s="19" t="e">
        <f t="shared" si="67"/>
        <v>#DIV/0!</v>
      </c>
      <c r="AW37" s="19">
        <f t="shared" si="68"/>
        <v>0</v>
      </c>
      <c r="AX37" s="19" t="e">
        <f t="shared" si="69"/>
        <v>#DIV/0!</v>
      </c>
      <c r="AY37" s="19">
        <f t="shared" si="70"/>
        <v>0</v>
      </c>
      <c r="AZ37" s="19" t="e">
        <f t="shared" si="71"/>
        <v>#DIV/0!</v>
      </c>
      <c r="BA37" s="19">
        <f t="shared" si="72"/>
        <v>0</v>
      </c>
      <c r="BB37" s="19" t="e">
        <f t="shared" si="73"/>
        <v>#DIV/0!</v>
      </c>
      <c r="BC37" s="19">
        <f t="shared" si="74"/>
        <v>0</v>
      </c>
      <c r="BD37" s="19" t="e">
        <f t="shared" si="75"/>
        <v>#DIV/0!</v>
      </c>
    </row>
    <row r="38" spans="1:56">
      <c r="A38" s="17">
        <v>12</v>
      </c>
      <c r="B38" s="18" t="s">
        <v>40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6"/>
      <c r="P38" s="17">
        <v>12</v>
      </c>
      <c r="Q38" s="18" t="s">
        <v>40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E38" s="17">
        <v>12</v>
      </c>
      <c r="AF38" s="18" t="s">
        <v>40</v>
      </c>
      <c r="AG38" s="19">
        <f t="shared" si="52"/>
        <v>0</v>
      </c>
      <c r="AH38" s="19" t="e">
        <f t="shared" si="53"/>
        <v>#DIV/0!</v>
      </c>
      <c r="AI38" s="19">
        <f t="shared" si="54"/>
        <v>0</v>
      </c>
      <c r="AJ38" s="19" t="e">
        <f t="shared" si="55"/>
        <v>#DIV/0!</v>
      </c>
      <c r="AK38" s="19">
        <f t="shared" si="56"/>
        <v>0</v>
      </c>
      <c r="AL38" s="19" t="e">
        <f t="shared" si="57"/>
        <v>#DIV/0!</v>
      </c>
      <c r="AM38" s="19">
        <f t="shared" si="58"/>
        <v>0</v>
      </c>
      <c r="AN38" s="19" t="e">
        <f t="shared" si="59"/>
        <v>#DIV/0!</v>
      </c>
      <c r="AO38" s="19">
        <f t="shared" si="60"/>
        <v>0</v>
      </c>
      <c r="AP38" s="19" t="e">
        <f t="shared" si="61"/>
        <v>#DIV/0!</v>
      </c>
      <c r="AQ38" s="19">
        <f t="shared" si="62"/>
        <v>0</v>
      </c>
      <c r="AR38" s="19" t="e">
        <f t="shared" si="63"/>
        <v>#DIV/0!</v>
      </c>
      <c r="AS38" s="19">
        <f t="shared" si="64"/>
        <v>0</v>
      </c>
      <c r="AT38" s="19" t="e">
        <f t="shared" si="65"/>
        <v>#DIV/0!</v>
      </c>
      <c r="AU38" s="19">
        <f t="shared" si="66"/>
        <v>0</v>
      </c>
      <c r="AV38" s="19" t="e">
        <f t="shared" si="67"/>
        <v>#DIV/0!</v>
      </c>
      <c r="AW38" s="19">
        <f t="shared" si="68"/>
        <v>0</v>
      </c>
      <c r="AX38" s="19" t="e">
        <f t="shared" si="69"/>
        <v>#DIV/0!</v>
      </c>
      <c r="AY38" s="19">
        <f t="shared" si="70"/>
        <v>0</v>
      </c>
      <c r="AZ38" s="19" t="e">
        <f t="shared" si="71"/>
        <v>#DIV/0!</v>
      </c>
      <c r="BA38" s="19">
        <f t="shared" si="72"/>
        <v>0</v>
      </c>
      <c r="BB38" s="19" t="e">
        <f t="shared" si="73"/>
        <v>#DIV/0!</v>
      </c>
      <c r="BC38" s="19">
        <f t="shared" si="74"/>
        <v>0</v>
      </c>
      <c r="BD38" s="19" t="e">
        <f t="shared" si="75"/>
        <v>#DIV/0!</v>
      </c>
    </row>
    <row r="39" spans="1:56">
      <c r="A39" s="17">
        <v>13</v>
      </c>
      <c r="B39" s="18" t="s">
        <v>42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6"/>
      <c r="P39" s="17">
        <v>13</v>
      </c>
      <c r="Q39" s="18" t="s">
        <v>42</v>
      </c>
      <c r="R39" s="19">
        <v>180600</v>
      </c>
      <c r="S39" s="19">
        <v>180600</v>
      </c>
      <c r="T39" s="19">
        <v>180600</v>
      </c>
      <c r="U39" s="19"/>
      <c r="V39" s="19"/>
      <c r="W39" s="19"/>
      <c r="X39" s="19"/>
      <c r="Y39" s="19"/>
      <c r="Z39" s="19"/>
      <c r="AA39" s="19"/>
      <c r="AB39" s="19"/>
      <c r="AC39" s="19"/>
      <c r="AE39" s="17">
        <v>13</v>
      </c>
      <c r="AF39" s="18" t="s">
        <v>42</v>
      </c>
      <c r="AG39" s="19">
        <f t="shared" si="52"/>
        <v>-180600</v>
      </c>
      <c r="AH39" s="19" t="e">
        <f t="shared" si="53"/>
        <v>#DIV/0!</v>
      </c>
      <c r="AI39" s="19">
        <f t="shared" si="54"/>
        <v>-180600</v>
      </c>
      <c r="AJ39" s="19" t="e">
        <f t="shared" si="55"/>
        <v>#DIV/0!</v>
      </c>
      <c r="AK39" s="19">
        <f t="shared" si="56"/>
        <v>-180600</v>
      </c>
      <c r="AL39" s="19" t="e">
        <f t="shared" si="57"/>
        <v>#DIV/0!</v>
      </c>
      <c r="AM39" s="19">
        <f t="shared" si="58"/>
        <v>0</v>
      </c>
      <c r="AN39" s="19" t="e">
        <f t="shared" si="59"/>
        <v>#DIV/0!</v>
      </c>
      <c r="AO39" s="19">
        <f t="shared" si="60"/>
        <v>0</v>
      </c>
      <c r="AP39" s="19" t="e">
        <f t="shared" si="61"/>
        <v>#DIV/0!</v>
      </c>
      <c r="AQ39" s="19">
        <f t="shared" si="62"/>
        <v>0</v>
      </c>
      <c r="AR39" s="19" t="e">
        <f t="shared" si="63"/>
        <v>#DIV/0!</v>
      </c>
      <c r="AS39" s="19">
        <f t="shared" si="64"/>
        <v>0</v>
      </c>
      <c r="AT39" s="19" t="e">
        <f t="shared" si="65"/>
        <v>#DIV/0!</v>
      </c>
      <c r="AU39" s="19">
        <f t="shared" si="66"/>
        <v>0</v>
      </c>
      <c r="AV39" s="19" t="e">
        <f t="shared" si="67"/>
        <v>#DIV/0!</v>
      </c>
      <c r="AW39" s="19">
        <f t="shared" si="68"/>
        <v>0</v>
      </c>
      <c r="AX39" s="19" t="e">
        <f t="shared" si="69"/>
        <v>#DIV/0!</v>
      </c>
      <c r="AY39" s="19">
        <f t="shared" si="70"/>
        <v>0</v>
      </c>
      <c r="AZ39" s="19" t="e">
        <f t="shared" si="71"/>
        <v>#DIV/0!</v>
      </c>
      <c r="BA39" s="19">
        <f t="shared" si="72"/>
        <v>0</v>
      </c>
      <c r="BB39" s="19" t="e">
        <f t="shared" si="73"/>
        <v>#DIV/0!</v>
      </c>
      <c r="BC39" s="19">
        <f t="shared" si="74"/>
        <v>0</v>
      </c>
      <c r="BD39" s="19" t="e">
        <f t="shared" si="75"/>
        <v>#DIV/0!</v>
      </c>
    </row>
    <row r="40" spans="1:56">
      <c r="A40" s="17">
        <v>14</v>
      </c>
      <c r="B40" s="18" t="s">
        <v>44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26"/>
      <c r="P40" s="17">
        <v>14</v>
      </c>
      <c r="Q40" s="18" t="s">
        <v>44</v>
      </c>
      <c r="R40" s="19">
        <v>114000</v>
      </c>
      <c r="S40" s="19">
        <v>114000</v>
      </c>
      <c r="T40" s="19">
        <v>114000</v>
      </c>
      <c r="U40" s="19"/>
      <c r="V40" s="19"/>
      <c r="W40" s="19"/>
      <c r="X40" s="19"/>
      <c r="Y40" s="19"/>
      <c r="Z40" s="19"/>
      <c r="AA40" s="19"/>
      <c r="AB40" s="19"/>
      <c r="AC40" s="19"/>
      <c r="AE40" s="17">
        <v>14</v>
      </c>
      <c r="AF40" s="18" t="s">
        <v>44</v>
      </c>
      <c r="AG40" s="19">
        <f t="shared" si="52"/>
        <v>-114000</v>
      </c>
      <c r="AH40" s="19" t="e">
        <f t="shared" si="53"/>
        <v>#DIV/0!</v>
      </c>
      <c r="AI40" s="19">
        <f t="shared" si="54"/>
        <v>-114000</v>
      </c>
      <c r="AJ40" s="19" t="e">
        <f t="shared" si="55"/>
        <v>#DIV/0!</v>
      </c>
      <c r="AK40" s="19">
        <f t="shared" si="56"/>
        <v>-114000</v>
      </c>
      <c r="AL40" s="19" t="e">
        <f t="shared" si="57"/>
        <v>#DIV/0!</v>
      </c>
      <c r="AM40" s="19">
        <f t="shared" si="58"/>
        <v>0</v>
      </c>
      <c r="AN40" s="19" t="e">
        <f t="shared" si="59"/>
        <v>#DIV/0!</v>
      </c>
      <c r="AO40" s="19">
        <f t="shared" si="60"/>
        <v>0</v>
      </c>
      <c r="AP40" s="19" t="e">
        <f t="shared" si="61"/>
        <v>#DIV/0!</v>
      </c>
      <c r="AQ40" s="19">
        <f t="shared" si="62"/>
        <v>0</v>
      </c>
      <c r="AR40" s="19" t="e">
        <f t="shared" si="63"/>
        <v>#DIV/0!</v>
      </c>
      <c r="AS40" s="19">
        <f t="shared" si="64"/>
        <v>0</v>
      </c>
      <c r="AT40" s="19" t="e">
        <f t="shared" si="65"/>
        <v>#DIV/0!</v>
      </c>
      <c r="AU40" s="19">
        <f t="shared" si="66"/>
        <v>0</v>
      </c>
      <c r="AV40" s="19" t="e">
        <f t="shared" si="67"/>
        <v>#DIV/0!</v>
      </c>
      <c r="AW40" s="19">
        <f t="shared" si="68"/>
        <v>0</v>
      </c>
      <c r="AX40" s="19" t="e">
        <f t="shared" si="69"/>
        <v>#DIV/0!</v>
      </c>
      <c r="AY40" s="19">
        <f t="shared" si="70"/>
        <v>0</v>
      </c>
      <c r="AZ40" s="19" t="e">
        <f t="shared" si="71"/>
        <v>#DIV/0!</v>
      </c>
      <c r="BA40" s="19">
        <f t="shared" si="72"/>
        <v>0</v>
      </c>
      <c r="BB40" s="19" t="e">
        <f t="shared" si="73"/>
        <v>#DIV/0!</v>
      </c>
      <c r="BC40" s="19">
        <f t="shared" si="74"/>
        <v>0</v>
      </c>
      <c r="BD40" s="19" t="e">
        <f t="shared" si="75"/>
        <v>#DIV/0!</v>
      </c>
    </row>
    <row r="41" spans="1:56" ht="25.2" thickBot="1">
      <c r="A41" s="17"/>
      <c r="B41" s="20" t="s">
        <v>17</v>
      </c>
      <c r="C41" s="27">
        <f>SUM(C27:C40)</f>
        <v>50019568</v>
      </c>
      <c r="D41" s="27">
        <f t="shared" ref="D41:N41" si="76">SUM(D27:D40)</f>
        <v>50019568</v>
      </c>
      <c r="E41" s="27">
        <f t="shared" si="76"/>
        <v>50019568</v>
      </c>
      <c r="F41" s="27">
        <f t="shared" si="76"/>
        <v>0</v>
      </c>
      <c r="G41" s="27">
        <f t="shared" si="76"/>
        <v>0</v>
      </c>
      <c r="H41" s="27">
        <f t="shared" si="76"/>
        <v>0</v>
      </c>
      <c r="I41" s="27">
        <f t="shared" si="76"/>
        <v>0</v>
      </c>
      <c r="J41" s="27">
        <f t="shared" si="76"/>
        <v>0</v>
      </c>
      <c r="K41" s="27">
        <f t="shared" si="76"/>
        <v>0</v>
      </c>
      <c r="L41" s="27">
        <f t="shared" si="76"/>
        <v>0</v>
      </c>
      <c r="M41" s="27">
        <f t="shared" si="76"/>
        <v>0</v>
      </c>
      <c r="N41" s="27">
        <f t="shared" si="76"/>
        <v>0</v>
      </c>
      <c r="P41" s="17"/>
      <c r="Q41" s="20" t="s">
        <v>17</v>
      </c>
      <c r="R41" s="27">
        <f>SUM(R27:R40)</f>
        <v>79763587.5</v>
      </c>
      <c r="S41" s="27">
        <f t="shared" ref="S41:AC41" si="77">SUM(S27:S40)</f>
        <v>79763587.5</v>
      </c>
      <c r="T41" s="27">
        <f t="shared" si="77"/>
        <v>79763587.5</v>
      </c>
      <c r="U41" s="27">
        <f t="shared" si="77"/>
        <v>0</v>
      </c>
      <c r="V41" s="27">
        <f t="shared" si="77"/>
        <v>0</v>
      </c>
      <c r="W41" s="27">
        <f t="shared" si="77"/>
        <v>0</v>
      </c>
      <c r="X41" s="27">
        <f t="shared" si="77"/>
        <v>0</v>
      </c>
      <c r="Y41" s="27">
        <f t="shared" si="77"/>
        <v>0</v>
      </c>
      <c r="Z41" s="27">
        <f t="shared" si="77"/>
        <v>0</v>
      </c>
      <c r="AA41" s="27">
        <f t="shared" si="77"/>
        <v>0</v>
      </c>
      <c r="AB41" s="27">
        <f t="shared" si="77"/>
        <v>0</v>
      </c>
      <c r="AC41" s="27">
        <f t="shared" si="77"/>
        <v>0</v>
      </c>
      <c r="AE41" s="17"/>
      <c r="AF41" s="20" t="s">
        <v>17</v>
      </c>
      <c r="AG41" s="23">
        <f t="shared" si="52"/>
        <v>-29744019.5</v>
      </c>
      <c r="AH41" s="23">
        <f t="shared" si="53"/>
        <v>-59.464766868838211</v>
      </c>
      <c r="AI41" s="23">
        <f t="shared" si="54"/>
        <v>-29744019.5</v>
      </c>
      <c r="AJ41" s="23">
        <f t="shared" si="55"/>
        <v>-59.464766868838211</v>
      </c>
      <c r="AK41" s="23">
        <f t="shared" si="56"/>
        <v>-29744019.5</v>
      </c>
      <c r="AL41" s="23">
        <f t="shared" si="57"/>
        <v>-59.464766868838211</v>
      </c>
      <c r="AM41" s="23">
        <f t="shared" si="58"/>
        <v>0</v>
      </c>
      <c r="AN41" s="23" t="e">
        <f t="shared" si="59"/>
        <v>#DIV/0!</v>
      </c>
      <c r="AO41" s="23">
        <f t="shared" si="60"/>
        <v>0</v>
      </c>
      <c r="AP41" s="23" t="e">
        <f t="shared" si="61"/>
        <v>#DIV/0!</v>
      </c>
      <c r="AQ41" s="23">
        <f t="shared" si="62"/>
        <v>0</v>
      </c>
      <c r="AR41" s="23" t="e">
        <f t="shared" si="63"/>
        <v>#DIV/0!</v>
      </c>
      <c r="AS41" s="23">
        <f t="shared" si="64"/>
        <v>0</v>
      </c>
      <c r="AT41" s="23" t="e">
        <f t="shared" si="65"/>
        <v>#DIV/0!</v>
      </c>
      <c r="AU41" s="23">
        <f t="shared" si="66"/>
        <v>0</v>
      </c>
      <c r="AV41" s="23" t="e">
        <f t="shared" si="67"/>
        <v>#DIV/0!</v>
      </c>
      <c r="AW41" s="23">
        <f t="shared" si="68"/>
        <v>0</v>
      </c>
      <c r="AX41" s="23" t="e">
        <f t="shared" si="69"/>
        <v>#DIV/0!</v>
      </c>
      <c r="AY41" s="23">
        <f t="shared" si="70"/>
        <v>0</v>
      </c>
      <c r="AZ41" s="23" t="e">
        <f t="shared" si="71"/>
        <v>#DIV/0!</v>
      </c>
      <c r="BA41" s="23">
        <f t="shared" si="72"/>
        <v>0</v>
      </c>
      <c r="BB41" s="23" t="e">
        <f t="shared" si="73"/>
        <v>#DIV/0!</v>
      </c>
      <c r="BC41" s="23">
        <f t="shared" si="74"/>
        <v>0</v>
      </c>
      <c r="BD41" s="23" t="e">
        <f t="shared" si="75"/>
        <v>#DIV/0!</v>
      </c>
    </row>
    <row r="42" spans="1:56" ht="25.2" thickTop="1"/>
    <row r="43" spans="1:56">
      <c r="A43" s="37" t="s">
        <v>48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P43" s="37" t="s">
        <v>52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E43" s="37" t="s">
        <v>89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1:56">
      <c r="A44" s="37" t="s">
        <v>1957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P44" s="37" t="s">
        <v>1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E44" s="37" t="s">
        <v>1</v>
      </c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</row>
    <row r="45" spans="1:56" s="15" customFormat="1">
      <c r="A45" s="35" t="s">
        <v>2</v>
      </c>
      <c r="B45" s="35" t="s">
        <v>3</v>
      </c>
      <c r="C45" s="38" t="s">
        <v>4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P45" s="35" t="s">
        <v>2</v>
      </c>
      <c r="Q45" s="35" t="s">
        <v>3</v>
      </c>
      <c r="R45" s="38" t="s">
        <v>5</v>
      </c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40"/>
      <c r="AE45" s="35" t="s">
        <v>2</v>
      </c>
      <c r="AF45" s="35" t="s">
        <v>3</v>
      </c>
      <c r="AG45" s="33">
        <v>25112</v>
      </c>
      <c r="AH45" s="34"/>
      <c r="AI45" s="33">
        <v>25143</v>
      </c>
      <c r="AJ45" s="34"/>
      <c r="AK45" s="33">
        <v>25173</v>
      </c>
      <c r="AL45" s="34"/>
      <c r="AM45" s="33">
        <v>25204</v>
      </c>
      <c r="AN45" s="34"/>
      <c r="AO45" s="33">
        <v>25235</v>
      </c>
      <c r="AP45" s="34"/>
      <c r="AQ45" s="33">
        <v>25263</v>
      </c>
      <c r="AR45" s="34"/>
      <c r="AS45" s="33">
        <v>25294</v>
      </c>
      <c r="AT45" s="34"/>
      <c r="AU45" s="33">
        <v>25324</v>
      </c>
      <c r="AV45" s="34"/>
      <c r="AW45" s="33">
        <v>25355</v>
      </c>
      <c r="AX45" s="34"/>
      <c r="AY45" s="33">
        <v>25385</v>
      </c>
      <c r="AZ45" s="34"/>
      <c r="BA45" s="33">
        <v>25416</v>
      </c>
      <c r="BB45" s="34"/>
      <c r="BC45" s="33">
        <v>25447</v>
      </c>
      <c r="BD45" s="34"/>
    </row>
    <row r="46" spans="1:56" s="15" customFormat="1">
      <c r="A46" s="36"/>
      <c r="B46" s="36"/>
      <c r="C46" s="16">
        <v>25112</v>
      </c>
      <c r="D46" s="16">
        <v>25143</v>
      </c>
      <c r="E46" s="16">
        <v>25173</v>
      </c>
      <c r="F46" s="16">
        <v>25204</v>
      </c>
      <c r="G46" s="16">
        <v>25235</v>
      </c>
      <c r="H46" s="16">
        <v>25263</v>
      </c>
      <c r="I46" s="16">
        <v>25294</v>
      </c>
      <c r="J46" s="16">
        <v>25324</v>
      </c>
      <c r="K46" s="16">
        <v>25355</v>
      </c>
      <c r="L46" s="16">
        <v>25385</v>
      </c>
      <c r="M46" s="16">
        <v>25416</v>
      </c>
      <c r="N46" s="16">
        <v>25447</v>
      </c>
      <c r="P46" s="36"/>
      <c r="Q46" s="36"/>
      <c r="R46" s="16">
        <v>25112</v>
      </c>
      <c r="S46" s="16">
        <v>25143</v>
      </c>
      <c r="T46" s="16">
        <v>25173</v>
      </c>
      <c r="U46" s="16">
        <v>25204</v>
      </c>
      <c r="V46" s="16">
        <v>25235</v>
      </c>
      <c r="W46" s="16">
        <v>25263</v>
      </c>
      <c r="X46" s="16">
        <v>25294</v>
      </c>
      <c r="Y46" s="16">
        <v>25324</v>
      </c>
      <c r="Z46" s="16">
        <v>25355</v>
      </c>
      <c r="AA46" s="16">
        <v>25385</v>
      </c>
      <c r="AB46" s="16">
        <v>25416</v>
      </c>
      <c r="AC46" s="16">
        <v>25447</v>
      </c>
      <c r="AE46" s="36"/>
      <c r="AF46" s="36"/>
      <c r="AG46" s="16" t="s">
        <v>85</v>
      </c>
      <c r="AH46" s="16" t="s">
        <v>86</v>
      </c>
      <c r="AI46" s="16" t="s">
        <v>85</v>
      </c>
      <c r="AJ46" s="16" t="s">
        <v>86</v>
      </c>
      <c r="AK46" s="16" t="s">
        <v>85</v>
      </c>
      <c r="AL46" s="16" t="s">
        <v>86</v>
      </c>
      <c r="AM46" s="16" t="s">
        <v>85</v>
      </c>
      <c r="AN46" s="16" t="s">
        <v>86</v>
      </c>
      <c r="AO46" s="16" t="s">
        <v>85</v>
      </c>
      <c r="AP46" s="16" t="s">
        <v>86</v>
      </c>
      <c r="AQ46" s="16" t="s">
        <v>85</v>
      </c>
      <c r="AR46" s="16" t="s">
        <v>86</v>
      </c>
      <c r="AS46" s="16" t="s">
        <v>85</v>
      </c>
      <c r="AT46" s="16" t="s">
        <v>86</v>
      </c>
      <c r="AU46" s="16" t="s">
        <v>85</v>
      </c>
      <c r="AV46" s="16" t="s">
        <v>86</v>
      </c>
      <c r="AW46" s="16" t="s">
        <v>85</v>
      </c>
      <c r="AX46" s="16" t="s">
        <v>86</v>
      </c>
      <c r="AY46" s="16" t="s">
        <v>85</v>
      </c>
      <c r="AZ46" s="16" t="s">
        <v>86</v>
      </c>
      <c r="BA46" s="16" t="s">
        <v>85</v>
      </c>
      <c r="BB46" s="16" t="s">
        <v>86</v>
      </c>
      <c r="BC46" s="16" t="s">
        <v>85</v>
      </c>
      <c r="BD46" s="16" t="s">
        <v>86</v>
      </c>
    </row>
    <row r="47" spans="1:56">
      <c r="A47" s="17">
        <v>1</v>
      </c>
      <c r="B47" s="18" t="s">
        <v>19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P47" s="17">
        <v>1</v>
      </c>
      <c r="Q47" s="18" t="s">
        <v>19</v>
      </c>
      <c r="R47" s="19">
        <v>1597860</v>
      </c>
      <c r="S47" s="19">
        <v>1597860</v>
      </c>
      <c r="T47" s="19">
        <v>1597860</v>
      </c>
      <c r="U47" s="19"/>
      <c r="V47" s="19"/>
      <c r="W47" s="19"/>
      <c r="X47" s="19"/>
      <c r="Y47" s="19"/>
      <c r="Z47" s="19"/>
      <c r="AA47" s="19"/>
      <c r="AB47" s="19"/>
      <c r="AC47" s="19"/>
      <c r="AE47" s="17">
        <v>1</v>
      </c>
      <c r="AF47" s="18" t="s">
        <v>19</v>
      </c>
      <c r="AG47" s="19">
        <f t="shared" ref="AG47:AG61" si="78">+C47-R47</f>
        <v>-1597860</v>
      </c>
      <c r="AH47" s="19" t="e">
        <f t="shared" ref="AH47:AH61" si="79">+AG47/C47*100</f>
        <v>#DIV/0!</v>
      </c>
      <c r="AI47" s="19">
        <f t="shared" ref="AI47:AI61" si="80">+D47-S47</f>
        <v>-1597860</v>
      </c>
      <c r="AJ47" s="19" t="e">
        <f t="shared" ref="AJ47:AJ61" si="81">+AI47/D47*100</f>
        <v>#DIV/0!</v>
      </c>
      <c r="AK47" s="19">
        <f t="shared" ref="AK47:AK61" si="82">+E47-T47</f>
        <v>-1597860</v>
      </c>
      <c r="AL47" s="19" t="e">
        <f t="shared" ref="AL47:AL61" si="83">+AK47/E47*100</f>
        <v>#DIV/0!</v>
      </c>
      <c r="AM47" s="19">
        <f t="shared" ref="AM47:AM61" si="84">+F47-U47</f>
        <v>0</v>
      </c>
      <c r="AN47" s="19" t="e">
        <f t="shared" ref="AN47:AN61" si="85">+AM47/F47*100</f>
        <v>#DIV/0!</v>
      </c>
      <c r="AO47" s="19">
        <f t="shared" ref="AO47:AO61" si="86">+G47-V47</f>
        <v>0</v>
      </c>
      <c r="AP47" s="19" t="e">
        <f t="shared" ref="AP47:AP61" si="87">+AO47/G47*100</f>
        <v>#DIV/0!</v>
      </c>
      <c r="AQ47" s="19">
        <f t="shared" ref="AQ47:AQ61" si="88">+H47-W47</f>
        <v>0</v>
      </c>
      <c r="AR47" s="19" t="e">
        <f t="shared" ref="AR47:AR61" si="89">+AQ47/H47*100</f>
        <v>#DIV/0!</v>
      </c>
      <c r="AS47" s="19">
        <f t="shared" ref="AS47:AS61" si="90">+I47-X47</f>
        <v>0</v>
      </c>
      <c r="AT47" s="19" t="e">
        <f t="shared" ref="AT47:AT61" si="91">+AS47/I47*100</f>
        <v>#DIV/0!</v>
      </c>
      <c r="AU47" s="19">
        <f t="shared" ref="AU47:AU61" si="92">+J47-Y47</f>
        <v>0</v>
      </c>
      <c r="AV47" s="19" t="e">
        <f t="shared" ref="AV47:AV61" si="93">+AU47/J47*100</f>
        <v>#DIV/0!</v>
      </c>
      <c r="AW47" s="19">
        <f t="shared" ref="AW47:AW61" si="94">+K47-Z47</f>
        <v>0</v>
      </c>
      <c r="AX47" s="19" t="e">
        <f t="shared" ref="AX47:AX61" si="95">+AW47/K47*100</f>
        <v>#DIV/0!</v>
      </c>
      <c r="AY47" s="19">
        <f t="shared" ref="AY47:AY61" si="96">+L47-AA47</f>
        <v>0</v>
      </c>
      <c r="AZ47" s="19" t="e">
        <f t="shared" ref="AZ47:AZ61" si="97">+AY47/L47*100</f>
        <v>#DIV/0!</v>
      </c>
      <c r="BA47" s="19">
        <f t="shared" ref="BA47:BA61" si="98">+M47-AB47</f>
        <v>0</v>
      </c>
      <c r="BB47" s="19" t="e">
        <f t="shared" ref="BB47:BB61" si="99">+BA47/M47*100</f>
        <v>#DIV/0!</v>
      </c>
      <c r="BC47" s="19">
        <f t="shared" ref="BC47:BC61" si="100">+N47-AC47</f>
        <v>0</v>
      </c>
      <c r="BD47" s="19" t="e">
        <f t="shared" ref="BD47:BD61" si="101">+BC47/N47*100</f>
        <v>#DIV/0!</v>
      </c>
    </row>
    <row r="48" spans="1:56">
      <c r="A48" s="17">
        <v>2</v>
      </c>
      <c r="B48" s="18" t="s">
        <v>21</v>
      </c>
      <c r="C48" s="19">
        <v>7547584.5899999999</v>
      </c>
      <c r="D48" s="19">
        <v>7613607.5700000003</v>
      </c>
      <c r="E48" s="19">
        <v>7681831.3200000003</v>
      </c>
      <c r="F48" s="19"/>
      <c r="G48" s="19"/>
      <c r="H48" s="19"/>
      <c r="I48" s="19"/>
      <c r="J48" s="19"/>
      <c r="K48" s="19"/>
      <c r="L48" s="19"/>
      <c r="M48" s="19"/>
      <c r="N48" s="19"/>
      <c r="P48" s="17">
        <v>2</v>
      </c>
      <c r="Q48" s="18" t="s">
        <v>21</v>
      </c>
      <c r="R48" s="19">
        <v>13841430.84</v>
      </c>
      <c r="S48" s="19">
        <v>13881937.51</v>
      </c>
      <c r="T48" s="19">
        <v>13922444.18</v>
      </c>
      <c r="U48" s="19"/>
      <c r="V48" s="19"/>
      <c r="W48" s="19"/>
      <c r="X48" s="19"/>
      <c r="Y48" s="19"/>
      <c r="Z48" s="19"/>
      <c r="AA48" s="19"/>
      <c r="AB48" s="19"/>
      <c r="AC48" s="19"/>
      <c r="AE48" s="17">
        <v>2</v>
      </c>
      <c r="AF48" s="18" t="s">
        <v>21</v>
      </c>
      <c r="AG48" s="19">
        <f t="shared" si="78"/>
        <v>-6293846.25</v>
      </c>
      <c r="AH48" s="19">
        <f t="shared" si="79"/>
        <v>-83.388879911844754</v>
      </c>
      <c r="AI48" s="19">
        <f t="shared" si="80"/>
        <v>-6268329.9399999995</v>
      </c>
      <c r="AJ48" s="19">
        <f t="shared" si="81"/>
        <v>-82.330615051650199</v>
      </c>
      <c r="AK48" s="19">
        <f t="shared" si="82"/>
        <v>-6240612.8599999994</v>
      </c>
      <c r="AL48" s="19">
        <f t="shared" si="83"/>
        <v>-81.23860834788546</v>
      </c>
      <c r="AM48" s="19">
        <f t="shared" si="84"/>
        <v>0</v>
      </c>
      <c r="AN48" s="19" t="e">
        <f t="shared" si="85"/>
        <v>#DIV/0!</v>
      </c>
      <c r="AO48" s="19">
        <f t="shared" si="86"/>
        <v>0</v>
      </c>
      <c r="AP48" s="19" t="e">
        <f t="shared" si="87"/>
        <v>#DIV/0!</v>
      </c>
      <c r="AQ48" s="19">
        <f t="shared" si="88"/>
        <v>0</v>
      </c>
      <c r="AR48" s="19" t="e">
        <f t="shared" si="89"/>
        <v>#DIV/0!</v>
      </c>
      <c r="AS48" s="19">
        <f t="shared" si="90"/>
        <v>0</v>
      </c>
      <c r="AT48" s="19" t="e">
        <f t="shared" si="91"/>
        <v>#DIV/0!</v>
      </c>
      <c r="AU48" s="19">
        <f t="shared" si="92"/>
        <v>0</v>
      </c>
      <c r="AV48" s="19" t="e">
        <f t="shared" si="93"/>
        <v>#DIV/0!</v>
      </c>
      <c r="AW48" s="19">
        <f t="shared" si="94"/>
        <v>0</v>
      </c>
      <c r="AX48" s="19" t="e">
        <f t="shared" si="95"/>
        <v>#DIV/0!</v>
      </c>
      <c r="AY48" s="19">
        <f t="shared" si="96"/>
        <v>0</v>
      </c>
      <c r="AZ48" s="19" t="e">
        <f t="shared" si="97"/>
        <v>#DIV/0!</v>
      </c>
      <c r="BA48" s="19">
        <f t="shared" si="98"/>
        <v>0</v>
      </c>
      <c r="BB48" s="19" t="e">
        <f t="shared" si="99"/>
        <v>#DIV/0!</v>
      </c>
      <c r="BC48" s="19">
        <f t="shared" si="100"/>
        <v>0</v>
      </c>
      <c r="BD48" s="19" t="e">
        <f t="shared" si="101"/>
        <v>#DIV/0!</v>
      </c>
    </row>
    <row r="49" spans="1:56">
      <c r="A49" s="17">
        <v>3</v>
      </c>
      <c r="B49" s="18" t="s">
        <v>23</v>
      </c>
      <c r="C49" s="19">
        <v>657572.34</v>
      </c>
      <c r="D49" s="19">
        <v>679501.31</v>
      </c>
      <c r="E49" s="19">
        <v>702161.25</v>
      </c>
      <c r="F49" s="19"/>
      <c r="G49" s="19"/>
      <c r="H49" s="19"/>
      <c r="I49" s="19"/>
      <c r="J49" s="19"/>
      <c r="K49" s="19"/>
      <c r="L49" s="19"/>
      <c r="M49" s="19"/>
      <c r="N49" s="19"/>
      <c r="P49" s="17">
        <v>3</v>
      </c>
      <c r="Q49" s="18" t="s">
        <v>23</v>
      </c>
      <c r="R49" s="19">
        <v>1915949.87</v>
      </c>
      <c r="S49" s="19">
        <v>1940379.58</v>
      </c>
      <c r="T49" s="19">
        <v>1947908.75</v>
      </c>
      <c r="U49" s="19"/>
      <c r="V49" s="19"/>
      <c r="W49" s="19"/>
      <c r="X49" s="19"/>
      <c r="Y49" s="19"/>
      <c r="Z49" s="19"/>
      <c r="AA49" s="19"/>
      <c r="AB49" s="19"/>
      <c r="AC49" s="19"/>
      <c r="AE49" s="17">
        <v>3</v>
      </c>
      <c r="AF49" s="18" t="s">
        <v>23</v>
      </c>
      <c r="AG49" s="19">
        <f t="shared" si="78"/>
        <v>-1258377.5300000003</v>
      </c>
      <c r="AH49" s="19">
        <f t="shared" si="79"/>
        <v>-191.36716273680253</v>
      </c>
      <c r="AI49" s="19">
        <f t="shared" si="80"/>
        <v>-1260878.27</v>
      </c>
      <c r="AJ49" s="19">
        <f t="shared" si="81"/>
        <v>-185.55935822993482</v>
      </c>
      <c r="AK49" s="19">
        <f t="shared" si="82"/>
        <v>-1245747.5</v>
      </c>
      <c r="AL49" s="19">
        <f t="shared" si="83"/>
        <v>-177.41615618919445</v>
      </c>
      <c r="AM49" s="19">
        <f t="shared" si="84"/>
        <v>0</v>
      </c>
      <c r="AN49" s="19" t="e">
        <f t="shared" si="85"/>
        <v>#DIV/0!</v>
      </c>
      <c r="AO49" s="19">
        <f t="shared" si="86"/>
        <v>0</v>
      </c>
      <c r="AP49" s="19" t="e">
        <f t="shared" si="87"/>
        <v>#DIV/0!</v>
      </c>
      <c r="AQ49" s="19">
        <f t="shared" si="88"/>
        <v>0</v>
      </c>
      <c r="AR49" s="19" t="e">
        <f t="shared" si="89"/>
        <v>#DIV/0!</v>
      </c>
      <c r="AS49" s="19">
        <f t="shared" si="90"/>
        <v>0</v>
      </c>
      <c r="AT49" s="19" t="e">
        <f t="shared" si="91"/>
        <v>#DIV/0!</v>
      </c>
      <c r="AU49" s="19">
        <f t="shared" si="92"/>
        <v>0</v>
      </c>
      <c r="AV49" s="19" t="e">
        <f t="shared" si="93"/>
        <v>#DIV/0!</v>
      </c>
      <c r="AW49" s="19">
        <f t="shared" si="94"/>
        <v>0</v>
      </c>
      <c r="AX49" s="19" t="e">
        <f t="shared" si="95"/>
        <v>#DIV/0!</v>
      </c>
      <c r="AY49" s="19">
        <f t="shared" si="96"/>
        <v>0</v>
      </c>
      <c r="AZ49" s="19" t="e">
        <f t="shared" si="97"/>
        <v>#DIV/0!</v>
      </c>
      <c r="BA49" s="19">
        <f t="shared" si="98"/>
        <v>0</v>
      </c>
      <c r="BB49" s="19" t="e">
        <f t="shared" si="99"/>
        <v>#DIV/0!</v>
      </c>
      <c r="BC49" s="19">
        <f t="shared" si="100"/>
        <v>0</v>
      </c>
      <c r="BD49" s="19" t="e">
        <f t="shared" si="101"/>
        <v>#DIV/0!</v>
      </c>
    </row>
    <row r="50" spans="1:56">
      <c r="A50" s="17">
        <v>4</v>
      </c>
      <c r="B50" s="18" t="s">
        <v>25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P50" s="17">
        <v>4</v>
      </c>
      <c r="Q50" s="18" t="s">
        <v>25</v>
      </c>
      <c r="R50" s="19">
        <v>723808</v>
      </c>
      <c r="S50" s="19">
        <v>723808</v>
      </c>
      <c r="T50" s="19">
        <v>723808</v>
      </c>
      <c r="U50" s="19"/>
      <c r="V50" s="19"/>
      <c r="W50" s="19"/>
      <c r="X50" s="19"/>
      <c r="Y50" s="19"/>
      <c r="Z50" s="19"/>
      <c r="AA50" s="19"/>
      <c r="AB50" s="19"/>
      <c r="AC50" s="19"/>
      <c r="AE50" s="17">
        <v>4</v>
      </c>
      <c r="AF50" s="18" t="s">
        <v>25</v>
      </c>
      <c r="AG50" s="19">
        <f t="shared" si="78"/>
        <v>-723808</v>
      </c>
      <c r="AH50" s="19" t="e">
        <f t="shared" si="79"/>
        <v>#DIV/0!</v>
      </c>
      <c r="AI50" s="19">
        <f t="shared" si="80"/>
        <v>-723808</v>
      </c>
      <c r="AJ50" s="19" t="e">
        <f t="shared" si="81"/>
        <v>#DIV/0!</v>
      </c>
      <c r="AK50" s="19">
        <f t="shared" si="82"/>
        <v>-723808</v>
      </c>
      <c r="AL50" s="19" t="e">
        <f t="shared" si="83"/>
        <v>#DIV/0!</v>
      </c>
      <c r="AM50" s="19">
        <f t="shared" si="84"/>
        <v>0</v>
      </c>
      <c r="AN50" s="19" t="e">
        <f t="shared" si="85"/>
        <v>#DIV/0!</v>
      </c>
      <c r="AO50" s="19">
        <f t="shared" si="86"/>
        <v>0</v>
      </c>
      <c r="AP50" s="19" t="e">
        <f t="shared" si="87"/>
        <v>#DIV/0!</v>
      </c>
      <c r="AQ50" s="19">
        <f t="shared" si="88"/>
        <v>0</v>
      </c>
      <c r="AR50" s="19" t="e">
        <f t="shared" si="89"/>
        <v>#DIV/0!</v>
      </c>
      <c r="AS50" s="19">
        <f t="shared" si="90"/>
        <v>0</v>
      </c>
      <c r="AT50" s="19" t="e">
        <f t="shared" si="91"/>
        <v>#DIV/0!</v>
      </c>
      <c r="AU50" s="19">
        <f t="shared" si="92"/>
        <v>0</v>
      </c>
      <c r="AV50" s="19" t="e">
        <f t="shared" si="93"/>
        <v>#DIV/0!</v>
      </c>
      <c r="AW50" s="19">
        <f t="shared" si="94"/>
        <v>0</v>
      </c>
      <c r="AX50" s="19" t="e">
        <f t="shared" si="95"/>
        <v>#DIV/0!</v>
      </c>
      <c r="AY50" s="19">
        <f t="shared" si="96"/>
        <v>0</v>
      </c>
      <c r="AZ50" s="19" t="e">
        <f t="shared" si="97"/>
        <v>#DIV/0!</v>
      </c>
      <c r="BA50" s="19">
        <f t="shared" si="98"/>
        <v>0</v>
      </c>
      <c r="BB50" s="19" t="e">
        <f t="shared" si="99"/>
        <v>#DIV/0!</v>
      </c>
      <c r="BC50" s="19">
        <f t="shared" si="100"/>
        <v>0</v>
      </c>
      <c r="BD50" s="19" t="e">
        <f t="shared" si="101"/>
        <v>#DIV/0!</v>
      </c>
    </row>
    <row r="51" spans="1:56">
      <c r="A51" s="17">
        <v>5</v>
      </c>
      <c r="B51" s="18" t="s">
        <v>27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P51" s="17">
        <v>5</v>
      </c>
      <c r="Q51" s="18" t="s">
        <v>27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E51" s="17">
        <v>5</v>
      </c>
      <c r="AF51" s="18" t="s">
        <v>27</v>
      </c>
      <c r="AG51" s="19">
        <f t="shared" si="78"/>
        <v>0</v>
      </c>
      <c r="AH51" s="19" t="e">
        <f t="shared" si="79"/>
        <v>#DIV/0!</v>
      </c>
      <c r="AI51" s="19">
        <f t="shared" si="80"/>
        <v>0</v>
      </c>
      <c r="AJ51" s="19" t="e">
        <f t="shared" si="81"/>
        <v>#DIV/0!</v>
      </c>
      <c r="AK51" s="19">
        <f t="shared" si="82"/>
        <v>0</v>
      </c>
      <c r="AL51" s="19" t="e">
        <f t="shared" si="83"/>
        <v>#DIV/0!</v>
      </c>
      <c r="AM51" s="19">
        <f t="shared" si="84"/>
        <v>0</v>
      </c>
      <c r="AN51" s="19" t="e">
        <f t="shared" si="85"/>
        <v>#DIV/0!</v>
      </c>
      <c r="AO51" s="19">
        <f t="shared" si="86"/>
        <v>0</v>
      </c>
      <c r="AP51" s="19" t="e">
        <f t="shared" si="87"/>
        <v>#DIV/0!</v>
      </c>
      <c r="AQ51" s="19">
        <f t="shared" si="88"/>
        <v>0</v>
      </c>
      <c r="AR51" s="19" t="e">
        <f t="shared" si="89"/>
        <v>#DIV/0!</v>
      </c>
      <c r="AS51" s="19">
        <f t="shared" si="90"/>
        <v>0</v>
      </c>
      <c r="AT51" s="19" t="e">
        <f t="shared" si="91"/>
        <v>#DIV/0!</v>
      </c>
      <c r="AU51" s="19">
        <f t="shared" si="92"/>
        <v>0</v>
      </c>
      <c r="AV51" s="19" t="e">
        <f t="shared" si="93"/>
        <v>#DIV/0!</v>
      </c>
      <c r="AW51" s="19">
        <f t="shared" si="94"/>
        <v>0</v>
      </c>
      <c r="AX51" s="19" t="e">
        <f t="shared" si="95"/>
        <v>#DIV/0!</v>
      </c>
      <c r="AY51" s="19">
        <f t="shared" si="96"/>
        <v>0</v>
      </c>
      <c r="AZ51" s="19" t="e">
        <f t="shared" si="97"/>
        <v>#DIV/0!</v>
      </c>
      <c r="BA51" s="19">
        <f t="shared" si="98"/>
        <v>0</v>
      </c>
      <c r="BB51" s="19" t="e">
        <f t="shared" si="99"/>
        <v>#DIV/0!</v>
      </c>
      <c r="BC51" s="19">
        <f t="shared" si="100"/>
        <v>0</v>
      </c>
      <c r="BD51" s="19" t="e">
        <f t="shared" si="101"/>
        <v>#DIV/0!</v>
      </c>
    </row>
    <row r="52" spans="1:56">
      <c r="A52" s="17">
        <v>6</v>
      </c>
      <c r="B52" s="18" t="s">
        <v>29</v>
      </c>
      <c r="C52" s="19">
        <v>18993524.760000002</v>
      </c>
      <c r="D52" s="19">
        <v>19465425.23</v>
      </c>
      <c r="E52" s="19">
        <v>19953055.699999999</v>
      </c>
      <c r="F52" s="19"/>
      <c r="G52" s="19"/>
      <c r="H52" s="19"/>
      <c r="I52" s="19"/>
      <c r="J52" s="19"/>
      <c r="K52" s="19"/>
      <c r="L52" s="19"/>
      <c r="M52" s="19"/>
      <c r="N52" s="19"/>
      <c r="P52" s="17">
        <v>6</v>
      </c>
      <c r="Q52" s="18" t="s">
        <v>29</v>
      </c>
      <c r="R52" s="19">
        <v>27116659.789999999</v>
      </c>
      <c r="S52" s="19">
        <v>27636325.140000001</v>
      </c>
      <c r="T52" s="19">
        <v>28155174.609999999</v>
      </c>
      <c r="U52" s="19"/>
      <c r="V52" s="19"/>
      <c r="W52" s="19"/>
      <c r="X52" s="19"/>
      <c r="Y52" s="19"/>
      <c r="Z52" s="19"/>
      <c r="AA52" s="19"/>
      <c r="AB52" s="19"/>
      <c r="AC52" s="19"/>
      <c r="AE52" s="17">
        <v>6</v>
      </c>
      <c r="AF52" s="18" t="s">
        <v>29</v>
      </c>
      <c r="AG52" s="19">
        <f t="shared" si="78"/>
        <v>-8123135.0299999975</v>
      </c>
      <c r="AH52" s="19">
        <f t="shared" si="79"/>
        <v>-42.767917659533964</v>
      </c>
      <c r="AI52" s="19">
        <f t="shared" si="80"/>
        <v>-8170899.9100000001</v>
      </c>
      <c r="AJ52" s="19">
        <f t="shared" si="81"/>
        <v>-41.976477849592811</v>
      </c>
      <c r="AK52" s="19">
        <f t="shared" si="82"/>
        <v>-8202118.9100000001</v>
      </c>
      <c r="AL52" s="19">
        <f t="shared" si="83"/>
        <v>-41.10708170879311</v>
      </c>
      <c r="AM52" s="19">
        <f t="shared" si="84"/>
        <v>0</v>
      </c>
      <c r="AN52" s="19" t="e">
        <f t="shared" si="85"/>
        <v>#DIV/0!</v>
      </c>
      <c r="AO52" s="19">
        <f t="shared" si="86"/>
        <v>0</v>
      </c>
      <c r="AP52" s="19" t="e">
        <f t="shared" si="87"/>
        <v>#DIV/0!</v>
      </c>
      <c r="AQ52" s="19">
        <f t="shared" si="88"/>
        <v>0</v>
      </c>
      <c r="AR52" s="19" t="e">
        <f t="shared" si="89"/>
        <v>#DIV/0!</v>
      </c>
      <c r="AS52" s="19">
        <f t="shared" si="90"/>
        <v>0</v>
      </c>
      <c r="AT52" s="19" t="e">
        <f t="shared" si="91"/>
        <v>#DIV/0!</v>
      </c>
      <c r="AU52" s="19">
        <f t="shared" si="92"/>
        <v>0</v>
      </c>
      <c r="AV52" s="19" t="e">
        <f t="shared" si="93"/>
        <v>#DIV/0!</v>
      </c>
      <c r="AW52" s="19">
        <f t="shared" si="94"/>
        <v>0</v>
      </c>
      <c r="AX52" s="19" t="e">
        <f t="shared" si="95"/>
        <v>#DIV/0!</v>
      </c>
      <c r="AY52" s="19">
        <f t="shared" si="96"/>
        <v>0</v>
      </c>
      <c r="AZ52" s="19" t="e">
        <f t="shared" si="97"/>
        <v>#DIV/0!</v>
      </c>
      <c r="BA52" s="19">
        <f t="shared" si="98"/>
        <v>0</v>
      </c>
      <c r="BB52" s="19" t="e">
        <f t="shared" si="99"/>
        <v>#DIV/0!</v>
      </c>
      <c r="BC52" s="19">
        <f t="shared" si="100"/>
        <v>0</v>
      </c>
      <c r="BD52" s="19" t="e">
        <f t="shared" si="101"/>
        <v>#DIV/0!</v>
      </c>
    </row>
    <row r="53" spans="1:56">
      <c r="A53" s="17">
        <v>7</v>
      </c>
      <c r="B53" s="18" t="s">
        <v>31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P53" s="17">
        <v>7</v>
      </c>
      <c r="Q53" s="18" t="s">
        <v>31</v>
      </c>
      <c r="R53" s="19">
        <v>1609756</v>
      </c>
      <c r="S53" s="19">
        <v>1609756</v>
      </c>
      <c r="T53" s="19">
        <v>1609756</v>
      </c>
      <c r="U53" s="19"/>
      <c r="V53" s="19"/>
      <c r="W53" s="19"/>
      <c r="X53" s="19"/>
      <c r="Y53" s="19"/>
      <c r="Z53" s="19"/>
      <c r="AA53" s="19"/>
      <c r="AB53" s="19"/>
      <c r="AC53" s="19"/>
      <c r="AE53" s="17">
        <v>7</v>
      </c>
      <c r="AF53" s="18" t="s">
        <v>31</v>
      </c>
      <c r="AG53" s="19">
        <f t="shared" si="78"/>
        <v>-1609756</v>
      </c>
      <c r="AH53" s="19" t="e">
        <f t="shared" si="79"/>
        <v>#DIV/0!</v>
      </c>
      <c r="AI53" s="19">
        <f t="shared" si="80"/>
        <v>-1609756</v>
      </c>
      <c r="AJ53" s="19" t="e">
        <f t="shared" si="81"/>
        <v>#DIV/0!</v>
      </c>
      <c r="AK53" s="19">
        <f t="shared" si="82"/>
        <v>-1609756</v>
      </c>
      <c r="AL53" s="19" t="e">
        <f t="shared" si="83"/>
        <v>#DIV/0!</v>
      </c>
      <c r="AM53" s="19">
        <f t="shared" si="84"/>
        <v>0</v>
      </c>
      <c r="AN53" s="19" t="e">
        <f t="shared" si="85"/>
        <v>#DIV/0!</v>
      </c>
      <c r="AO53" s="19">
        <f t="shared" si="86"/>
        <v>0</v>
      </c>
      <c r="AP53" s="19" t="e">
        <f t="shared" si="87"/>
        <v>#DIV/0!</v>
      </c>
      <c r="AQ53" s="19">
        <f t="shared" si="88"/>
        <v>0</v>
      </c>
      <c r="AR53" s="19" t="e">
        <f t="shared" si="89"/>
        <v>#DIV/0!</v>
      </c>
      <c r="AS53" s="19">
        <f t="shared" si="90"/>
        <v>0</v>
      </c>
      <c r="AT53" s="19" t="e">
        <f t="shared" si="91"/>
        <v>#DIV/0!</v>
      </c>
      <c r="AU53" s="19">
        <f t="shared" si="92"/>
        <v>0</v>
      </c>
      <c r="AV53" s="19" t="e">
        <f t="shared" si="93"/>
        <v>#DIV/0!</v>
      </c>
      <c r="AW53" s="19">
        <f t="shared" si="94"/>
        <v>0</v>
      </c>
      <c r="AX53" s="19" t="e">
        <f t="shared" si="95"/>
        <v>#DIV/0!</v>
      </c>
      <c r="AY53" s="19">
        <f t="shared" si="96"/>
        <v>0</v>
      </c>
      <c r="AZ53" s="19" t="e">
        <f t="shared" si="97"/>
        <v>#DIV/0!</v>
      </c>
      <c r="BA53" s="19">
        <f t="shared" si="98"/>
        <v>0</v>
      </c>
      <c r="BB53" s="19" t="e">
        <f t="shared" si="99"/>
        <v>#DIV/0!</v>
      </c>
      <c r="BC53" s="19">
        <f t="shared" si="100"/>
        <v>0</v>
      </c>
      <c r="BD53" s="19" t="e">
        <f t="shared" si="101"/>
        <v>#DIV/0!</v>
      </c>
    </row>
    <row r="54" spans="1:56">
      <c r="A54" s="17">
        <v>8</v>
      </c>
      <c r="B54" s="18" t="s">
        <v>33</v>
      </c>
      <c r="C54" s="19">
        <v>547499</v>
      </c>
      <c r="D54" s="19">
        <v>547499</v>
      </c>
      <c r="E54" s="19">
        <v>547499</v>
      </c>
      <c r="F54" s="19"/>
      <c r="G54" s="19"/>
      <c r="H54" s="19"/>
      <c r="I54" s="19"/>
      <c r="J54" s="19"/>
      <c r="K54" s="19"/>
      <c r="L54" s="19"/>
      <c r="M54" s="19"/>
      <c r="N54" s="19"/>
      <c r="P54" s="17">
        <v>8</v>
      </c>
      <c r="Q54" s="18" t="s">
        <v>33</v>
      </c>
      <c r="R54" s="19">
        <v>2696051</v>
      </c>
      <c r="S54" s="19">
        <v>2696051</v>
      </c>
      <c r="T54" s="19">
        <v>2696051</v>
      </c>
      <c r="U54" s="19"/>
      <c r="V54" s="19"/>
      <c r="W54" s="19"/>
      <c r="X54" s="19"/>
      <c r="Y54" s="19"/>
      <c r="Z54" s="19"/>
      <c r="AA54" s="19"/>
      <c r="AB54" s="19"/>
      <c r="AC54" s="19"/>
      <c r="AE54" s="17">
        <v>8</v>
      </c>
      <c r="AF54" s="18" t="s">
        <v>33</v>
      </c>
      <c r="AG54" s="19">
        <f t="shared" si="78"/>
        <v>-2148552</v>
      </c>
      <c r="AH54" s="19">
        <f t="shared" si="79"/>
        <v>-392.43030580877775</v>
      </c>
      <c r="AI54" s="19">
        <f t="shared" si="80"/>
        <v>-2148552</v>
      </c>
      <c r="AJ54" s="19">
        <f t="shared" si="81"/>
        <v>-392.43030580877775</v>
      </c>
      <c r="AK54" s="19">
        <f t="shared" si="82"/>
        <v>-2148552</v>
      </c>
      <c r="AL54" s="19">
        <f t="shared" si="83"/>
        <v>-392.43030580877775</v>
      </c>
      <c r="AM54" s="19">
        <f t="shared" si="84"/>
        <v>0</v>
      </c>
      <c r="AN54" s="19" t="e">
        <f t="shared" si="85"/>
        <v>#DIV/0!</v>
      </c>
      <c r="AO54" s="19">
        <f t="shared" si="86"/>
        <v>0</v>
      </c>
      <c r="AP54" s="19" t="e">
        <f t="shared" si="87"/>
        <v>#DIV/0!</v>
      </c>
      <c r="AQ54" s="19">
        <f t="shared" si="88"/>
        <v>0</v>
      </c>
      <c r="AR54" s="19" t="e">
        <f t="shared" si="89"/>
        <v>#DIV/0!</v>
      </c>
      <c r="AS54" s="19">
        <f t="shared" si="90"/>
        <v>0</v>
      </c>
      <c r="AT54" s="19" t="e">
        <f t="shared" si="91"/>
        <v>#DIV/0!</v>
      </c>
      <c r="AU54" s="19">
        <f t="shared" si="92"/>
        <v>0</v>
      </c>
      <c r="AV54" s="19" t="e">
        <f t="shared" si="93"/>
        <v>#DIV/0!</v>
      </c>
      <c r="AW54" s="19">
        <f t="shared" si="94"/>
        <v>0</v>
      </c>
      <c r="AX54" s="19" t="e">
        <f t="shared" si="95"/>
        <v>#DIV/0!</v>
      </c>
      <c r="AY54" s="19">
        <f t="shared" si="96"/>
        <v>0</v>
      </c>
      <c r="AZ54" s="19" t="e">
        <f t="shared" si="97"/>
        <v>#DIV/0!</v>
      </c>
      <c r="BA54" s="19">
        <f t="shared" si="98"/>
        <v>0</v>
      </c>
      <c r="BB54" s="19" t="e">
        <f t="shared" si="99"/>
        <v>#DIV/0!</v>
      </c>
      <c r="BC54" s="19">
        <f t="shared" si="100"/>
        <v>0</v>
      </c>
      <c r="BD54" s="19" t="e">
        <f t="shared" si="101"/>
        <v>#DIV/0!</v>
      </c>
    </row>
    <row r="55" spans="1:56">
      <c r="A55" s="17">
        <v>9</v>
      </c>
      <c r="B55" s="18" t="s">
        <v>35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P55" s="17">
        <v>9</v>
      </c>
      <c r="Q55" s="18" t="s">
        <v>35</v>
      </c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E55" s="17">
        <v>9</v>
      </c>
      <c r="AF55" s="18" t="s">
        <v>35</v>
      </c>
      <c r="AG55" s="19">
        <f t="shared" si="78"/>
        <v>0</v>
      </c>
      <c r="AH55" s="19" t="e">
        <f t="shared" si="79"/>
        <v>#DIV/0!</v>
      </c>
      <c r="AI55" s="19">
        <f t="shared" si="80"/>
        <v>0</v>
      </c>
      <c r="AJ55" s="19" t="e">
        <f t="shared" si="81"/>
        <v>#DIV/0!</v>
      </c>
      <c r="AK55" s="19">
        <f t="shared" si="82"/>
        <v>0</v>
      </c>
      <c r="AL55" s="19" t="e">
        <f t="shared" si="83"/>
        <v>#DIV/0!</v>
      </c>
      <c r="AM55" s="19">
        <f t="shared" si="84"/>
        <v>0</v>
      </c>
      <c r="AN55" s="19" t="e">
        <f t="shared" si="85"/>
        <v>#DIV/0!</v>
      </c>
      <c r="AO55" s="19">
        <f t="shared" si="86"/>
        <v>0</v>
      </c>
      <c r="AP55" s="19" t="e">
        <f t="shared" si="87"/>
        <v>#DIV/0!</v>
      </c>
      <c r="AQ55" s="19">
        <f t="shared" si="88"/>
        <v>0</v>
      </c>
      <c r="AR55" s="19" t="e">
        <f t="shared" si="89"/>
        <v>#DIV/0!</v>
      </c>
      <c r="AS55" s="19">
        <f t="shared" si="90"/>
        <v>0</v>
      </c>
      <c r="AT55" s="19" t="e">
        <f t="shared" si="91"/>
        <v>#DIV/0!</v>
      </c>
      <c r="AU55" s="19">
        <f t="shared" si="92"/>
        <v>0</v>
      </c>
      <c r="AV55" s="19" t="e">
        <f t="shared" si="93"/>
        <v>#DIV/0!</v>
      </c>
      <c r="AW55" s="19">
        <f t="shared" si="94"/>
        <v>0</v>
      </c>
      <c r="AX55" s="19" t="e">
        <f t="shared" si="95"/>
        <v>#DIV/0!</v>
      </c>
      <c r="AY55" s="19">
        <f t="shared" si="96"/>
        <v>0</v>
      </c>
      <c r="AZ55" s="19" t="e">
        <f t="shared" si="97"/>
        <v>#DIV/0!</v>
      </c>
      <c r="BA55" s="19">
        <f t="shared" si="98"/>
        <v>0</v>
      </c>
      <c r="BB55" s="19" t="e">
        <f t="shared" si="99"/>
        <v>#DIV/0!</v>
      </c>
      <c r="BC55" s="19">
        <f t="shared" si="100"/>
        <v>0</v>
      </c>
      <c r="BD55" s="19" t="e">
        <f t="shared" si="101"/>
        <v>#DIV/0!</v>
      </c>
    </row>
    <row r="56" spans="1:56">
      <c r="A56" s="17">
        <v>10</v>
      </c>
      <c r="B56" s="18" t="s">
        <v>37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P56" s="17">
        <v>10</v>
      </c>
      <c r="Q56" s="18" t="s">
        <v>37</v>
      </c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E56" s="17">
        <v>10</v>
      </c>
      <c r="AF56" s="18" t="s">
        <v>37</v>
      </c>
      <c r="AG56" s="19">
        <f t="shared" si="78"/>
        <v>0</v>
      </c>
      <c r="AH56" s="19" t="e">
        <f t="shared" si="79"/>
        <v>#DIV/0!</v>
      </c>
      <c r="AI56" s="19">
        <f t="shared" si="80"/>
        <v>0</v>
      </c>
      <c r="AJ56" s="19" t="e">
        <f t="shared" si="81"/>
        <v>#DIV/0!</v>
      </c>
      <c r="AK56" s="19">
        <f t="shared" si="82"/>
        <v>0</v>
      </c>
      <c r="AL56" s="19" t="e">
        <f t="shared" si="83"/>
        <v>#DIV/0!</v>
      </c>
      <c r="AM56" s="19">
        <f t="shared" si="84"/>
        <v>0</v>
      </c>
      <c r="AN56" s="19" t="e">
        <f t="shared" si="85"/>
        <v>#DIV/0!</v>
      </c>
      <c r="AO56" s="19">
        <f t="shared" si="86"/>
        <v>0</v>
      </c>
      <c r="AP56" s="19" t="e">
        <f t="shared" si="87"/>
        <v>#DIV/0!</v>
      </c>
      <c r="AQ56" s="19">
        <f t="shared" si="88"/>
        <v>0</v>
      </c>
      <c r="AR56" s="19" t="e">
        <f t="shared" si="89"/>
        <v>#DIV/0!</v>
      </c>
      <c r="AS56" s="19">
        <f t="shared" si="90"/>
        <v>0</v>
      </c>
      <c r="AT56" s="19" t="e">
        <f t="shared" si="91"/>
        <v>#DIV/0!</v>
      </c>
      <c r="AU56" s="19">
        <f t="shared" si="92"/>
        <v>0</v>
      </c>
      <c r="AV56" s="19" t="e">
        <f t="shared" si="93"/>
        <v>#DIV/0!</v>
      </c>
      <c r="AW56" s="19">
        <f t="shared" si="94"/>
        <v>0</v>
      </c>
      <c r="AX56" s="19" t="e">
        <f t="shared" si="95"/>
        <v>#DIV/0!</v>
      </c>
      <c r="AY56" s="19">
        <f t="shared" si="96"/>
        <v>0</v>
      </c>
      <c r="AZ56" s="19" t="e">
        <f t="shared" si="97"/>
        <v>#DIV/0!</v>
      </c>
      <c r="BA56" s="19">
        <f t="shared" si="98"/>
        <v>0</v>
      </c>
      <c r="BB56" s="19" t="e">
        <f t="shared" si="99"/>
        <v>#DIV/0!</v>
      </c>
      <c r="BC56" s="19">
        <f t="shared" si="100"/>
        <v>0</v>
      </c>
      <c r="BD56" s="19" t="e">
        <f t="shared" si="101"/>
        <v>#DIV/0!</v>
      </c>
    </row>
    <row r="57" spans="1:56">
      <c r="A57" s="17">
        <v>11</v>
      </c>
      <c r="B57" s="18" t="s">
        <v>39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P57" s="17">
        <v>11</v>
      </c>
      <c r="Q57" s="18" t="s">
        <v>39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E57" s="17">
        <v>11</v>
      </c>
      <c r="AF57" s="18" t="s">
        <v>39</v>
      </c>
      <c r="AG57" s="19">
        <f t="shared" si="78"/>
        <v>0</v>
      </c>
      <c r="AH57" s="19" t="e">
        <f t="shared" si="79"/>
        <v>#DIV/0!</v>
      </c>
      <c r="AI57" s="19">
        <f t="shared" si="80"/>
        <v>0</v>
      </c>
      <c r="AJ57" s="19" t="e">
        <f t="shared" si="81"/>
        <v>#DIV/0!</v>
      </c>
      <c r="AK57" s="19">
        <f t="shared" si="82"/>
        <v>0</v>
      </c>
      <c r="AL57" s="19" t="e">
        <f t="shared" si="83"/>
        <v>#DIV/0!</v>
      </c>
      <c r="AM57" s="19">
        <f t="shared" si="84"/>
        <v>0</v>
      </c>
      <c r="AN57" s="19" t="e">
        <f t="shared" si="85"/>
        <v>#DIV/0!</v>
      </c>
      <c r="AO57" s="19">
        <f t="shared" si="86"/>
        <v>0</v>
      </c>
      <c r="AP57" s="19" t="e">
        <f t="shared" si="87"/>
        <v>#DIV/0!</v>
      </c>
      <c r="AQ57" s="19">
        <f t="shared" si="88"/>
        <v>0</v>
      </c>
      <c r="AR57" s="19" t="e">
        <f t="shared" si="89"/>
        <v>#DIV/0!</v>
      </c>
      <c r="AS57" s="19">
        <f t="shared" si="90"/>
        <v>0</v>
      </c>
      <c r="AT57" s="19" t="e">
        <f t="shared" si="91"/>
        <v>#DIV/0!</v>
      </c>
      <c r="AU57" s="19">
        <f t="shared" si="92"/>
        <v>0</v>
      </c>
      <c r="AV57" s="19" t="e">
        <f t="shared" si="93"/>
        <v>#DIV/0!</v>
      </c>
      <c r="AW57" s="19">
        <f t="shared" si="94"/>
        <v>0</v>
      </c>
      <c r="AX57" s="19" t="e">
        <f t="shared" si="95"/>
        <v>#DIV/0!</v>
      </c>
      <c r="AY57" s="19">
        <f t="shared" si="96"/>
        <v>0</v>
      </c>
      <c r="AZ57" s="19" t="e">
        <f t="shared" si="97"/>
        <v>#DIV/0!</v>
      </c>
      <c r="BA57" s="19">
        <f t="shared" si="98"/>
        <v>0</v>
      </c>
      <c r="BB57" s="19" t="e">
        <f t="shared" si="99"/>
        <v>#DIV/0!</v>
      </c>
      <c r="BC57" s="19">
        <f t="shared" si="100"/>
        <v>0</v>
      </c>
      <c r="BD57" s="19" t="e">
        <f t="shared" si="101"/>
        <v>#DIV/0!</v>
      </c>
    </row>
    <row r="58" spans="1:56">
      <c r="A58" s="17">
        <v>12</v>
      </c>
      <c r="B58" s="18" t="s">
        <v>41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P58" s="17">
        <v>12</v>
      </c>
      <c r="Q58" s="18" t="s">
        <v>41</v>
      </c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E58" s="17">
        <v>12</v>
      </c>
      <c r="AF58" s="18" t="s">
        <v>41</v>
      </c>
      <c r="AG58" s="19">
        <f t="shared" si="78"/>
        <v>0</v>
      </c>
      <c r="AH58" s="19" t="e">
        <f t="shared" si="79"/>
        <v>#DIV/0!</v>
      </c>
      <c r="AI58" s="19">
        <f t="shared" si="80"/>
        <v>0</v>
      </c>
      <c r="AJ58" s="19" t="e">
        <f t="shared" si="81"/>
        <v>#DIV/0!</v>
      </c>
      <c r="AK58" s="19">
        <f t="shared" si="82"/>
        <v>0</v>
      </c>
      <c r="AL58" s="19" t="e">
        <f t="shared" si="83"/>
        <v>#DIV/0!</v>
      </c>
      <c r="AM58" s="19">
        <f t="shared" si="84"/>
        <v>0</v>
      </c>
      <c r="AN58" s="19" t="e">
        <f t="shared" si="85"/>
        <v>#DIV/0!</v>
      </c>
      <c r="AO58" s="19">
        <f t="shared" si="86"/>
        <v>0</v>
      </c>
      <c r="AP58" s="19" t="e">
        <f t="shared" si="87"/>
        <v>#DIV/0!</v>
      </c>
      <c r="AQ58" s="19">
        <f t="shared" si="88"/>
        <v>0</v>
      </c>
      <c r="AR58" s="19" t="e">
        <f t="shared" si="89"/>
        <v>#DIV/0!</v>
      </c>
      <c r="AS58" s="19">
        <f t="shared" si="90"/>
        <v>0</v>
      </c>
      <c r="AT58" s="19" t="e">
        <f t="shared" si="91"/>
        <v>#DIV/0!</v>
      </c>
      <c r="AU58" s="19">
        <f t="shared" si="92"/>
        <v>0</v>
      </c>
      <c r="AV58" s="19" t="e">
        <f t="shared" si="93"/>
        <v>#DIV/0!</v>
      </c>
      <c r="AW58" s="19">
        <f t="shared" si="94"/>
        <v>0</v>
      </c>
      <c r="AX58" s="19" t="e">
        <f t="shared" si="95"/>
        <v>#DIV/0!</v>
      </c>
      <c r="AY58" s="19">
        <f t="shared" si="96"/>
        <v>0</v>
      </c>
      <c r="AZ58" s="19" t="e">
        <f t="shared" si="97"/>
        <v>#DIV/0!</v>
      </c>
      <c r="BA58" s="19">
        <f t="shared" si="98"/>
        <v>0</v>
      </c>
      <c r="BB58" s="19" t="e">
        <f t="shared" si="99"/>
        <v>#DIV/0!</v>
      </c>
      <c r="BC58" s="19">
        <f t="shared" si="100"/>
        <v>0</v>
      </c>
      <c r="BD58" s="19" t="e">
        <f t="shared" si="101"/>
        <v>#DIV/0!</v>
      </c>
    </row>
    <row r="59" spans="1:56">
      <c r="A59" s="17">
        <v>13</v>
      </c>
      <c r="B59" s="18" t="s">
        <v>43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P59" s="17">
        <v>13</v>
      </c>
      <c r="Q59" s="18" t="s">
        <v>43</v>
      </c>
      <c r="R59" s="19">
        <v>180594</v>
      </c>
      <c r="S59" s="19">
        <v>180594</v>
      </c>
      <c r="T59" s="19">
        <v>180594</v>
      </c>
      <c r="U59" s="19"/>
      <c r="V59" s="19"/>
      <c r="W59" s="19"/>
      <c r="X59" s="19"/>
      <c r="Y59" s="19"/>
      <c r="Z59" s="19"/>
      <c r="AA59" s="19"/>
      <c r="AB59" s="19"/>
      <c r="AC59" s="19"/>
      <c r="AE59" s="17">
        <v>13</v>
      </c>
      <c r="AF59" s="18" t="s">
        <v>43</v>
      </c>
      <c r="AG59" s="19">
        <f t="shared" si="78"/>
        <v>-180594</v>
      </c>
      <c r="AH59" s="19" t="e">
        <f t="shared" si="79"/>
        <v>#DIV/0!</v>
      </c>
      <c r="AI59" s="19">
        <f t="shared" si="80"/>
        <v>-180594</v>
      </c>
      <c r="AJ59" s="19" t="e">
        <f t="shared" si="81"/>
        <v>#DIV/0!</v>
      </c>
      <c r="AK59" s="19">
        <f t="shared" si="82"/>
        <v>-180594</v>
      </c>
      <c r="AL59" s="19" t="e">
        <f t="shared" si="83"/>
        <v>#DIV/0!</v>
      </c>
      <c r="AM59" s="19">
        <f t="shared" si="84"/>
        <v>0</v>
      </c>
      <c r="AN59" s="19" t="e">
        <f t="shared" si="85"/>
        <v>#DIV/0!</v>
      </c>
      <c r="AO59" s="19">
        <f t="shared" si="86"/>
        <v>0</v>
      </c>
      <c r="AP59" s="19" t="e">
        <f t="shared" si="87"/>
        <v>#DIV/0!</v>
      </c>
      <c r="AQ59" s="19">
        <f t="shared" si="88"/>
        <v>0</v>
      </c>
      <c r="AR59" s="19" t="e">
        <f t="shared" si="89"/>
        <v>#DIV/0!</v>
      </c>
      <c r="AS59" s="19">
        <f t="shared" si="90"/>
        <v>0</v>
      </c>
      <c r="AT59" s="19" t="e">
        <f t="shared" si="91"/>
        <v>#DIV/0!</v>
      </c>
      <c r="AU59" s="19">
        <f t="shared" si="92"/>
        <v>0</v>
      </c>
      <c r="AV59" s="19" t="e">
        <f t="shared" si="93"/>
        <v>#DIV/0!</v>
      </c>
      <c r="AW59" s="19">
        <f t="shared" si="94"/>
        <v>0</v>
      </c>
      <c r="AX59" s="19" t="e">
        <f t="shared" si="95"/>
        <v>#DIV/0!</v>
      </c>
      <c r="AY59" s="19">
        <f t="shared" si="96"/>
        <v>0</v>
      </c>
      <c r="AZ59" s="19" t="e">
        <f t="shared" si="97"/>
        <v>#DIV/0!</v>
      </c>
      <c r="BA59" s="19">
        <f t="shared" si="98"/>
        <v>0</v>
      </c>
      <c r="BB59" s="19" t="e">
        <f t="shared" si="99"/>
        <v>#DIV/0!</v>
      </c>
      <c r="BC59" s="19">
        <f t="shared" si="100"/>
        <v>0</v>
      </c>
      <c r="BD59" s="19" t="e">
        <f t="shared" si="101"/>
        <v>#DIV/0!</v>
      </c>
    </row>
    <row r="60" spans="1:56">
      <c r="A60" s="17">
        <v>14</v>
      </c>
      <c r="B60" s="18" t="s">
        <v>44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P60" s="17">
        <v>14</v>
      </c>
      <c r="Q60" s="18" t="s">
        <v>44</v>
      </c>
      <c r="R60" s="19">
        <v>90734.24</v>
      </c>
      <c r="S60" s="19">
        <v>91142.57</v>
      </c>
      <c r="T60" s="19">
        <v>113999</v>
      </c>
      <c r="U60" s="19"/>
      <c r="V60" s="19"/>
      <c r="W60" s="19"/>
      <c r="X60" s="19"/>
      <c r="Y60" s="19"/>
      <c r="Z60" s="19"/>
      <c r="AA60" s="19"/>
      <c r="AB60" s="19"/>
      <c r="AC60" s="19"/>
      <c r="AE60" s="17">
        <v>14</v>
      </c>
      <c r="AF60" s="18" t="s">
        <v>44</v>
      </c>
      <c r="AG60" s="19">
        <f t="shared" si="78"/>
        <v>-90734.24</v>
      </c>
      <c r="AH60" s="19" t="e">
        <f t="shared" si="79"/>
        <v>#DIV/0!</v>
      </c>
      <c r="AI60" s="19">
        <f t="shared" si="80"/>
        <v>-91142.57</v>
      </c>
      <c r="AJ60" s="19" t="e">
        <f t="shared" si="81"/>
        <v>#DIV/0!</v>
      </c>
      <c r="AK60" s="19">
        <f t="shared" si="82"/>
        <v>-113999</v>
      </c>
      <c r="AL60" s="19" t="e">
        <f t="shared" si="83"/>
        <v>#DIV/0!</v>
      </c>
      <c r="AM60" s="19">
        <f t="shared" si="84"/>
        <v>0</v>
      </c>
      <c r="AN60" s="19" t="e">
        <f t="shared" si="85"/>
        <v>#DIV/0!</v>
      </c>
      <c r="AO60" s="19">
        <f t="shared" si="86"/>
        <v>0</v>
      </c>
      <c r="AP60" s="19" t="e">
        <f t="shared" si="87"/>
        <v>#DIV/0!</v>
      </c>
      <c r="AQ60" s="19">
        <f t="shared" si="88"/>
        <v>0</v>
      </c>
      <c r="AR60" s="19" t="e">
        <f t="shared" si="89"/>
        <v>#DIV/0!</v>
      </c>
      <c r="AS60" s="19">
        <f t="shared" si="90"/>
        <v>0</v>
      </c>
      <c r="AT60" s="19" t="e">
        <f t="shared" si="91"/>
        <v>#DIV/0!</v>
      </c>
      <c r="AU60" s="19">
        <f t="shared" si="92"/>
        <v>0</v>
      </c>
      <c r="AV60" s="19" t="e">
        <f t="shared" si="93"/>
        <v>#DIV/0!</v>
      </c>
      <c r="AW60" s="19">
        <f t="shared" si="94"/>
        <v>0</v>
      </c>
      <c r="AX60" s="19" t="e">
        <f t="shared" si="95"/>
        <v>#DIV/0!</v>
      </c>
      <c r="AY60" s="19">
        <f t="shared" si="96"/>
        <v>0</v>
      </c>
      <c r="AZ60" s="19" t="e">
        <f t="shared" si="97"/>
        <v>#DIV/0!</v>
      </c>
      <c r="BA60" s="19">
        <f t="shared" si="98"/>
        <v>0</v>
      </c>
      <c r="BB60" s="19" t="e">
        <f t="shared" si="99"/>
        <v>#DIV/0!</v>
      </c>
      <c r="BC60" s="19">
        <f t="shared" si="100"/>
        <v>0</v>
      </c>
      <c r="BD60" s="19" t="e">
        <f t="shared" si="101"/>
        <v>#DIV/0!</v>
      </c>
    </row>
    <row r="61" spans="1:56" ht="25.2" thickBot="1">
      <c r="A61" s="17"/>
      <c r="B61" s="20" t="s">
        <v>17</v>
      </c>
      <c r="C61" s="27">
        <f>SUM(C47:C60)</f>
        <v>27746180.690000001</v>
      </c>
      <c r="D61" s="27">
        <f t="shared" ref="D61:N61" si="102">SUM(D47:D60)</f>
        <v>28306033.109999999</v>
      </c>
      <c r="E61" s="27">
        <f t="shared" si="102"/>
        <v>28884547.27</v>
      </c>
      <c r="F61" s="27">
        <f t="shared" si="102"/>
        <v>0</v>
      </c>
      <c r="G61" s="27">
        <f t="shared" si="102"/>
        <v>0</v>
      </c>
      <c r="H61" s="27">
        <f t="shared" si="102"/>
        <v>0</v>
      </c>
      <c r="I61" s="27">
        <f t="shared" si="102"/>
        <v>0</v>
      </c>
      <c r="J61" s="27">
        <f t="shared" si="102"/>
        <v>0</v>
      </c>
      <c r="K61" s="27">
        <f t="shared" si="102"/>
        <v>0</v>
      </c>
      <c r="L61" s="27">
        <f t="shared" si="102"/>
        <v>0</v>
      </c>
      <c r="M61" s="27">
        <f t="shared" si="102"/>
        <v>0</v>
      </c>
      <c r="N61" s="27">
        <f t="shared" si="102"/>
        <v>0</v>
      </c>
      <c r="P61" s="17"/>
      <c r="Q61" s="20" t="s">
        <v>17</v>
      </c>
      <c r="R61" s="27">
        <f>SUM(R47:R60)</f>
        <v>49772843.740000002</v>
      </c>
      <c r="S61" s="27">
        <f t="shared" ref="S61:AC61" si="103">SUM(S47:S60)</f>
        <v>50357853.800000004</v>
      </c>
      <c r="T61" s="27">
        <f t="shared" si="103"/>
        <v>50947595.539999999</v>
      </c>
      <c r="U61" s="27">
        <f t="shared" si="103"/>
        <v>0</v>
      </c>
      <c r="V61" s="27">
        <f t="shared" si="103"/>
        <v>0</v>
      </c>
      <c r="W61" s="27">
        <f t="shared" si="103"/>
        <v>0</v>
      </c>
      <c r="X61" s="27">
        <f t="shared" si="103"/>
        <v>0</v>
      </c>
      <c r="Y61" s="27">
        <f t="shared" si="103"/>
        <v>0</v>
      </c>
      <c r="Z61" s="27">
        <f t="shared" si="103"/>
        <v>0</v>
      </c>
      <c r="AA61" s="27">
        <f t="shared" si="103"/>
        <v>0</v>
      </c>
      <c r="AB61" s="27">
        <f t="shared" si="103"/>
        <v>0</v>
      </c>
      <c r="AC61" s="27">
        <f t="shared" si="103"/>
        <v>0</v>
      </c>
      <c r="AE61" s="17"/>
      <c r="AF61" s="20" t="s">
        <v>17</v>
      </c>
      <c r="AG61" s="23">
        <f t="shared" si="78"/>
        <v>-22026663.050000001</v>
      </c>
      <c r="AH61" s="23">
        <f t="shared" si="79"/>
        <v>-79.386288498937901</v>
      </c>
      <c r="AI61" s="23">
        <f t="shared" si="80"/>
        <v>-22051820.690000005</v>
      </c>
      <c r="AJ61" s="23">
        <f t="shared" si="81"/>
        <v>-77.905019768416452</v>
      </c>
      <c r="AK61" s="23">
        <f t="shared" si="82"/>
        <v>-22063048.27</v>
      </c>
      <c r="AL61" s="23">
        <f t="shared" si="83"/>
        <v>-76.38356960822118</v>
      </c>
      <c r="AM61" s="23">
        <f t="shared" si="84"/>
        <v>0</v>
      </c>
      <c r="AN61" s="23" t="e">
        <f t="shared" si="85"/>
        <v>#DIV/0!</v>
      </c>
      <c r="AO61" s="23">
        <f t="shared" si="86"/>
        <v>0</v>
      </c>
      <c r="AP61" s="23" t="e">
        <f t="shared" si="87"/>
        <v>#DIV/0!</v>
      </c>
      <c r="AQ61" s="23">
        <f t="shared" si="88"/>
        <v>0</v>
      </c>
      <c r="AR61" s="23" t="e">
        <f t="shared" si="89"/>
        <v>#DIV/0!</v>
      </c>
      <c r="AS61" s="23">
        <f t="shared" si="90"/>
        <v>0</v>
      </c>
      <c r="AT61" s="23" t="e">
        <f t="shared" si="91"/>
        <v>#DIV/0!</v>
      </c>
      <c r="AU61" s="23">
        <f t="shared" si="92"/>
        <v>0</v>
      </c>
      <c r="AV61" s="23" t="e">
        <f t="shared" si="93"/>
        <v>#DIV/0!</v>
      </c>
      <c r="AW61" s="23">
        <f t="shared" si="94"/>
        <v>0</v>
      </c>
      <c r="AX61" s="23" t="e">
        <f t="shared" si="95"/>
        <v>#DIV/0!</v>
      </c>
      <c r="AY61" s="23">
        <f t="shared" si="96"/>
        <v>0</v>
      </c>
      <c r="AZ61" s="23" t="e">
        <f t="shared" si="97"/>
        <v>#DIV/0!</v>
      </c>
      <c r="BA61" s="23">
        <f t="shared" si="98"/>
        <v>0</v>
      </c>
      <c r="BB61" s="23" t="e">
        <f t="shared" si="99"/>
        <v>#DIV/0!</v>
      </c>
      <c r="BC61" s="23">
        <f t="shared" si="100"/>
        <v>0</v>
      </c>
      <c r="BD61" s="23" t="e">
        <f t="shared" si="101"/>
        <v>#DIV/0!</v>
      </c>
    </row>
    <row r="62" spans="1:56" ht="25.2" thickTop="1"/>
    <row r="63" spans="1:56">
      <c r="A63" s="32" t="s">
        <v>1942</v>
      </c>
      <c r="B63" s="32"/>
      <c r="C63" s="32"/>
      <c r="D63" s="32"/>
      <c r="E63" s="32"/>
      <c r="F63" s="32"/>
      <c r="G63" s="32"/>
      <c r="H63" s="32"/>
      <c r="I63" s="32"/>
    </row>
    <row r="64" spans="1:56" customFormat="1" ht="21">
      <c r="A64" s="28" t="s">
        <v>659</v>
      </c>
      <c r="B64" s="28" t="s">
        <v>660</v>
      </c>
      <c r="C64" s="28" t="s">
        <v>661</v>
      </c>
      <c r="D64" s="28" t="s">
        <v>662</v>
      </c>
      <c r="E64" s="28" t="s">
        <v>663</v>
      </c>
      <c r="F64" s="28" t="s">
        <v>664</v>
      </c>
      <c r="G64" s="28" t="s">
        <v>665</v>
      </c>
    </row>
    <row r="65" spans="1:9" customFormat="1" ht="21">
      <c r="A65" s="28" t="s">
        <v>111</v>
      </c>
      <c r="B65" s="28" t="s">
        <v>91</v>
      </c>
      <c r="C65" s="28" t="s">
        <v>92</v>
      </c>
      <c r="D65" s="28" t="s">
        <v>112</v>
      </c>
      <c r="E65" s="29">
        <v>165000</v>
      </c>
      <c r="F65" s="29">
        <v>-164999</v>
      </c>
      <c r="G65" s="29">
        <v>1</v>
      </c>
      <c r="H65" t="s">
        <v>731</v>
      </c>
      <c r="I65" t="s">
        <v>11</v>
      </c>
    </row>
    <row r="66" spans="1:9" customFormat="1" ht="21">
      <c r="A66" s="28" t="s">
        <v>113</v>
      </c>
      <c r="B66" s="28" t="s">
        <v>91</v>
      </c>
      <c r="C66" s="28" t="s">
        <v>92</v>
      </c>
      <c r="D66" s="28" t="s">
        <v>112</v>
      </c>
      <c r="E66" s="29">
        <v>165000</v>
      </c>
      <c r="F66" s="29">
        <v>-164999</v>
      </c>
      <c r="G66" s="29">
        <v>1</v>
      </c>
      <c r="H66" t="s">
        <v>731</v>
      </c>
      <c r="I66" t="s">
        <v>11</v>
      </c>
    </row>
    <row r="67" spans="1:9" customFormat="1" ht="21">
      <c r="A67" s="28" t="s">
        <v>114</v>
      </c>
      <c r="B67" s="28" t="s">
        <v>91</v>
      </c>
      <c r="C67" s="28" t="s">
        <v>92</v>
      </c>
      <c r="D67" s="28" t="s">
        <v>115</v>
      </c>
      <c r="E67" s="29">
        <v>150000</v>
      </c>
      <c r="F67" s="29">
        <v>-149999</v>
      </c>
      <c r="G67" s="29">
        <v>1</v>
      </c>
      <c r="H67" t="s">
        <v>731</v>
      </c>
      <c r="I67" t="s">
        <v>11</v>
      </c>
    </row>
    <row r="68" spans="1:9" customFormat="1" ht="21">
      <c r="A68" s="28" t="s">
        <v>116</v>
      </c>
      <c r="B68" s="28" t="s">
        <v>91</v>
      </c>
      <c r="C68" s="28" t="s">
        <v>92</v>
      </c>
      <c r="D68" s="28" t="s">
        <v>115</v>
      </c>
      <c r="E68" s="29">
        <v>150000</v>
      </c>
      <c r="F68" s="29">
        <v>-149999</v>
      </c>
      <c r="G68" s="29">
        <v>1</v>
      </c>
      <c r="H68" t="s">
        <v>731</v>
      </c>
      <c r="I68" t="s">
        <v>11</v>
      </c>
    </row>
    <row r="69" spans="1:9" customFormat="1" ht="21">
      <c r="A69" s="28" t="s">
        <v>117</v>
      </c>
      <c r="B69" s="28" t="s">
        <v>91</v>
      </c>
      <c r="C69" s="28" t="s">
        <v>92</v>
      </c>
      <c r="D69" s="28" t="s">
        <v>115</v>
      </c>
      <c r="E69" s="29">
        <v>150000</v>
      </c>
      <c r="F69" s="29">
        <v>-149999</v>
      </c>
      <c r="G69" s="29">
        <v>1</v>
      </c>
      <c r="H69" t="s">
        <v>731</v>
      </c>
      <c r="I69" t="s">
        <v>11</v>
      </c>
    </row>
    <row r="70" spans="1:9" customFormat="1" ht="21">
      <c r="A70" s="28" t="s">
        <v>118</v>
      </c>
      <c r="B70" s="28" t="s">
        <v>91</v>
      </c>
      <c r="C70" s="28" t="s">
        <v>92</v>
      </c>
      <c r="D70" s="28" t="s">
        <v>119</v>
      </c>
      <c r="E70" s="29">
        <v>88200</v>
      </c>
      <c r="F70" s="29">
        <v>-88199</v>
      </c>
      <c r="G70" s="29">
        <v>1</v>
      </c>
      <c r="H70" t="s">
        <v>731</v>
      </c>
      <c r="I70" t="s">
        <v>11</v>
      </c>
    </row>
    <row r="71" spans="1:9" customFormat="1" ht="21">
      <c r="A71" s="28" t="s">
        <v>120</v>
      </c>
      <c r="B71" s="28" t="s">
        <v>91</v>
      </c>
      <c r="C71" s="28" t="s">
        <v>92</v>
      </c>
      <c r="D71" s="28" t="s">
        <v>119</v>
      </c>
      <c r="E71" s="29">
        <v>88200</v>
      </c>
      <c r="F71" s="29">
        <v>-88199</v>
      </c>
      <c r="G71" s="29">
        <v>1</v>
      </c>
      <c r="H71" t="s">
        <v>731</v>
      </c>
      <c r="I71" t="s">
        <v>11</v>
      </c>
    </row>
    <row r="72" spans="1:9" customFormat="1" ht="21">
      <c r="A72" s="28" t="s">
        <v>121</v>
      </c>
      <c r="B72" s="28" t="s">
        <v>91</v>
      </c>
      <c r="C72" s="28" t="s">
        <v>92</v>
      </c>
      <c r="D72" s="28" t="s">
        <v>119</v>
      </c>
      <c r="E72" s="29">
        <v>88200</v>
      </c>
      <c r="F72" s="29">
        <v>-88199</v>
      </c>
      <c r="G72" s="29">
        <v>1</v>
      </c>
      <c r="H72" t="s">
        <v>731</v>
      </c>
      <c r="I72" t="s">
        <v>11</v>
      </c>
    </row>
    <row r="73" spans="1:9" customFormat="1" ht="21">
      <c r="A73" s="28" t="s">
        <v>122</v>
      </c>
      <c r="B73" s="28" t="s">
        <v>91</v>
      </c>
      <c r="C73" s="28" t="s">
        <v>92</v>
      </c>
      <c r="D73" s="28" t="s">
        <v>119</v>
      </c>
      <c r="E73" s="29">
        <v>88200</v>
      </c>
      <c r="F73" s="29">
        <v>-88199</v>
      </c>
      <c r="G73" s="29">
        <v>1</v>
      </c>
      <c r="H73" t="s">
        <v>731</v>
      </c>
      <c r="I73" t="s">
        <v>11</v>
      </c>
    </row>
    <row r="74" spans="1:9" customFormat="1" ht="21">
      <c r="A74" s="28" t="s">
        <v>123</v>
      </c>
      <c r="B74" s="28" t="s">
        <v>91</v>
      </c>
      <c r="C74" s="28" t="s">
        <v>92</v>
      </c>
      <c r="D74" s="28" t="s">
        <v>119</v>
      </c>
      <c r="E74" s="29">
        <v>88200</v>
      </c>
      <c r="F74" s="29">
        <v>-88199</v>
      </c>
      <c r="G74" s="29">
        <v>1</v>
      </c>
      <c r="H74" t="s">
        <v>731</v>
      </c>
      <c r="I74" t="s">
        <v>11</v>
      </c>
    </row>
    <row r="75" spans="1:9" customFormat="1" ht="21">
      <c r="A75" s="28" t="s">
        <v>124</v>
      </c>
      <c r="B75" s="28" t="s">
        <v>91</v>
      </c>
      <c r="C75" s="28" t="s">
        <v>92</v>
      </c>
      <c r="D75" s="28" t="s">
        <v>119</v>
      </c>
      <c r="E75" s="29">
        <v>88200</v>
      </c>
      <c r="F75" s="29">
        <v>-88199</v>
      </c>
      <c r="G75" s="29">
        <v>1</v>
      </c>
      <c r="H75" t="s">
        <v>731</v>
      </c>
      <c r="I75" t="s">
        <v>11</v>
      </c>
    </row>
    <row r="76" spans="1:9" customFormat="1" ht="21">
      <c r="A76" s="28" t="s">
        <v>125</v>
      </c>
      <c r="B76" s="28" t="s">
        <v>91</v>
      </c>
      <c r="C76" s="28" t="s">
        <v>92</v>
      </c>
      <c r="D76" s="28" t="s">
        <v>119</v>
      </c>
      <c r="E76" s="29">
        <v>88200</v>
      </c>
      <c r="F76" s="29">
        <v>-88199</v>
      </c>
      <c r="G76" s="29">
        <v>1</v>
      </c>
      <c r="H76" t="s">
        <v>731</v>
      </c>
      <c r="I76" t="s">
        <v>11</v>
      </c>
    </row>
    <row r="77" spans="1:9" customFormat="1" ht="21">
      <c r="A77" s="28" t="s">
        <v>126</v>
      </c>
      <c r="B77" s="28" t="s">
        <v>91</v>
      </c>
      <c r="C77" s="28" t="s">
        <v>92</v>
      </c>
      <c r="D77" s="28" t="s">
        <v>119</v>
      </c>
      <c r="E77" s="29">
        <v>88200</v>
      </c>
      <c r="F77" s="29">
        <v>-88199</v>
      </c>
      <c r="G77" s="29">
        <v>1</v>
      </c>
      <c r="H77" t="s">
        <v>731</v>
      </c>
      <c r="I77" t="s">
        <v>11</v>
      </c>
    </row>
    <row r="78" spans="1:9" customFormat="1" ht="21">
      <c r="A78" s="28" t="s">
        <v>127</v>
      </c>
      <c r="B78" s="28" t="s">
        <v>91</v>
      </c>
      <c r="C78" s="28" t="s">
        <v>92</v>
      </c>
      <c r="D78" s="28" t="s">
        <v>119</v>
      </c>
      <c r="E78" s="29">
        <v>88200</v>
      </c>
      <c r="F78" s="29">
        <v>-88199</v>
      </c>
      <c r="G78" s="29">
        <v>1</v>
      </c>
      <c r="H78" t="s">
        <v>731</v>
      </c>
      <c r="I78" t="s">
        <v>11</v>
      </c>
    </row>
    <row r="79" spans="1:9" customFormat="1" ht="21">
      <c r="A79" s="28" t="s">
        <v>128</v>
      </c>
      <c r="B79" s="28" t="s">
        <v>91</v>
      </c>
      <c r="C79" s="28" t="s">
        <v>92</v>
      </c>
      <c r="D79" s="28" t="s">
        <v>119</v>
      </c>
      <c r="E79" s="29">
        <v>88200</v>
      </c>
      <c r="F79" s="29">
        <v>-88199</v>
      </c>
      <c r="G79" s="29">
        <v>1</v>
      </c>
      <c r="H79" t="s">
        <v>731</v>
      </c>
      <c r="I79" t="s">
        <v>11</v>
      </c>
    </row>
    <row r="80" spans="1:9" customFormat="1" ht="21">
      <c r="A80" s="28" t="s">
        <v>129</v>
      </c>
      <c r="B80" s="28" t="s">
        <v>91</v>
      </c>
      <c r="C80" s="28" t="s">
        <v>92</v>
      </c>
      <c r="D80" s="28" t="s">
        <v>130</v>
      </c>
      <c r="E80" s="29">
        <v>414000</v>
      </c>
      <c r="F80" s="29">
        <v>-413999</v>
      </c>
      <c r="G80" s="29">
        <v>1</v>
      </c>
      <c r="H80" t="s">
        <v>731</v>
      </c>
      <c r="I80" t="s">
        <v>11</v>
      </c>
    </row>
    <row r="81" spans="1:9" customFormat="1" ht="21">
      <c r="A81" s="28" t="s">
        <v>131</v>
      </c>
      <c r="B81" s="28" t="s">
        <v>91</v>
      </c>
      <c r="C81" s="28" t="s">
        <v>92</v>
      </c>
      <c r="D81" s="28" t="s">
        <v>115</v>
      </c>
      <c r="E81" s="29">
        <v>222000</v>
      </c>
      <c r="F81" s="29">
        <v>-221999</v>
      </c>
      <c r="G81" s="29">
        <v>1</v>
      </c>
      <c r="H81" t="s">
        <v>731</v>
      </c>
      <c r="I81" t="s">
        <v>11</v>
      </c>
    </row>
    <row r="82" spans="1:9" customFormat="1" ht="21">
      <c r="A82" s="28" t="s">
        <v>132</v>
      </c>
      <c r="B82" s="28" t="s">
        <v>91</v>
      </c>
      <c r="C82" s="28" t="s">
        <v>92</v>
      </c>
      <c r="D82" s="28" t="s">
        <v>119</v>
      </c>
      <c r="E82" s="29">
        <v>688000</v>
      </c>
      <c r="F82" s="29">
        <v>-687999</v>
      </c>
      <c r="G82" s="29">
        <v>1</v>
      </c>
      <c r="H82" t="s">
        <v>731</v>
      </c>
      <c r="I82" t="s">
        <v>11</v>
      </c>
    </row>
    <row r="83" spans="1:9" customFormat="1" ht="21">
      <c r="A83" s="28" t="s">
        <v>133</v>
      </c>
      <c r="B83" s="28" t="s">
        <v>91</v>
      </c>
      <c r="C83" s="28" t="s">
        <v>92</v>
      </c>
      <c r="D83" s="28" t="s">
        <v>119</v>
      </c>
      <c r="E83" s="29">
        <v>300000</v>
      </c>
      <c r="F83" s="29">
        <v>-299999</v>
      </c>
      <c r="G83" s="29">
        <v>1</v>
      </c>
      <c r="H83" t="s">
        <v>731</v>
      </c>
      <c r="I83" t="s">
        <v>11</v>
      </c>
    </row>
    <row r="84" spans="1:9" customFormat="1" ht="21">
      <c r="A84" s="28" t="s">
        <v>134</v>
      </c>
      <c r="B84" s="28" t="s">
        <v>91</v>
      </c>
      <c r="C84" s="28" t="s">
        <v>92</v>
      </c>
      <c r="D84" s="28" t="s">
        <v>115</v>
      </c>
      <c r="E84" s="29">
        <v>909933</v>
      </c>
      <c r="F84" s="29">
        <v>-909932</v>
      </c>
      <c r="G84" s="29">
        <v>1</v>
      </c>
      <c r="H84" t="s">
        <v>731</v>
      </c>
      <c r="I84" t="s">
        <v>11</v>
      </c>
    </row>
    <row r="85" spans="1:9" customFormat="1" ht="21">
      <c r="A85" s="28" t="s">
        <v>135</v>
      </c>
      <c r="B85" s="28" t="s">
        <v>91</v>
      </c>
      <c r="C85" s="28" t="s">
        <v>92</v>
      </c>
      <c r="D85" s="28" t="s">
        <v>136</v>
      </c>
      <c r="E85" s="29">
        <v>514000</v>
      </c>
      <c r="F85" s="29">
        <v>-513999</v>
      </c>
      <c r="G85" s="29">
        <v>1</v>
      </c>
      <c r="H85" t="s">
        <v>731</v>
      </c>
      <c r="I85" t="s">
        <v>11</v>
      </c>
    </row>
    <row r="86" spans="1:9" customFormat="1" ht="21">
      <c r="A86" s="28" t="s">
        <v>137</v>
      </c>
      <c r="B86" s="28" t="s">
        <v>91</v>
      </c>
      <c r="C86" s="28" t="s">
        <v>92</v>
      </c>
      <c r="D86" s="28" t="s">
        <v>136</v>
      </c>
      <c r="E86" s="29">
        <v>514000</v>
      </c>
      <c r="F86" s="29">
        <v>-513999</v>
      </c>
      <c r="G86" s="29">
        <v>1</v>
      </c>
      <c r="H86" t="s">
        <v>731</v>
      </c>
      <c r="I86" t="s">
        <v>11</v>
      </c>
    </row>
    <row r="87" spans="1:9" customFormat="1" ht="21">
      <c r="A87" s="28" t="s">
        <v>138</v>
      </c>
      <c r="B87" s="28" t="s">
        <v>91</v>
      </c>
      <c r="C87" s="28" t="s">
        <v>92</v>
      </c>
      <c r="D87" s="28" t="s">
        <v>119</v>
      </c>
      <c r="E87" s="29">
        <v>531000</v>
      </c>
      <c r="F87" s="29">
        <v>-530999</v>
      </c>
      <c r="G87" s="29">
        <v>1</v>
      </c>
      <c r="H87" t="s">
        <v>731</v>
      </c>
      <c r="I87" t="s">
        <v>11</v>
      </c>
    </row>
    <row r="88" spans="1:9" customFormat="1" ht="21">
      <c r="A88" s="28" t="s">
        <v>139</v>
      </c>
      <c r="B88" s="28" t="s">
        <v>91</v>
      </c>
      <c r="C88" s="28" t="s">
        <v>92</v>
      </c>
      <c r="D88" s="28" t="s">
        <v>119</v>
      </c>
      <c r="E88" s="29">
        <v>531000</v>
      </c>
      <c r="F88" s="29">
        <v>-530999</v>
      </c>
      <c r="G88" s="29">
        <v>1</v>
      </c>
      <c r="H88" t="s">
        <v>731</v>
      </c>
      <c r="I88" t="s">
        <v>11</v>
      </c>
    </row>
    <row r="89" spans="1:9" customFormat="1" ht="21">
      <c r="A89" s="28" t="s">
        <v>140</v>
      </c>
      <c r="B89" s="28" t="s">
        <v>91</v>
      </c>
      <c r="C89" s="28" t="s">
        <v>92</v>
      </c>
      <c r="D89" s="28" t="s">
        <v>141</v>
      </c>
      <c r="E89" s="29">
        <v>4122700</v>
      </c>
      <c r="F89" s="29">
        <v>-4122699</v>
      </c>
      <c r="G89" s="29">
        <v>1</v>
      </c>
      <c r="H89" t="s">
        <v>731</v>
      </c>
      <c r="I89" t="s">
        <v>11</v>
      </c>
    </row>
    <row r="90" spans="1:9" customFormat="1" ht="21">
      <c r="A90" s="28" t="s">
        <v>142</v>
      </c>
      <c r="B90" s="28" t="s">
        <v>91</v>
      </c>
      <c r="C90" s="28" t="s">
        <v>92</v>
      </c>
      <c r="D90" s="28" t="s">
        <v>143</v>
      </c>
      <c r="E90" s="29">
        <v>3860049</v>
      </c>
      <c r="F90" s="29">
        <v>-3860048</v>
      </c>
      <c r="G90" s="29">
        <v>1</v>
      </c>
      <c r="H90" t="s">
        <v>731</v>
      </c>
      <c r="I90" t="s">
        <v>11</v>
      </c>
    </row>
    <row r="91" spans="1:9" customFormat="1" ht="21">
      <c r="A91" s="28" t="s">
        <v>144</v>
      </c>
      <c r="B91" s="28" t="s">
        <v>91</v>
      </c>
      <c r="C91" s="28" t="s">
        <v>92</v>
      </c>
      <c r="D91" s="28" t="s">
        <v>145</v>
      </c>
      <c r="E91" s="29">
        <v>6018009.3300000001</v>
      </c>
      <c r="F91" s="29">
        <v>-556826.49</v>
      </c>
      <c r="G91" s="29">
        <v>5461182.8399999999</v>
      </c>
      <c r="H91" t="s">
        <v>731</v>
      </c>
      <c r="I91" t="s">
        <v>11</v>
      </c>
    </row>
    <row r="92" spans="1:9" customFormat="1" ht="21">
      <c r="A92" s="28" t="s">
        <v>144</v>
      </c>
      <c r="B92" s="28" t="s">
        <v>108</v>
      </c>
      <c r="C92" s="28" t="s">
        <v>92</v>
      </c>
      <c r="D92" s="28" t="s">
        <v>145</v>
      </c>
      <c r="E92" s="29">
        <v>3288190.67</v>
      </c>
      <c r="F92" s="29">
        <v>-3288189.67</v>
      </c>
      <c r="G92" s="29">
        <v>1</v>
      </c>
      <c r="H92" t="s">
        <v>731</v>
      </c>
      <c r="I92" t="s">
        <v>11</v>
      </c>
    </row>
    <row r="93" spans="1:9" customFormat="1" ht="21">
      <c r="A93" s="28" t="s">
        <v>146</v>
      </c>
      <c r="B93" s="28" t="s">
        <v>91</v>
      </c>
      <c r="C93" s="28" t="s">
        <v>92</v>
      </c>
      <c r="D93" s="28" t="s">
        <v>147</v>
      </c>
      <c r="E93" s="29">
        <v>6069875.2400000002</v>
      </c>
      <c r="F93" s="29">
        <v>-555879.22</v>
      </c>
      <c r="G93" s="29">
        <v>5513996.0199999996</v>
      </c>
      <c r="H93" t="s">
        <v>731</v>
      </c>
      <c r="I93" t="s">
        <v>11</v>
      </c>
    </row>
    <row r="94" spans="1:9" customFormat="1" ht="21">
      <c r="A94" s="28" t="s">
        <v>146</v>
      </c>
      <c r="B94" s="28" t="s">
        <v>108</v>
      </c>
      <c r="C94" s="28" t="s">
        <v>92</v>
      </c>
      <c r="D94" s="28" t="s">
        <v>147</v>
      </c>
      <c r="E94" s="29">
        <v>3220750.12</v>
      </c>
      <c r="F94" s="29">
        <v>-3220749.12</v>
      </c>
      <c r="G94" s="29">
        <v>1</v>
      </c>
      <c r="H94" t="s">
        <v>731</v>
      </c>
      <c r="I94" t="s">
        <v>11</v>
      </c>
    </row>
    <row r="95" spans="1:9" customFormat="1" ht="21">
      <c r="A95" s="28" t="s">
        <v>464</v>
      </c>
      <c r="B95" s="28" t="s">
        <v>91</v>
      </c>
      <c r="C95" s="28" t="s">
        <v>92</v>
      </c>
      <c r="D95" s="28" t="s">
        <v>465</v>
      </c>
      <c r="E95" s="29">
        <v>20272000</v>
      </c>
      <c r="F95" s="29">
        <v>-20271999</v>
      </c>
      <c r="G95" s="29">
        <v>1</v>
      </c>
      <c r="H95" t="s">
        <v>731</v>
      </c>
      <c r="I95" t="s">
        <v>9</v>
      </c>
    </row>
    <row r="96" spans="1:9" customFormat="1" ht="21">
      <c r="A96" s="28" t="s">
        <v>466</v>
      </c>
      <c r="B96" s="28" t="s">
        <v>91</v>
      </c>
      <c r="C96" s="28" t="s">
        <v>92</v>
      </c>
      <c r="D96" s="28" t="s">
        <v>467</v>
      </c>
      <c r="E96" s="29">
        <v>3000000</v>
      </c>
      <c r="F96" s="29">
        <v>-2999999</v>
      </c>
      <c r="G96" s="29">
        <v>1</v>
      </c>
      <c r="H96" t="s">
        <v>731</v>
      </c>
      <c r="I96" t="s">
        <v>9</v>
      </c>
    </row>
    <row r="97" spans="1:9" customFormat="1" ht="21">
      <c r="A97" s="28" t="s">
        <v>468</v>
      </c>
      <c r="B97" s="28" t="s">
        <v>91</v>
      </c>
      <c r="C97" s="28" t="s">
        <v>92</v>
      </c>
      <c r="D97" s="28" t="s">
        <v>469</v>
      </c>
      <c r="E97" s="29">
        <v>679320</v>
      </c>
      <c r="F97" s="29">
        <v>-338729.42</v>
      </c>
      <c r="G97" s="29">
        <v>340590.58</v>
      </c>
      <c r="H97" t="s">
        <v>731</v>
      </c>
      <c r="I97" t="s">
        <v>9</v>
      </c>
    </row>
    <row r="98" spans="1:9" customFormat="1" ht="21">
      <c r="A98" s="28" t="s">
        <v>468</v>
      </c>
      <c r="B98" s="28" t="s">
        <v>108</v>
      </c>
      <c r="C98" s="28" t="s">
        <v>92</v>
      </c>
      <c r="D98" s="28" t="s">
        <v>469</v>
      </c>
      <c r="E98" s="29">
        <v>4981680</v>
      </c>
      <c r="F98" s="29">
        <v>-4981679</v>
      </c>
      <c r="G98" s="29">
        <v>1</v>
      </c>
      <c r="H98" t="s">
        <v>731</v>
      </c>
      <c r="I98" t="s">
        <v>9</v>
      </c>
    </row>
    <row r="99" spans="1:9" customFormat="1" ht="21">
      <c r="A99" s="28" t="s">
        <v>470</v>
      </c>
      <c r="B99" s="28" t="s">
        <v>91</v>
      </c>
      <c r="C99" s="28" t="s">
        <v>92</v>
      </c>
      <c r="D99" s="28" t="s">
        <v>471</v>
      </c>
      <c r="E99" s="29">
        <v>35394077.350000001</v>
      </c>
      <c r="F99" s="29">
        <v>-2658207.1800000002</v>
      </c>
      <c r="G99" s="29">
        <v>32735870.170000002</v>
      </c>
      <c r="H99" t="s">
        <v>731</v>
      </c>
      <c r="I99" t="s">
        <v>9</v>
      </c>
    </row>
    <row r="100" spans="1:9" customFormat="1" ht="21">
      <c r="A100" s="28" t="s">
        <v>470</v>
      </c>
      <c r="B100" s="28" t="s">
        <v>108</v>
      </c>
      <c r="C100" s="28" t="s">
        <v>92</v>
      </c>
      <c r="D100" s="28" t="s">
        <v>471</v>
      </c>
      <c r="E100" s="29">
        <v>9033634.8100000005</v>
      </c>
      <c r="F100" s="29">
        <v>-9033633.8100000005</v>
      </c>
      <c r="G100" s="29">
        <v>1</v>
      </c>
      <c r="H100" t="s">
        <v>731</v>
      </c>
      <c r="I100" t="s">
        <v>9</v>
      </c>
    </row>
    <row r="101" spans="1:9" customFormat="1" ht="21">
      <c r="A101" s="28" t="s">
        <v>472</v>
      </c>
      <c r="B101" s="28" t="s">
        <v>91</v>
      </c>
      <c r="C101" s="28" t="s">
        <v>92</v>
      </c>
      <c r="D101" s="28" t="s">
        <v>473</v>
      </c>
      <c r="E101" s="29">
        <v>3619000</v>
      </c>
      <c r="F101" s="29">
        <v>-3618999</v>
      </c>
      <c r="G101" s="29">
        <v>1</v>
      </c>
      <c r="H101" t="s">
        <v>731</v>
      </c>
      <c r="I101" t="s">
        <v>9</v>
      </c>
    </row>
    <row r="102" spans="1:9" customFormat="1" ht="21">
      <c r="A102" s="28" t="s">
        <v>474</v>
      </c>
      <c r="B102" s="28" t="s">
        <v>91</v>
      </c>
      <c r="C102" s="28" t="s">
        <v>92</v>
      </c>
      <c r="D102" s="28" t="s">
        <v>475</v>
      </c>
      <c r="E102" s="29">
        <v>1752000</v>
      </c>
      <c r="F102" s="29">
        <v>-1751999</v>
      </c>
      <c r="G102" s="29">
        <v>1</v>
      </c>
      <c r="H102" t="s">
        <v>731</v>
      </c>
      <c r="I102" t="s">
        <v>9</v>
      </c>
    </row>
    <row r="103" spans="1:9" customFormat="1" ht="21">
      <c r="A103" s="28" t="s">
        <v>476</v>
      </c>
      <c r="B103" s="28" t="s">
        <v>91</v>
      </c>
      <c r="C103" s="28" t="s">
        <v>92</v>
      </c>
      <c r="D103" s="28" t="s">
        <v>477</v>
      </c>
      <c r="E103" s="29">
        <v>3850000</v>
      </c>
      <c r="F103" s="29">
        <v>-3849999</v>
      </c>
      <c r="G103" s="29">
        <v>1</v>
      </c>
      <c r="H103" t="s">
        <v>731</v>
      </c>
      <c r="I103" t="s">
        <v>9</v>
      </c>
    </row>
    <row r="104" spans="1:9" customFormat="1" ht="21">
      <c r="A104" s="28" t="s">
        <v>478</v>
      </c>
      <c r="B104" s="28" t="s">
        <v>91</v>
      </c>
      <c r="C104" s="28" t="s">
        <v>92</v>
      </c>
      <c r="D104" s="28" t="s">
        <v>479</v>
      </c>
      <c r="E104" s="29">
        <v>16250612.949999999</v>
      </c>
      <c r="F104" s="29">
        <v>-1334115.8700000001</v>
      </c>
      <c r="G104" s="29">
        <v>14916497.08</v>
      </c>
      <c r="H104" t="s">
        <v>731</v>
      </c>
      <c r="I104" t="s">
        <v>9</v>
      </c>
    </row>
    <row r="105" spans="1:9" customFormat="1" ht="21">
      <c r="A105" s="28" t="s">
        <v>478</v>
      </c>
      <c r="B105" s="28" t="s">
        <v>108</v>
      </c>
      <c r="C105" s="28" t="s">
        <v>92</v>
      </c>
      <c r="D105" s="28" t="s">
        <v>479</v>
      </c>
      <c r="E105" s="29">
        <v>1098795.8899999999</v>
      </c>
      <c r="F105" s="29">
        <v>-1098794.8899999999</v>
      </c>
      <c r="G105" s="29">
        <v>1</v>
      </c>
      <c r="H105" t="s">
        <v>731</v>
      </c>
      <c r="I105" t="s">
        <v>9</v>
      </c>
    </row>
    <row r="106" spans="1:9" customFormat="1" ht="21">
      <c r="A106" s="28" t="s">
        <v>478</v>
      </c>
      <c r="B106" s="28" t="s">
        <v>480</v>
      </c>
      <c r="C106" s="28" t="s">
        <v>92</v>
      </c>
      <c r="D106" s="28" t="s">
        <v>481</v>
      </c>
      <c r="E106" s="29">
        <v>1645466.67</v>
      </c>
      <c r="F106" s="29">
        <v>-135185.39000000001</v>
      </c>
      <c r="G106" s="29">
        <v>1510281.28</v>
      </c>
      <c r="H106" t="s">
        <v>731</v>
      </c>
      <c r="I106" t="s">
        <v>9</v>
      </c>
    </row>
    <row r="107" spans="1:9" customFormat="1" ht="21">
      <c r="A107" s="28" t="s">
        <v>478</v>
      </c>
      <c r="B107" s="28" t="s">
        <v>482</v>
      </c>
      <c r="C107" s="28" t="s">
        <v>92</v>
      </c>
      <c r="D107" s="28" t="s">
        <v>481</v>
      </c>
      <c r="E107" s="29">
        <v>117533.33</v>
      </c>
      <c r="F107" s="29">
        <v>-117532.33</v>
      </c>
      <c r="G107" s="29">
        <v>1</v>
      </c>
      <c r="H107" t="s">
        <v>731</v>
      </c>
      <c r="I107" t="s">
        <v>9</v>
      </c>
    </row>
    <row r="108" spans="1:9" customFormat="1" ht="21">
      <c r="A108" s="28" t="s">
        <v>617</v>
      </c>
      <c r="B108" s="28" t="s">
        <v>91</v>
      </c>
      <c r="C108" s="28" t="s">
        <v>92</v>
      </c>
      <c r="D108" s="28" t="s">
        <v>618</v>
      </c>
      <c r="E108" s="29">
        <v>920259</v>
      </c>
      <c r="F108" s="29">
        <v>-920258</v>
      </c>
      <c r="G108" s="29">
        <v>1</v>
      </c>
      <c r="H108" t="s">
        <v>731</v>
      </c>
      <c r="I108" t="s">
        <v>13</v>
      </c>
    </row>
    <row r="109" spans="1:9" customFormat="1" ht="21">
      <c r="A109" s="28" t="s">
        <v>619</v>
      </c>
      <c r="B109" s="28" t="s">
        <v>91</v>
      </c>
      <c r="C109" s="28" t="s">
        <v>92</v>
      </c>
      <c r="D109" s="28" t="s">
        <v>620</v>
      </c>
      <c r="E109" s="29">
        <v>3908666.67</v>
      </c>
      <c r="F109" s="29">
        <v>-490605.06</v>
      </c>
      <c r="G109" s="29">
        <v>3418061.61</v>
      </c>
      <c r="H109" t="s">
        <v>731</v>
      </c>
      <c r="I109" t="s">
        <v>13</v>
      </c>
    </row>
    <row r="110" spans="1:9" customFormat="1" ht="21">
      <c r="A110" s="28" t="s">
        <v>619</v>
      </c>
      <c r="B110" s="28" t="s">
        <v>108</v>
      </c>
      <c r="C110" s="28" t="s">
        <v>92</v>
      </c>
      <c r="D110" s="28" t="s">
        <v>620</v>
      </c>
      <c r="E110" s="29">
        <v>4291333.33</v>
      </c>
      <c r="F110" s="29">
        <v>-4291332.33</v>
      </c>
      <c r="G110" s="29">
        <v>1</v>
      </c>
      <c r="H110" t="s">
        <v>731</v>
      </c>
      <c r="I110" t="s">
        <v>13</v>
      </c>
    </row>
    <row r="111" spans="1:9" customFormat="1" ht="21">
      <c r="A111" s="28" t="s">
        <v>621</v>
      </c>
      <c r="B111" s="28" t="s">
        <v>91</v>
      </c>
      <c r="C111" s="28" t="s">
        <v>92</v>
      </c>
      <c r="D111" s="28" t="s">
        <v>622</v>
      </c>
      <c r="E111" s="29">
        <v>500000</v>
      </c>
      <c r="F111" s="29">
        <v>-499999</v>
      </c>
      <c r="G111" s="29">
        <v>1</v>
      </c>
      <c r="H111" t="s">
        <v>731</v>
      </c>
      <c r="I111" t="s">
        <v>13</v>
      </c>
    </row>
    <row r="112" spans="1:9" customFormat="1" ht="21">
      <c r="A112" s="28" t="s">
        <v>623</v>
      </c>
      <c r="B112" s="28" t="s">
        <v>91</v>
      </c>
      <c r="C112" s="28" t="s">
        <v>92</v>
      </c>
      <c r="D112" s="28" t="s">
        <v>624</v>
      </c>
      <c r="E112" s="29">
        <v>7904000</v>
      </c>
      <c r="F112" s="29">
        <v>-591175.9</v>
      </c>
      <c r="G112" s="29">
        <v>7312824.0999999996</v>
      </c>
      <c r="H112" t="s">
        <v>731</v>
      </c>
      <c r="I112" t="s">
        <v>13</v>
      </c>
    </row>
    <row r="113" spans="1:9" customFormat="1" ht="21">
      <c r="A113" s="28" t="s">
        <v>623</v>
      </c>
      <c r="B113" s="28" t="s">
        <v>108</v>
      </c>
      <c r="C113" s="28" t="s">
        <v>92</v>
      </c>
      <c r="D113" s="28" t="s">
        <v>624</v>
      </c>
      <c r="E113" s="29">
        <v>1976000</v>
      </c>
      <c r="F113" s="29">
        <v>-1975999</v>
      </c>
      <c r="G113" s="29">
        <v>1</v>
      </c>
      <c r="H113" t="s">
        <v>731</v>
      </c>
      <c r="I113" t="s">
        <v>13</v>
      </c>
    </row>
    <row r="114" spans="1:9" customFormat="1" ht="21">
      <c r="A114" s="28" t="s">
        <v>625</v>
      </c>
      <c r="B114" s="28" t="s">
        <v>91</v>
      </c>
      <c r="C114" s="28" t="s">
        <v>92</v>
      </c>
      <c r="D114" s="28" t="s">
        <v>626</v>
      </c>
      <c r="E114" s="29">
        <v>1389555.56</v>
      </c>
      <c r="F114" s="29">
        <v>-337049.02</v>
      </c>
      <c r="G114" s="29">
        <v>1052506.54</v>
      </c>
      <c r="H114" t="s">
        <v>731</v>
      </c>
      <c r="I114" t="s">
        <v>13</v>
      </c>
    </row>
    <row r="115" spans="1:9" customFormat="1" ht="21">
      <c r="A115" s="28" t="s">
        <v>625</v>
      </c>
      <c r="B115" s="28" t="s">
        <v>108</v>
      </c>
      <c r="C115" s="28" t="s">
        <v>92</v>
      </c>
      <c r="D115" s="28" t="s">
        <v>626</v>
      </c>
      <c r="E115" s="29">
        <v>1990444.44</v>
      </c>
      <c r="F115" s="29">
        <v>-1990443.44</v>
      </c>
      <c r="G115" s="29">
        <v>1</v>
      </c>
      <c r="H115" t="s">
        <v>731</v>
      </c>
      <c r="I115" t="s">
        <v>13</v>
      </c>
    </row>
    <row r="116" spans="1:9" customFormat="1" ht="21">
      <c r="A116" s="28" t="s">
        <v>732</v>
      </c>
      <c r="B116" s="28" t="s">
        <v>91</v>
      </c>
      <c r="C116" s="28" t="s">
        <v>92</v>
      </c>
      <c r="D116" s="28" t="s">
        <v>733</v>
      </c>
      <c r="E116" s="29">
        <v>17600</v>
      </c>
      <c r="F116" s="29">
        <v>-17599</v>
      </c>
      <c r="G116" s="29">
        <v>1</v>
      </c>
      <c r="H116" t="s">
        <v>731</v>
      </c>
      <c r="I116" t="s">
        <v>15</v>
      </c>
    </row>
    <row r="117" spans="1:9" customFormat="1" ht="21">
      <c r="A117" s="28" t="s">
        <v>734</v>
      </c>
      <c r="B117" s="28" t="s">
        <v>91</v>
      </c>
      <c r="C117" s="28" t="s">
        <v>92</v>
      </c>
      <c r="D117" s="28" t="s">
        <v>735</v>
      </c>
      <c r="E117" s="29">
        <v>10000</v>
      </c>
      <c r="F117" s="29">
        <v>-9999</v>
      </c>
      <c r="G117" s="29">
        <v>1</v>
      </c>
      <c r="H117" t="s">
        <v>731</v>
      </c>
      <c r="I117" t="s">
        <v>15</v>
      </c>
    </row>
    <row r="118" spans="1:9" customFormat="1" ht="21">
      <c r="A118" s="28" t="s">
        <v>736</v>
      </c>
      <c r="B118" s="28" t="s">
        <v>91</v>
      </c>
      <c r="C118" s="28" t="s">
        <v>92</v>
      </c>
      <c r="D118" s="28" t="s">
        <v>737</v>
      </c>
      <c r="E118" s="29">
        <v>3750</v>
      </c>
      <c r="F118" s="29">
        <v>-3749</v>
      </c>
      <c r="G118" s="29">
        <v>1</v>
      </c>
      <c r="H118" t="s">
        <v>731</v>
      </c>
      <c r="I118" t="s">
        <v>15</v>
      </c>
    </row>
    <row r="119" spans="1:9" customFormat="1" ht="21">
      <c r="A119" s="28" t="s">
        <v>738</v>
      </c>
      <c r="B119" s="28" t="s">
        <v>91</v>
      </c>
      <c r="C119" s="28" t="s">
        <v>92</v>
      </c>
      <c r="D119" s="28" t="s">
        <v>739</v>
      </c>
      <c r="E119" s="29">
        <v>10000</v>
      </c>
      <c r="F119" s="29">
        <v>-9999</v>
      </c>
      <c r="G119" s="29">
        <v>1</v>
      </c>
      <c r="H119" t="s">
        <v>731</v>
      </c>
      <c r="I119" t="s">
        <v>15</v>
      </c>
    </row>
    <row r="120" spans="1:9" customFormat="1" ht="21">
      <c r="A120" s="28" t="s">
        <v>740</v>
      </c>
      <c r="B120" s="28" t="s">
        <v>91</v>
      </c>
      <c r="C120" s="28" t="s">
        <v>92</v>
      </c>
      <c r="D120" s="28" t="s">
        <v>741</v>
      </c>
      <c r="E120" s="29">
        <v>125000</v>
      </c>
      <c r="F120" s="29">
        <v>-124999</v>
      </c>
      <c r="G120" s="29">
        <v>1</v>
      </c>
      <c r="H120" t="s">
        <v>731</v>
      </c>
      <c r="I120" t="s">
        <v>15</v>
      </c>
    </row>
    <row r="121" spans="1:9" customFormat="1" ht="21">
      <c r="A121" s="28" t="s">
        <v>742</v>
      </c>
      <c r="B121" s="28" t="s">
        <v>91</v>
      </c>
      <c r="C121" s="28" t="s">
        <v>92</v>
      </c>
      <c r="D121" s="28" t="s">
        <v>743</v>
      </c>
      <c r="E121" s="29">
        <v>1197000</v>
      </c>
      <c r="F121" s="29">
        <v>-596860.28</v>
      </c>
      <c r="G121" s="29">
        <v>600139.72</v>
      </c>
      <c r="H121" t="s">
        <v>731</v>
      </c>
      <c r="I121" t="s">
        <v>15</v>
      </c>
    </row>
    <row r="122" spans="1:9" customFormat="1" ht="21">
      <c r="A122" s="28" t="s">
        <v>744</v>
      </c>
      <c r="B122" s="28" t="s">
        <v>91</v>
      </c>
      <c r="C122" s="28" t="s">
        <v>92</v>
      </c>
      <c r="D122" s="28" t="s">
        <v>745</v>
      </c>
      <c r="E122" s="29">
        <v>5000</v>
      </c>
      <c r="F122" s="29">
        <v>-4999</v>
      </c>
      <c r="G122" s="29">
        <v>1</v>
      </c>
      <c r="H122" t="s">
        <v>731</v>
      </c>
      <c r="I122" t="s">
        <v>15</v>
      </c>
    </row>
    <row r="123" spans="1:9" customFormat="1" ht="21">
      <c r="A123" s="28" t="s">
        <v>746</v>
      </c>
      <c r="B123" s="28" t="s">
        <v>91</v>
      </c>
      <c r="C123" s="28" t="s">
        <v>92</v>
      </c>
      <c r="D123" s="28" t="s">
        <v>747</v>
      </c>
      <c r="E123" s="29">
        <v>462000</v>
      </c>
      <c r="F123" s="29">
        <v>-461999</v>
      </c>
      <c r="G123" s="29">
        <v>1</v>
      </c>
      <c r="H123" t="s">
        <v>731</v>
      </c>
      <c r="I123" t="s">
        <v>15</v>
      </c>
    </row>
    <row r="124" spans="1:9" customFormat="1" ht="21">
      <c r="A124" s="28" t="s">
        <v>748</v>
      </c>
      <c r="B124" s="28" t="s">
        <v>91</v>
      </c>
      <c r="C124" s="28" t="s">
        <v>92</v>
      </c>
      <c r="D124" s="28" t="s">
        <v>749</v>
      </c>
      <c r="E124" s="29">
        <v>2009236</v>
      </c>
      <c r="F124" s="29">
        <v>-2009235</v>
      </c>
      <c r="G124" s="29">
        <v>1</v>
      </c>
      <c r="H124" t="s">
        <v>731</v>
      </c>
      <c r="I124" t="s">
        <v>15</v>
      </c>
    </row>
    <row r="125" spans="1:9" customFormat="1" ht="21">
      <c r="A125" s="28" t="s">
        <v>750</v>
      </c>
      <c r="B125" s="28" t="s">
        <v>91</v>
      </c>
      <c r="C125" s="28" t="s">
        <v>92</v>
      </c>
      <c r="D125" s="28" t="s">
        <v>751</v>
      </c>
      <c r="E125" s="29">
        <v>417300</v>
      </c>
      <c r="F125" s="29">
        <v>-417299</v>
      </c>
      <c r="G125" s="29">
        <v>1</v>
      </c>
      <c r="H125" t="s">
        <v>731</v>
      </c>
      <c r="I125" t="s">
        <v>15</v>
      </c>
    </row>
    <row r="126" spans="1:9" customFormat="1" ht="21">
      <c r="A126" s="28" t="s">
        <v>752</v>
      </c>
      <c r="B126" s="28" t="s">
        <v>91</v>
      </c>
      <c r="C126" s="28" t="s">
        <v>92</v>
      </c>
      <c r="D126" s="28" t="s">
        <v>751</v>
      </c>
      <c r="E126" s="29">
        <v>500000</v>
      </c>
      <c r="F126" s="29">
        <v>-499999</v>
      </c>
      <c r="G126" s="29">
        <v>1</v>
      </c>
      <c r="H126" t="s">
        <v>731</v>
      </c>
      <c r="I126" t="s">
        <v>15</v>
      </c>
    </row>
    <row r="127" spans="1:9" customFormat="1" ht="21">
      <c r="A127" s="28" t="s">
        <v>753</v>
      </c>
      <c r="B127" s="28" t="s">
        <v>91</v>
      </c>
      <c r="C127" s="28" t="s">
        <v>92</v>
      </c>
      <c r="D127" s="28" t="s">
        <v>754</v>
      </c>
      <c r="E127" s="29">
        <v>462000</v>
      </c>
      <c r="F127" s="29">
        <v>-461999</v>
      </c>
      <c r="G127" s="29">
        <v>1</v>
      </c>
      <c r="H127" t="s">
        <v>731</v>
      </c>
      <c r="I127" t="s">
        <v>15</v>
      </c>
    </row>
    <row r="128" spans="1:9" customFormat="1" ht="21">
      <c r="A128" s="28" t="s">
        <v>755</v>
      </c>
      <c r="B128" s="28" t="s">
        <v>91</v>
      </c>
      <c r="C128" s="28" t="s">
        <v>92</v>
      </c>
      <c r="D128" s="28" t="s">
        <v>756</v>
      </c>
      <c r="E128" s="29">
        <v>5120000</v>
      </c>
      <c r="F128" s="29">
        <v>-5119999</v>
      </c>
      <c r="G128" s="29">
        <v>1</v>
      </c>
      <c r="H128" t="s">
        <v>731</v>
      </c>
      <c r="I128" t="s">
        <v>15</v>
      </c>
    </row>
    <row r="129" spans="1:9" customFormat="1" ht="21">
      <c r="A129" s="28" t="s">
        <v>757</v>
      </c>
      <c r="B129" s="28" t="s">
        <v>91</v>
      </c>
      <c r="C129" s="28" t="s">
        <v>92</v>
      </c>
      <c r="D129" s="28" t="s">
        <v>758</v>
      </c>
      <c r="E129" s="29">
        <v>204815.56</v>
      </c>
      <c r="F129" s="29">
        <v>-49679.83</v>
      </c>
      <c r="G129" s="29">
        <v>155135.73000000001</v>
      </c>
      <c r="H129" t="s">
        <v>731</v>
      </c>
      <c r="I129" t="s">
        <v>15</v>
      </c>
    </row>
    <row r="130" spans="1:9" customFormat="1" ht="21">
      <c r="A130" s="28" t="s">
        <v>757</v>
      </c>
      <c r="B130" s="28" t="s">
        <v>108</v>
      </c>
      <c r="C130" s="28" t="s">
        <v>92</v>
      </c>
      <c r="D130" s="28" t="s">
        <v>758</v>
      </c>
      <c r="E130" s="29">
        <v>293384.44</v>
      </c>
      <c r="F130" s="29">
        <v>-293383.44</v>
      </c>
      <c r="G130" s="29">
        <v>1</v>
      </c>
      <c r="H130" t="s">
        <v>731</v>
      </c>
      <c r="I130" t="s">
        <v>15</v>
      </c>
    </row>
    <row r="131" spans="1:9" customFormat="1" ht="21">
      <c r="A131" s="28" t="s">
        <v>759</v>
      </c>
      <c r="B131" s="28" t="s">
        <v>91</v>
      </c>
      <c r="C131" s="28" t="s">
        <v>605</v>
      </c>
      <c r="D131" s="28" t="s">
        <v>760</v>
      </c>
      <c r="E131" s="29">
        <v>1542000</v>
      </c>
      <c r="F131" s="29">
        <v>-1541999</v>
      </c>
      <c r="G131" s="29">
        <v>1</v>
      </c>
      <c r="H131" t="s">
        <v>731</v>
      </c>
      <c r="I131" t="s">
        <v>675</v>
      </c>
    </row>
    <row r="132" spans="1:9" customFormat="1" ht="21">
      <c r="A132" s="28" t="s">
        <v>761</v>
      </c>
      <c r="B132" s="28" t="s">
        <v>91</v>
      </c>
      <c r="C132" s="28" t="s">
        <v>605</v>
      </c>
      <c r="D132" s="28" t="s">
        <v>762</v>
      </c>
      <c r="E132" s="29">
        <v>1947400</v>
      </c>
      <c r="F132" s="29">
        <v>-1947399</v>
      </c>
      <c r="G132" s="29">
        <v>1</v>
      </c>
      <c r="H132" t="s">
        <v>731</v>
      </c>
      <c r="I132" t="s">
        <v>675</v>
      </c>
    </row>
    <row r="133" spans="1:9" customFormat="1" ht="21">
      <c r="A133" s="28" t="s">
        <v>763</v>
      </c>
      <c r="B133" s="28" t="s">
        <v>91</v>
      </c>
      <c r="C133" s="28" t="s">
        <v>605</v>
      </c>
      <c r="D133" s="28" t="s">
        <v>762</v>
      </c>
      <c r="E133" s="29">
        <v>2499800</v>
      </c>
      <c r="F133" s="29">
        <v>-2256843.2599999998</v>
      </c>
      <c r="G133" s="29">
        <v>242956.74</v>
      </c>
      <c r="H133" t="s">
        <v>731</v>
      </c>
      <c r="I133" t="s">
        <v>675</v>
      </c>
    </row>
    <row r="134" spans="1:9" customFormat="1" ht="21">
      <c r="A134" s="28" t="s">
        <v>764</v>
      </c>
      <c r="B134" s="28" t="s">
        <v>91</v>
      </c>
      <c r="C134" s="28" t="s">
        <v>605</v>
      </c>
      <c r="D134" s="28" t="s">
        <v>765</v>
      </c>
      <c r="E134" s="29">
        <v>2430400</v>
      </c>
      <c r="F134" s="29">
        <v>-2333928.7200000002</v>
      </c>
      <c r="G134" s="29">
        <v>96471.28</v>
      </c>
      <c r="H134" t="s">
        <v>731</v>
      </c>
      <c r="I134" t="s">
        <v>675</v>
      </c>
    </row>
    <row r="135" spans="1:9" customFormat="1" ht="21">
      <c r="A135" s="28" t="s">
        <v>766</v>
      </c>
      <c r="B135" s="28" t="s">
        <v>91</v>
      </c>
      <c r="C135" s="28" t="s">
        <v>605</v>
      </c>
      <c r="D135" s="28" t="s">
        <v>767</v>
      </c>
      <c r="E135" s="29">
        <v>1390000</v>
      </c>
      <c r="F135" s="29">
        <v>-834466.04</v>
      </c>
      <c r="G135" s="29">
        <v>555533.96</v>
      </c>
      <c r="H135" t="s">
        <v>731</v>
      </c>
      <c r="I135" t="s">
        <v>768</v>
      </c>
    </row>
    <row r="136" spans="1:9" customFormat="1" ht="21">
      <c r="A136" s="28" t="s">
        <v>769</v>
      </c>
      <c r="B136" s="28" t="s">
        <v>91</v>
      </c>
      <c r="C136" s="28" t="s">
        <v>770</v>
      </c>
      <c r="D136" s="28" t="s">
        <v>771</v>
      </c>
      <c r="E136" s="29">
        <v>3798375</v>
      </c>
      <c r="F136" s="29">
        <v>-930341.71</v>
      </c>
      <c r="G136" s="29">
        <v>2868033.29</v>
      </c>
      <c r="H136" t="s">
        <v>731</v>
      </c>
      <c r="I136" t="s">
        <v>681</v>
      </c>
    </row>
    <row r="137" spans="1:9" customFormat="1" ht="21">
      <c r="A137" s="28" t="s">
        <v>772</v>
      </c>
      <c r="B137" s="28" t="s">
        <v>91</v>
      </c>
      <c r="C137" s="28" t="s">
        <v>770</v>
      </c>
      <c r="D137" s="28" t="s">
        <v>771</v>
      </c>
      <c r="E137" s="29">
        <v>3798375</v>
      </c>
      <c r="F137" s="29">
        <v>-930341.71</v>
      </c>
      <c r="G137" s="29">
        <v>2868033.29</v>
      </c>
      <c r="H137" t="s">
        <v>731</v>
      </c>
      <c r="I137" t="s">
        <v>681</v>
      </c>
    </row>
    <row r="138" spans="1:9" customFormat="1" ht="21">
      <c r="A138" s="28" t="s">
        <v>773</v>
      </c>
      <c r="B138" s="28" t="s">
        <v>91</v>
      </c>
      <c r="C138" s="28" t="s">
        <v>774</v>
      </c>
      <c r="D138" s="28" t="s">
        <v>775</v>
      </c>
      <c r="E138" s="29">
        <v>1998400</v>
      </c>
      <c r="F138" s="29">
        <v>-497136.22</v>
      </c>
      <c r="G138" s="29">
        <v>1501263.78</v>
      </c>
      <c r="H138" t="s">
        <v>731</v>
      </c>
      <c r="I138" t="s">
        <v>681</v>
      </c>
    </row>
    <row r="139" spans="1:9" customFormat="1" ht="21">
      <c r="A139" s="28" t="s">
        <v>776</v>
      </c>
      <c r="B139" s="28" t="s">
        <v>91</v>
      </c>
      <c r="C139" s="28" t="s">
        <v>777</v>
      </c>
      <c r="D139" s="28" t="s">
        <v>778</v>
      </c>
      <c r="E139" s="29">
        <v>648000</v>
      </c>
      <c r="F139" s="29">
        <v>-144867.95000000001</v>
      </c>
      <c r="G139" s="29">
        <v>503132.05</v>
      </c>
      <c r="H139" t="s">
        <v>731</v>
      </c>
      <c r="I139" t="s">
        <v>681</v>
      </c>
    </row>
    <row r="140" spans="1:9" customFormat="1" ht="21">
      <c r="A140" s="28" t="s">
        <v>779</v>
      </c>
      <c r="B140" s="28" t="s">
        <v>91</v>
      </c>
      <c r="C140" s="28" t="s">
        <v>679</v>
      </c>
      <c r="D140" s="28" t="s">
        <v>680</v>
      </c>
      <c r="E140" s="29">
        <v>449663</v>
      </c>
      <c r="F140" s="29">
        <v>-103237.7</v>
      </c>
      <c r="G140" s="29">
        <v>346425.3</v>
      </c>
      <c r="H140" t="s">
        <v>731</v>
      </c>
      <c r="I140" t="s">
        <v>681</v>
      </c>
    </row>
    <row r="141" spans="1:9" customFormat="1" ht="21">
      <c r="A141" s="28" t="s">
        <v>780</v>
      </c>
      <c r="B141" s="28" t="s">
        <v>91</v>
      </c>
      <c r="C141" s="28" t="s">
        <v>679</v>
      </c>
      <c r="D141" s="28" t="s">
        <v>683</v>
      </c>
      <c r="E141" s="29">
        <v>49870</v>
      </c>
      <c r="F141" s="29">
        <v>-11449.61</v>
      </c>
      <c r="G141" s="29">
        <v>38420.39</v>
      </c>
      <c r="H141" t="s">
        <v>731</v>
      </c>
      <c r="I141" t="s">
        <v>681</v>
      </c>
    </row>
    <row r="142" spans="1:9" customFormat="1" ht="21">
      <c r="A142" s="28" t="s">
        <v>781</v>
      </c>
      <c r="B142" s="28" t="s">
        <v>91</v>
      </c>
      <c r="C142" s="28" t="s">
        <v>679</v>
      </c>
      <c r="D142" s="28" t="s">
        <v>683</v>
      </c>
      <c r="E142" s="29">
        <v>49870</v>
      </c>
      <c r="F142" s="29">
        <v>-11449.61</v>
      </c>
      <c r="G142" s="29">
        <v>38420.39</v>
      </c>
      <c r="H142" t="s">
        <v>731</v>
      </c>
      <c r="I142" t="s">
        <v>681</v>
      </c>
    </row>
    <row r="143" spans="1:9" customFormat="1" ht="21">
      <c r="A143" s="28" t="s">
        <v>782</v>
      </c>
      <c r="B143" s="28" t="s">
        <v>91</v>
      </c>
      <c r="C143" s="28" t="s">
        <v>679</v>
      </c>
      <c r="D143" s="28" t="s">
        <v>683</v>
      </c>
      <c r="E143" s="29">
        <v>49870</v>
      </c>
      <c r="F143" s="29">
        <v>-11449.61</v>
      </c>
      <c r="G143" s="29">
        <v>38420.39</v>
      </c>
      <c r="H143" t="s">
        <v>731</v>
      </c>
      <c r="I143" t="s">
        <v>681</v>
      </c>
    </row>
    <row r="144" spans="1:9" customFormat="1" ht="21">
      <c r="A144" s="28" t="s">
        <v>783</v>
      </c>
      <c r="B144" s="28" t="s">
        <v>91</v>
      </c>
      <c r="C144" s="28" t="s">
        <v>679</v>
      </c>
      <c r="D144" s="28" t="s">
        <v>683</v>
      </c>
      <c r="E144" s="29">
        <v>49870</v>
      </c>
      <c r="F144" s="29">
        <v>-11449.61</v>
      </c>
      <c r="G144" s="29">
        <v>38420.39</v>
      </c>
      <c r="H144" t="s">
        <v>731</v>
      </c>
      <c r="I144" t="s">
        <v>681</v>
      </c>
    </row>
    <row r="145" spans="1:9" customFormat="1" ht="21">
      <c r="A145" s="28" t="s">
        <v>784</v>
      </c>
      <c r="B145" s="28" t="s">
        <v>91</v>
      </c>
      <c r="C145" s="28" t="s">
        <v>686</v>
      </c>
      <c r="D145" s="28" t="s">
        <v>687</v>
      </c>
      <c r="E145" s="29">
        <v>349650</v>
      </c>
      <c r="F145" s="29">
        <v>-91004.800000000003</v>
      </c>
      <c r="G145" s="29">
        <v>258645.2</v>
      </c>
      <c r="H145" t="s">
        <v>731</v>
      </c>
      <c r="I145" t="s">
        <v>681</v>
      </c>
    </row>
    <row r="146" spans="1:9" customFormat="1" ht="21">
      <c r="A146" s="28" t="s">
        <v>785</v>
      </c>
      <c r="B146" s="28" t="s">
        <v>91</v>
      </c>
      <c r="C146" s="28" t="s">
        <v>605</v>
      </c>
      <c r="D146" s="28" t="s">
        <v>786</v>
      </c>
      <c r="E146" s="29">
        <v>1340000</v>
      </c>
      <c r="F146" s="29">
        <v>-1339999</v>
      </c>
      <c r="G146" s="29">
        <v>1</v>
      </c>
      <c r="H146" t="s">
        <v>731</v>
      </c>
      <c r="I146" t="s">
        <v>681</v>
      </c>
    </row>
    <row r="147" spans="1:9" customFormat="1" ht="21">
      <c r="A147" s="28" t="s">
        <v>787</v>
      </c>
      <c r="B147" s="28" t="s">
        <v>91</v>
      </c>
      <c r="C147" s="28" t="s">
        <v>605</v>
      </c>
      <c r="D147" s="28" t="s">
        <v>788</v>
      </c>
      <c r="E147" s="29">
        <v>1640000</v>
      </c>
      <c r="F147" s="29">
        <v>-1639999</v>
      </c>
      <c r="G147" s="29">
        <v>1</v>
      </c>
      <c r="H147" t="s">
        <v>731</v>
      </c>
      <c r="I147" t="s">
        <v>681</v>
      </c>
    </row>
    <row r="148" spans="1:9" customFormat="1" ht="21">
      <c r="A148" s="28" t="s">
        <v>789</v>
      </c>
      <c r="B148" s="28" t="s">
        <v>91</v>
      </c>
      <c r="C148" s="28" t="s">
        <v>605</v>
      </c>
      <c r="D148" s="28" t="s">
        <v>790</v>
      </c>
      <c r="E148" s="29">
        <v>695000</v>
      </c>
      <c r="F148" s="29">
        <v>-694999</v>
      </c>
      <c r="G148" s="29">
        <v>1</v>
      </c>
      <c r="H148" t="s">
        <v>731</v>
      </c>
      <c r="I148" t="s">
        <v>681</v>
      </c>
    </row>
    <row r="149" spans="1:9" customFormat="1" ht="21">
      <c r="A149" s="28" t="s">
        <v>791</v>
      </c>
      <c r="B149" s="28" t="s">
        <v>91</v>
      </c>
      <c r="C149" s="28" t="s">
        <v>605</v>
      </c>
      <c r="D149" s="28" t="s">
        <v>697</v>
      </c>
      <c r="E149" s="29">
        <v>1990000</v>
      </c>
      <c r="F149" s="29">
        <v>-1989999</v>
      </c>
      <c r="G149" s="29">
        <v>1</v>
      </c>
      <c r="H149" t="s">
        <v>731</v>
      </c>
      <c r="I149" t="s">
        <v>681</v>
      </c>
    </row>
    <row r="150" spans="1:9" customFormat="1" ht="21">
      <c r="A150" s="28" t="s">
        <v>792</v>
      </c>
      <c r="B150" s="28" t="s">
        <v>91</v>
      </c>
      <c r="C150" s="28" t="s">
        <v>605</v>
      </c>
      <c r="D150" s="28" t="s">
        <v>793</v>
      </c>
      <c r="E150" s="29">
        <v>1028500</v>
      </c>
      <c r="F150" s="29">
        <v>-1028499</v>
      </c>
      <c r="G150" s="29">
        <v>1</v>
      </c>
      <c r="H150" t="s">
        <v>731</v>
      </c>
      <c r="I150" t="s">
        <v>681</v>
      </c>
    </row>
    <row r="151" spans="1:9" customFormat="1" ht="21">
      <c r="A151" s="28" t="s">
        <v>794</v>
      </c>
      <c r="B151" s="28" t="s">
        <v>91</v>
      </c>
      <c r="C151" s="28" t="s">
        <v>605</v>
      </c>
      <c r="D151" s="28" t="s">
        <v>793</v>
      </c>
      <c r="E151" s="29">
        <v>1028500</v>
      </c>
      <c r="F151" s="29">
        <v>-1028499</v>
      </c>
      <c r="G151" s="29">
        <v>1</v>
      </c>
      <c r="H151" t="s">
        <v>731</v>
      </c>
      <c r="I151" t="s">
        <v>681</v>
      </c>
    </row>
    <row r="152" spans="1:9" customFormat="1" ht="21">
      <c r="A152" s="28" t="s">
        <v>795</v>
      </c>
      <c r="B152" s="28" t="s">
        <v>91</v>
      </c>
      <c r="C152" s="28" t="s">
        <v>605</v>
      </c>
      <c r="D152" s="28" t="s">
        <v>796</v>
      </c>
      <c r="E152" s="29">
        <v>735000</v>
      </c>
      <c r="F152" s="29">
        <v>-734999</v>
      </c>
      <c r="G152" s="29">
        <v>1</v>
      </c>
      <c r="H152" t="s">
        <v>731</v>
      </c>
      <c r="I152" t="s">
        <v>681</v>
      </c>
    </row>
    <row r="153" spans="1:9" customFormat="1" ht="21">
      <c r="A153" s="28" t="s">
        <v>797</v>
      </c>
      <c r="B153" s="28" t="s">
        <v>91</v>
      </c>
      <c r="C153" s="28" t="s">
        <v>605</v>
      </c>
      <c r="D153" s="28" t="s">
        <v>798</v>
      </c>
      <c r="E153" s="29">
        <v>56235</v>
      </c>
      <c r="F153" s="29">
        <v>-51605.32</v>
      </c>
      <c r="G153" s="29">
        <v>4629.68</v>
      </c>
      <c r="H153" t="s">
        <v>731</v>
      </c>
      <c r="I153" t="s">
        <v>681</v>
      </c>
    </row>
    <row r="154" spans="1:9" customFormat="1" ht="21">
      <c r="A154" s="28" t="s">
        <v>799</v>
      </c>
      <c r="B154" s="28" t="s">
        <v>91</v>
      </c>
      <c r="C154" s="28" t="s">
        <v>605</v>
      </c>
      <c r="D154" s="28" t="s">
        <v>798</v>
      </c>
      <c r="E154" s="29">
        <v>56235</v>
      </c>
      <c r="F154" s="29">
        <v>-51605.32</v>
      </c>
      <c r="G154" s="29">
        <v>4629.68</v>
      </c>
      <c r="H154" t="s">
        <v>731</v>
      </c>
      <c r="I154" t="s">
        <v>681</v>
      </c>
    </row>
    <row r="155" spans="1:9" customFormat="1" ht="21">
      <c r="A155" s="28" t="s">
        <v>800</v>
      </c>
      <c r="B155" s="28" t="s">
        <v>91</v>
      </c>
      <c r="C155" s="28" t="s">
        <v>605</v>
      </c>
      <c r="D155" s="28" t="s">
        <v>798</v>
      </c>
      <c r="E155" s="29">
        <v>56235</v>
      </c>
      <c r="F155" s="29">
        <v>-51605.32</v>
      </c>
      <c r="G155" s="29">
        <v>4629.68</v>
      </c>
      <c r="H155" t="s">
        <v>731</v>
      </c>
      <c r="I155" t="s">
        <v>681</v>
      </c>
    </row>
    <row r="156" spans="1:9" customFormat="1" ht="21">
      <c r="A156" s="28" t="s">
        <v>801</v>
      </c>
      <c r="B156" s="28" t="s">
        <v>91</v>
      </c>
      <c r="C156" s="28" t="s">
        <v>605</v>
      </c>
      <c r="D156" s="28" t="s">
        <v>798</v>
      </c>
      <c r="E156" s="29">
        <v>56235</v>
      </c>
      <c r="F156" s="29">
        <v>-51605.32</v>
      </c>
      <c r="G156" s="29">
        <v>4629.68</v>
      </c>
      <c r="H156" t="s">
        <v>731</v>
      </c>
      <c r="I156" t="s">
        <v>681</v>
      </c>
    </row>
    <row r="157" spans="1:9" customFormat="1" ht="21">
      <c r="A157" s="28" t="s">
        <v>802</v>
      </c>
      <c r="B157" s="28" t="s">
        <v>91</v>
      </c>
      <c r="C157" s="28" t="s">
        <v>605</v>
      </c>
      <c r="D157" s="28" t="s">
        <v>798</v>
      </c>
      <c r="E157" s="29">
        <v>56235</v>
      </c>
      <c r="F157" s="29">
        <v>-51605.32</v>
      </c>
      <c r="G157" s="29">
        <v>4629.68</v>
      </c>
      <c r="H157" t="s">
        <v>731</v>
      </c>
      <c r="I157" t="s">
        <v>681</v>
      </c>
    </row>
    <row r="158" spans="1:9" customFormat="1" ht="21">
      <c r="A158" s="28" t="s">
        <v>803</v>
      </c>
      <c r="B158" s="28" t="s">
        <v>91</v>
      </c>
      <c r="C158" s="28" t="s">
        <v>605</v>
      </c>
      <c r="D158" s="28" t="s">
        <v>798</v>
      </c>
      <c r="E158" s="29">
        <v>56235</v>
      </c>
      <c r="F158" s="29">
        <v>-51605.32</v>
      </c>
      <c r="G158" s="29">
        <v>4629.68</v>
      </c>
      <c r="H158" t="s">
        <v>731</v>
      </c>
      <c r="I158" t="s">
        <v>681</v>
      </c>
    </row>
    <row r="159" spans="1:9" customFormat="1" ht="21">
      <c r="A159" s="28" t="s">
        <v>804</v>
      </c>
      <c r="B159" s="28" t="s">
        <v>91</v>
      </c>
      <c r="C159" s="28" t="s">
        <v>605</v>
      </c>
      <c r="D159" s="28" t="s">
        <v>798</v>
      </c>
      <c r="E159" s="29">
        <v>56235</v>
      </c>
      <c r="F159" s="29">
        <v>-51605.32</v>
      </c>
      <c r="G159" s="29">
        <v>4629.68</v>
      </c>
      <c r="H159" t="s">
        <v>731</v>
      </c>
      <c r="I159" t="s">
        <v>681</v>
      </c>
    </row>
    <row r="160" spans="1:9" customFormat="1" ht="21">
      <c r="A160" s="28" t="s">
        <v>805</v>
      </c>
      <c r="B160" s="28" t="s">
        <v>91</v>
      </c>
      <c r="C160" s="28" t="s">
        <v>605</v>
      </c>
      <c r="D160" s="28" t="s">
        <v>798</v>
      </c>
      <c r="E160" s="29">
        <v>56235</v>
      </c>
      <c r="F160" s="29">
        <v>-51605.32</v>
      </c>
      <c r="G160" s="29">
        <v>4629.68</v>
      </c>
      <c r="H160" t="s">
        <v>731</v>
      </c>
      <c r="I160" t="s">
        <v>681</v>
      </c>
    </row>
    <row r="161" spans="1:9" customFormat="1" ht="21">
      <c r="A161" s="28" t="s">
        <v>806</v>
      </c>
      <c r="B161" s="28" t="s">
        <v>91</v>
      </c>
      <c r="C161" s="28" t="s">
        <v>605</v>
      </c>
      <c r="D161" s="28" t="s">
        <v>798</v>
      </c>
      <c r="E161" s="29">
        <v>56235</v>
      </c>
      <c r="F161" s="29">
        <v>-51605.32</v>
      </c>
      <c r="G161" s="29">
        <v>4629.68</v>
      </c>
      <c r="H161" t="s">
        <v>731</v>
      </c>
      <c r="I161" t="s">
        <v>681</v>
      </c>
    </row>
    <row r="162" spans="1:9" customFormat="1" ht="21">
      <c r="A162" s="28" t="s">
        <v>807</v>
      </c>
      <c r="B162" s="28" t="s">
        <v>91</v>
      </c>
      <c r="C162" s="28" t="s">
        <v>605</v>
      </c>
      <c r="D162" s="28" t="s">
        <v>808</v>
      </c>
      <c r="E162" s="29">
        <v>989700</v>
      </c>
      <c r="F162" s="29">
        <v>-775599.11</v>
      </c>
      <c r="G162" s="29">
        <v>214100.89</v>
      </c>
      <c r="H162" t="s">
        <v>731</v>
      </c>
      <c r="I162" t="s">
        <v>681</v>
      </c>
    </row>
    <row r="163" spans="1:9" customFormat="1" ht="21">
      <c r="A163" s="28" t="s">
        <v>809</v>
      </c>
      <c r="B163" s="28" t="s">
        <v>91</v>
      </c>
      <c r="C163" s="28" t="s">
        <v>605</v>
      </c>
      <c r="D163" s="28" t="s">
        <v>808</v>
      </c>
      <c r="E163" s="29">
        <v>989700</v>
      </c>
      <c r="F163" s="29">
        <v>-775599.11</v>
      </c>
      <c r="G163" s="29">
        <v>214100.89</v>
      </c>
      <c r="H163" t="s">
        <v>731</v>
      </c>
      <c r="I163" t="s">
        <v>681</v>
      </c>
    </row>
    <row r="164" spans="1:9" customFormat="1" ht="21">
      <c r="A164" s="28" t="s">
        <v>810</v>
      </c>
      <c r="B164" s="28" t="s">
        <v>91</v>
      </c>
      <c r="C164" s="28" t="s">
        <v>605</v>
      </c>
      <c r="D164" s="28" t="s">
        <v>811</v>
      </c>
      <c r="E164" s="29">
        <v>148500</v>
      </c>
      <c r="F164" s="29">
        <v>-115031.36</v>
      </c>
      <c r="G164" s="29">
        <v>33468.639999999999</v>
      </c>
      <c r="H164" t="s">
        <v>731</v>
      </c>
      <c r="I164" t="s">
        <v>681</v>
      </c>
    </row>
    <row r="165" spans="1:9" customFormat="1" ht="21">
      <c r="A165" s="28" t="s">
        <v>812</v>
      </c>
      <c r="B165" s="28" t="s">
        <v>91</v>
      </c>
      <c r="C165" s="28" t="s">
        <v>605</v>
      </c>
      <c r="D165" s="28" t="s">
        <v>811</v>
      </c>
      <c r="E165" s="29">
        <v>148500</v>
      </c>
      <c r="F165" s="29">
        <v>-115031.36</v>
      </c>
      <c r="G165" s="29">
        <v>33468.639999999999</v>
      </c>
      <c r="H165" t="s">
        <v>731</v>
      </c>
      <c r="I165" t="s">
        <v>681</v>
      </c>
    </row>
    <row r="166" spans="1:9" customFormat="1" ht="21">
      <c r="A166" s="28" t="s">
        <v>813</v>
      </c>
      <c r="B166" s="28" t="s">
        <v>91</v>
      </c>
      <c r="C166" s="28" t="s">
        <v>605</v>
      </c>
      <c r="D166" s="28" t="s">
        <v>811</v>
      </c>
      <c r="E166" s="29">
        <v>148500</v>
      </c>
      <c r="F166" s="29">
        <v>-115031.36</v>
      </c>
      <c r="G166" s="29">
        <v>33468.639999999999</v>
      </c>
      <c r="H166" t="s">
        <v>731</v>
      </c>
      <c r="I166" t="s">
        <v>681</v>
      </c>
    </row>
    <row r="167" spans="1:9" customFormat="1" ht="21">
      <c r="A167" s="28" t="s">
        <v>814</v>
      </c>
      <c r="B167" s="28" t="s">
        <v>91</v>
      </c>
      <c r="C167" s="28" t="s">
        <v>605</v>
      </c>
      <c r="D167" s="28" t="s">
        <v>811</v>
      </c>
      <c r="E167" s="29">
        <v>148500</v>
      </c>
      <c r="F167" s="29">
        <v>-115031.36</v>
      </c>
      <c r="G167" s="29">
        <v>33468.639999999999</v>
      </c>
      <c r="H167" t="s">
        <v>731</v>
      </c>
      <c r="I167" t="s">
        <v>681</v>
      </c>
    </row>
    <row r="168" spans="1:9" customFormat="1" ht="21">
      <c r="A168" s="28" t="s">
        <v>815</v>
      </c>
      <c r="B168" s="28" t="s">
        <v>91</v>
      </c>
      <c r="C168" s="28" t="s">
        <v>605</v>
      </c>
      <c r="D168" s="28" t="s">
        <v>816</v>
      </c>
      <c r="E168" s="29">
        <v>449000</v>
      </c>
      <c r="F168" s="29">
        <v>-346438.76</v>
      </c>
      <c r="G168" s="29">
        <v>102561.24</v>
      </c>
      <c r="H168" t="s">
        <v>731</v>
      </c>
      <c r="I168" t="s">
        <v>681</v>
      </c>
    </row>
    <row r="169" spans="1:9" customFormat="1" ht="21">
      <c r="A169" s="28" t="s">
        <v>817</v>
      </c>
      <c r="B169" s="28" t="s">
        <v>91</v>
      </c>
      <c r="C169" s="28" t="s">
        <v>605</v>
      </c>
      <c r="D169" s="28" t="s">
        <v>716</v>
      </c>
      <c r="E169" s="29">
        <v>798000</v>
      </c>
      <c r="F169" s="29">
        <v>-522634.77</v>
      </c>
      <c r="G169" s="29">
        <v>275365.23</v>
      </c>
      <c r="H169" t="s">
        <v>731</v>
      </c>
      <c r="I169" t="s">
        <v>681</v>
      </c>
    </row>
    <row r="170" spans="1:9" customFormat="1" ht="21">
      <c r="A170" s="28" t="s">
        <v>818</v>
      </c>
      <c r="B170" s="28" t="s">
        <v>91</v>
      </c>
      <c r="C170" s="28" t="s">
        <v>605</v>
      </c>
      <c r="D170" s="28" t="s">
        <v>819</v>
      </c>
      <c r="E170" s="29">
        <v>1992310</v>
      </c>
      <c r="F170" s="29">
        <v>-1294936.74</v>
      </c>
      <c r="G170" s="29">
        <v>697373.26</v>
      </c>
      <c r="H170" t="s">
        <v>731</v>
      </c>
      <c r="I170" t="s">
        <v>681</v>
      </c>
    </row>
    <row r="171" spans="1:9" customFormat="1" ht="21">
      <c r="A171" s="28" t="s">
        <v>820</v>
      </c>
      <c r="B171" s="28" t="s">
        <v>91</v>
      </c>
      <c r="C171" s="28" t="s">
        <v>605</v>
      </c>
      <c r="D171" s="28" t="s">
        <v>821</v>
      </c>
      <c r="E171" s="29">
        <v>1748000</v>
      </c>
      <c r="F171" s="29">
        <v>-1094162.3500000001</v>
      </c>
      <c r="G171" s="29">
        <v>653837.65</v>
      </c>
      <c r="H171" t="s">
        <v>731</v>
      </c>
      <c r="I171" t="s">
        <v>681</v>
      </c>
    </row>
    <row r="172" spans="1:9" customFormat="1" ht="21">
      <c r="A172" s="28" t="s">
        <v>822</v>
      </c>
      <c r="B172" s="28" t="s">
        <v>91</v>
      </c>
      <c r="C172" s="28" t="s">
        <v>605</v>
      </c>
      <c r="D172" s="28" t="s">
        <v>823</v>
      </c>
      <c r="E172" s="29">
        <v>1200000</v>
      </c>
      <c r="F172" s="29">
        <v>-578161.44999999995</v>
      </c>
      <c r="G172" s="29">
        <v>621838.55000000005</v>
      </c>
      <c r="H172" t="s">
        <v>731</v>
      </c>
      <c r="I172" t="s">
        <v>681</v>
      </c>
    </row>
    <row r="173" spans="1:9" customFormat="1" ht="21">
      <c r="A173" s="28" t="s">
        <v>824</v>
      </c>
      <c r="B173" s="28" t="s">
        <v>91</v>
      </c>
      <c r="C173" s="28" t="s">
        <v>605</v>
      </c>
      <c r="D173" s="28" t="s">
        <v>825</v>
      </c>
      <c r="E173" s="29">
        <v>1999000</v>
      </c>
      <c r="F173" s="29">
        <v>-810324.22</v>
      </c>
      <c r="G173" s="29">
        <v>1188675.78</v>
      </c>
      <c r="H173" t="s">
        <v>731</v>
      </c>
      <c r="I173" t="s">
        <v>681</v>
      </c>
    </row>
    <row r="174" spans="1:9" customFormat="1" ht="21">
      <c r="A174" s="28" t="s">
        <v>826</v>
      </c>
      <c r="B174" s="28" t="s">
        <v>91</v>
      </c>
      <c r="C174" s="28" t="s">
        <v>605</v>
      </c>
      <c r="D174" s="28" t="s">
        <v>827</v>
      </c>
      <c r="E174" s="29">
        <v>449000</v>
      </c>
      <c r="F174" s="29">
        <v>-181823.54</v>
      </c>
      <c r="G174" s="29">
        <v>267176.46000000002</v>
      </c>
      <c r="H174" t="s">
        <v>731</v>
      </c>
      <c r="I174" t="s">
        <v>681</v>
      </c>
    </row>
    <row r="175" spans="1:9" customFormat="1" ht="21">
      <c r="A175" s="28" t="s">
        <v>828</v>
      </c>
      <c r="B175" s="28" t="s">
        <v>91</v>
      </c>
      <c r="C175" s="28" t="s">
        <v>605</v>
      </c>
      <c r="D175" s="28" t="s">
        <v>829</v>
      </c>
      <c r="E175" s="29">
        <v>1395000</v>
      </c>
      <c r="F175" s="29">
        <v>-542970.64</v>
      </c>
      <c r="G175" s="29">
        <v>852029.36</v>
      </c>
      <c r="H175" t="s">
        <v>731</v>
      </c>
      <c r="I175" t="s">
        <v>681</v>
      </c>
    </row>
    <row r="176" spans="1:9" customFormat="1" ht="21">
      <c r="A176" s="28" t="s">
        <v>830</v>
      </c>
      <c r="B176" s="28" t="s">
        <v>91</v>
      </c>
      <c r="C176" s="28" t="s">
        <v>605</v>
      </c>
      <c r="D176" s="28" t="s">
        <v>831</v>
      </c>
      <c r="E176" s="29">
        <v>79900</v>
      </c>
      <c r="F176" s="29">
        <v>-30087.919999999998</v>
      </c>
      <c r="G176" s="29">
        <v>49812.08</v>
      </c>
      <c r="H176" t="s">
        <v>731</v>
      </c>
      <c r="I176" t="s">
        <v>681</v>
      </c>
    </row>
    <row r="177" spans="1:9" customFormat="1" ht="21">
      <c r="A177" s="28" t="s">
        <v>832</v>
      </c>
      <c r="B177" s="28" t="s">
        <v>91</v>
      </c>
      <c r="C177" s="28" t="s">
        <v>605</v>
      </c>
      <c r="D177" s="28" t="s">
        <v>831</v>
      </c>
      <c r="E177" s="29">
        <v>79900</v>
      </c>
      <c r="F177" s="29">
        <v>-30087.919999999998</v>
      </c>
      <c r="G177" s="29">
        <v>49812.08</v>
      </c>
      <c r="H177" t="s">
        <v>731</v>
      </c>
      <c r="I177" t="s">
        <v>681</v>
      </c>
    </row>
    <row r="178" spans="1:9" customFormat="1" ht="21">
      <c r="A178" s="28" t="s">
        <v>833</v>
      </c>
      <c r="B178" s="28" t="s">
        <v>91</v>
      </c>
      <c r="C178" s="28" t="s">
        <v>605</v>
      </c>
      <c r="D178" s="28" t="s">
        <v>831</v>
      </c>
      <c r="E178" s="29">
        <v>79900</v>
      </c>
      <c r="F178" s="29">
        <v>-30087.919999999998</v>
      </c>
      <c r="G178" s="29">
        <v>49812.08</v>
      </c>
      <c r="H178" t="s">
        <v>731</v>
      </c>
      <c r="I178" t="s">
        <v>681</v>
      </c>
    </row>
    <row r="179" spans="1:9" customFormat="1" ht="21">
      <c r="A179" s="28" t="s">
        <v>834</v>
      </c>
      <c r="B179" s="28" t="s">
        <v>91</v>
      </c>
      <c r="C179" s="28" t="s">
        <v>605</v>
      </c>
      <c r="D179" s="28" t="s">
        <v>831</v>
      </c>
      <c r="E179" s="29">
        <v>79900</v>
      </c>
      <c r="F179" s="29">
        <v>-30087.919999999998</v>
      </c>
      <c r="G179" s="29">
        <v>49812.08</v>
      </c>
      <c r="H179" t="s">
        <v>731</v>
      </c>
      <c r="I179" t="s">
        <v>681</v>
      </c>
    </row>
    <row r="180" spans="1:9" customFormat="1" ht="21">
      <c r="A180" s="28" t="s">
        <v>835</v>
      </c>
      <c r="B180" s="28" t="s">
        <v>91</v>
      </c>
      <c r="C180" s="28" t="s">
        <v>605</v>
      </c>
      <c r="D180" s="28" t="s">
        <v>831</v>
      </c>
      <c r="E180" s="29">
        <v>79900</v>
      </c>
      <c r="F180" s="29">
        <v>-30087.919999999998</v>
      </c>
      <c r="G180" s="29">
        <v>49812.08</v>
      </c>
      <c r="H180" t="s">
        <v>731</v>
      </c>
      <c r="I180" t="s">
        <v>681</v>
      </c>
    </row>
    <row r="181" spans="1:9" customFormat="1" ht="21">
      <c r="A181" s="28" t="s">
        <v>836</v>
      </c>
      <c r="B181" s="28" t="s">
        <v>91</v>
      </c>
      <c r="C181" s="28" t="s">
        <v>605</v>
      </c>
      <c r="D181" s="28" t="s">
        <v>831</v>
      </c>
      <c r="E181" s="29">
        <v>79900</v>
      </c>
      <c r="F181" s="29">
        <v>-30087.919999999998</v>
      </c>
      <c r="G181" s="29">
        <v>49812.08</v>
      </c>
      <c r="H181" t="s">
        <v>731</v>
      </c>
      <c r="I181" t="s">
        <v>681</v>
      </c>
    </row>
    <row r="182" spans="1:9" customFormat="1" ht="21">
      <c r="A182" s="28" t="s">
        <v>837</v>
      </c>
      <c r="B182" s="28" t="s">
        <v>91</v>
      </c>
      <c r="C182" s="28" t="s">
        <v>605</v>
      </c>
      <c r="D182" s="28" t="s">
        <v>831</v>
      </c>
      <c r="E182" s="29">
        <v>79900</v>
      </c>
      <c r="F182" s="29">
        <v>-30087.919999999998</v>
      </c>
      <c r="G182" s="29">
        <v>49812.08</v>
      </c>
      <c r="H182" t="s">
        <v>731</v>
      </c>
      <c r="I182" t="s">
        <v>681</v>
      </c>
    </row>
    <row r="183" spans="1:9" customFormat="1" ht="21">
      <c r="A183" s="28" t="s">
        <v>838</v>
      </c>
      <c r="B183" s="28" t="s">
        <v>91</v>
      </c>
      <c r="C183" s="28" t="s">
        <v>605</v>
      </c>
      <c r="D183" s="28" t="s">
        <v>831</v>
      </c>
      <c r="E183" s="29">
        <v>79900</v>
      </c>
      <c r="F183" s="29">
        <v>-30087.919999999998</v>
      </c>
      <c r="G183" s="29">
        <v>49812.08</v>
      </c>
      <c r="H183" t="s">
        <v>731</v>
      </c>
      <c r="I183" t="s">
        <v>681</v>
      </c>
    </row>
    <row r="184" spans="1:9" customFormat="1" ht="21">
      <c r="A184" s="28" t="s">
        <v>839</v>
      </c>
      <c r="B184" s="28" t="s">
        <v>91</v>
      </c>
      <c r="C184" s="28" t="s">
        <v>605</v>
      </c>
      <c r="D184" s="28" t="s">
        <v>840</v>
      </c>
      <c r="E184" s="29">
        <v>995000</v>
      </c>
      <c r="F184" s="29">
        <v>-371360.88</v>
      </c>
      <c r="G184" s="29">
        <v>623639.12</v>
      </c>
      <c r="H184" t="s">
        <v>731</v>
      </c>
      <c r="I184" t="s">
        <v>681</v>
      </c>
    </row>
    <row r="185" spans="1:9" customFormat="1" ht="21">
      <c r="A185" s="28" t="s">
        <v>841</v>
      </c>
      <c r="B185" s="28" t="s">
        <v>91</v>
      </c>
      <c r="C185" s="28" t="s">
        <v>605</v>
      </c>
      <c r="D185" s="28" t="s">
        <v>840</v>
      </c>
      <c r="E185" s="29">
        <v>995000</v>
      </c>
      <c r="F185" s="29">
        <v>-371360.88</v>
      </c>
      <c r="G185" s="29">
        <v>623639.12</v>
      </c>
      <c r="H185" t="s">
        <v>731</v>
      </c>
      <c r="I185" t="s">
        <v>681</v>
      </c>
    </row>
    <row r="186" spans="1:9" customFormat="1" ht="21">
      <c r="A186" s="28" t="s">
        <v>842</v>
      </c>
      <c r="B186" s="28" t="s">
        <v>91</v>
      </c>
      <c r="C186" s="28" t="s">
        <v>605</v>
      </c>
      <c r="D186" s="28" t="s">
        <v>843</v>
      </c>
      <c r="E186" s="29">
        <v>639500</v>
      </c>
      <c r="F186" s="29">
        <v>-215231.39</v>
      </c>
      <c r="G186" s="29">
        <v>424268.61</v>
      </c>
      <c r="H186" t="s">
        <v>731</v>
      </c>
      <c r="I186" t="s">
        <v>681</v>
      </c>
    </row>
    <row r="187" spans="1:9" customFormat="1" ht="21">
      <c r="A187" s="28" t="s">
        <v>844</v>
      </c>
      <c r="B187" s="28" t="s">
        <v>91</v>
      </c>
      <c r="C187" s="28" t="s">
        <v>605</v>
      </c>
      <c r="D187" s="28" t="s">
        <v>845</v>
      </c>
      <c r="E187" s="29">
        <v>1565000</v>
      </c>
      <c r="F187" s="29">
        <v>-527423.03</v>
      </c>
      <c r="G187" s="29">
        <v>1037576.97</v>
      </c>
      <c r="H187" t="s">
        <v>731</v>
      </c>
      <c r="I187" t="s">
        <v>681</v>
      </c>
    </row>
    <row r="188" spans="1:9" customFormat="1" ht="21">
      <c r="A188" s="28" t="s">
        <v>846</v>
      </c>
      <c r="B188" s="28" t="s">
        <v>91</v>
      </c>
      <c r="C188" s="28" t="s">
        <v>605</v>
      </c>
      <c r="D188" s="28" t="s">
        <v>847</v>
      </c>
      <c r="E188" s="29">
        <v>1320000</v>
      </c>
      <c r="F188" s="29">
        <v>-1319999</v>
      </c>
      <c r="G188" s="29">
        <v>1</v>
      </c>
      <c r="H188" t="s">
        <v>731</v>
      </c>
      <c r="I188" t="s">
        <v>681</v>
      </c>
    </row>
    <row r="189" spans="1:9" customFormat="1" ht="21">
      <c r="A189" s="28" t="s">
        <v>848</v>
      </c>
      <c r="B189" s="28" t="s">
        <v>91</v>
      </c>
      <c r="C189" s="28" t="s">
        <v>605</v>
      </c>
      <c r="D189" s="28" t="s">
        <v>849</v>
      </c>
      <c r="E189" s="29">
        <v>700000</v>
      </c>
      <c r="F189" s="29">
        <v>-699999</v>
      </c>
      <c r="G189" s="29">
        <v>1</v>
      </c>
      <c r="H189" t="s">
        <v>731</v>
      </c>
      <c r="I189" t="s">
        <v>681</v>
      </c>
    </row>
    <row r="190" spans="1:9" customFormat="1" ht="21">
      <c r="A190" s="28" t="s">
        <v>850</v>
      </c>
      <c r="B190" s="28" t="s">
        <v>91</v>
      </c>
      <c r="C190" s="28" t="s">
        <v>851</v>
      </c>
      <c r="D190" s="28" t="s">
        <v>852</v>
      </c>
      <c r="E190" s="29">
        <v>330000</v>
      </c>
      <c r="F190" s="29">
        <v>-317160.98</v>
      </c>
      <c r="G190" s="29">
        <v>12839.02</v>
      </c>
      <c r="H190" t="s">
        <v>731</v>
      </c>
      <c r="I190" t="s">
        <v>681</v>
      </c>
    </row>
    <row r="191" spans="1:9" customFormat="1" ht="21">
      <c r="A191" s="28" t="s">
        <v>853</v>
      </c>
      <c r="B191" s="28" t="s">
        <v>91</v>
      </c>
      <c r="C191" s="28" t="s">
        <v>851</v>
      </c>
      <c r="D191" s="28" t="s">
        <v>852</v>
      </c>
      <c r="E191" s="29">
        <v>330000</v>
      </c>
      <c r="F191" s="29">
        <v>-317160.98</v>
      </c>
      <c r="G191" s="29">
        <v>12839.02</v>
      </c>
      <c r="H191" t="s">
        <v>731</v>
      </c>
      <c r="I191" t="s">
        <v>681</v>
      </c>
    </row>
    <row r="192" spans="1:9" customFormat="1" ht="21">
      <c r="A192" s="28" t="s">
        <v>854</v>
      </c>
      <c r="B192" s="28" t="s">
        <v>91</v>
      </c>
      <c r="C192" s="28" t="s">
        <v>851</v>
      </c>
      <c r="D192" s="28" t="s">
        <v>855</v>
      </c>
      <c r="E192" s="29">
        <v>999500</v>
      </c>
      <c r="F192" s="29">
        <v>-959154.22</v>
      </c>
      <c r="G192" s="29">
        <v>40345.78</v>
      </c>
      <c r="H192" t="s">
        <v>731</v>
      </c>
      <c r="I192" t="s">
        <v>681</v>
      </c>
    </row>
    <row r="193" spans="1:9" customFormat="1" ht="21">
      <c r="A193" s="28" t="s">
        <v>856</v>
      </c>
      <c r="B193" s="28" t="s">
        <v>91</v>
      </c>
      <c r="C193" s="28" t="s">
        <v>605</v>
      </c>
      <c r="D193" s="28" t="s">
        <v>730</v>
      </c>
      <c r="E193" s="29">
        <v>547500</v>
      </c>
      <c r="F193" s="29">
        <v>-547499</v>
      </c>
      <c r="G193" s="29">
        <v>1</v>
      </c>
      <c r="H193" t="s">
        <v>731</v>
      </c>
      <c r="I193" t="s">
        <v>32</v>
      </c>
    </row>
  </sheetData>
  <mergeCells count="105">
    <mergeCell ref="A3:A4"/>
    <mergeCell ref="B3:B4"/>
    <mergeCell ref="C3:N3"/>
    <mergeCell ref="P3:P4"/>
    <mergeCell ref="Q3:Q4"/>
    <mergeCell ref="R3:AC3"/>
    <mergeCell ref="A1:N1"/>
    <mergeCell ref="P1:AC1"/>
    <mergeCell ref="AE1:BD1"/>
    <mergeCell ref="A2:N2"/>
    <mergeCell ref="P2:AC2"/>
    <mergeCell ref="AE2:BD2"/>
    <mergeCell ref="C14:N14"/>
    <mergeCell ref="P14:P15"/>
    <mergeCell ref="Q14:Q15"/>
    <mergeCell ref="R14:AC14"/>
    <mergeCell ref="BA3:BB3"/>
    <mergeCell ref="BC3:BD3"/>
    <mergeCell ref="A12:N12"/>
    <mergeCell ref="P12:AC12"/>
    <mergeCell ref="AE12:BD12"/>
    <mergeCell ref="A13:N13"/>
    <mergeCell ref="P13:AC13"/>
    <mergeCell ref="AE13:BD13"/>
    <mergeCell ref="AO3:AP3"/>
    <mergeCell ref="AQ3:AR3"/>
    <mergeCell ref="AS3:AT3"/>
    <mergeCell ref="AU3:AV3"/>
    <mergeCell ref="AW3:AX3"/>
    <mergeCell ref="AY3:AZ3"/>
    <mergeCell ref="AE3:AE4"/>
    <mergeCell ref="AF3:AF4"/>
    <mergeCell ref="AG3:AH3"/>
    <mergeCell ref="AI3:AJ3"/>
    <mergeCell ref="AK3:AL3"/>
    <mergeCell ref="AM3:AN3"/>
    <mergeCell ref="Q25:Q26"/>
    <mergeCell ref="R25:AC25"/>
    <mergeCell ref="BA14:BB14"/>
    <mergeCell ref="BC14:BD14"/>
    <mergeCell ref="A23:N23"/>
    <mergeCell ref="P23:AC23"/>
    <mergeCell ref="AE23:BD23"/>
    <mergeCell ref="A24:N24"/>
    <mergeCell ref="P24:AC24"/>
    <mergeCell ref="AE24:BD24"/>
    <mergeCell ref="AO14:AP14"/>
    <mergeCell ref="AQ14:AR14"/>
    <mergeCell ref="AS14:AT14"/>
    <mergeCell ref="AU14:AV14"/>
    <mergeCell ref="AW14:AX14"/>
    <mergeCell ref="AY14:AZ14"/>
    <mergeCell ref="AE14:AE15"/>
    <mergeCell ref="AF14:AF15"/>
    <mergeCell ref="AG14:AH14"/>
    <mergeCell ref="AI14:AJ14"/>
    <mergeCell ref="AK14:AL14"/>
    <mergeCell ref="AM14:AN14"/>
    <mergeCell ref="A14:A15"/>
    <mergeCell ref="B14:B15"/>
    <mergeCell ref="BA25:BB25"/>
    <mergeCell ref="BC25:BD25"/>
    <mergeCell ref="A43:N43"/>
    <mergeCell ref="P43:AC43"/>
    <mergeCell ref="AE43:BD43"/>
    <mergeCell ref="A44:N44"/>
    <mergeCell ref="P44:AC44"/>
    <mergeCell ref="AE44:BD44"/>
    <mergeCell ref="AO25:AP25"/>
    <mergeCell ref="AQ25:AR25"/>
    <mergeCell ref="AS25:AT25"/>
    <mergeCell ref="AU25:AV25"/>
    <mergeCell ref="AW25:AX25"/>
    <mergeCell ref="AY25:AZ25"/>
    <mergeCell ref="AE25:AE26"/>
    <mergeCell ref="AF25:AF26"/>
    <mergeCell ref="AG25:AH25"/>
    <mergeCell ref="AI25:AJ25"/>
    <mergeCell ref="AK25:AL25"/>
    <mergeCell ref="AM25:AN25"/>
    <mergeCell ref="A25:A26"/>
    <mergeCell ref="B25:B26"/>
    <mergeCell ref="C25:N25"/>
    <mergeCell ref="P25:P26"/>
    <mergeCell ref="BA45:BB45"/>
    <mergeCell ref="BC45:BD45"/>
    <mergeCell ref="A63:I63"/>
    <mergeCell ref="AO45:AP45"/>
    <mergeCell ref="AQ45:AR45"/>
    <mergeCell ref="AS45:AT45"/>
    <mergeCell ref="AU45:AV45"/>
    <mergeCell ref="AW45:AX45"/>
    <mergeCell ref="AY45:AZ45"/>
    <mergeCell ref="AE45:AE46"/>
    <mergeCell ref="AF45:AF46"/>
    <mergeCell ref="AG45:AH45"/>
    <mergeCell ref="AI45:AJ45"/>
    <mergeCell ref="AK45:AL45"/>
    <mergeCell ref="AM45:AN45"/>
    <mergeCell ref="A45:A46"/>
    <mergeCell ref="B45:B46"/>
    <mergeCell ref="C45:N45"/>
    <mergeCell ref="P45:P46"/>
    <mergeCell ref="Q45:Q46"/>
    <mergeCell ref="R45:AC4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6935-E0EA-4625-AD0A-BB7F02DF0EA2}">
  <dimension ref="A1:BD103"/>
  <sheetViews>
    <sheetView workbookViewId="0">
      <selection activeCell="E53" sqref="E53"/>
    </sheetView>
  </sheetViews>
  <sheetFormatPr defaultColWidth="18.75" defaultRowHeight="24.6"/>
  <cols>
    <col min="1" max="1" width="6.75" style="24" bestFit="1" customWidth="1"/>
    <col min="2" max="2" width="53" style="13" bestFit="1" customWidth="1"/>
    <col min="3" max="15" width="18.75" style="13"/>
    <col min="16" max="16" width="6.75" style="24" bestFit="1" customWidth="1"/>
    <col min="17" max="17" width="53" style="13" bestFit="1" customWidth="1"/>
    <col min="18" max="30" width="18.75" style="13"/>
    <col min="31" max="31" width="6.75" style="24" bestFit="1" customWidth="1"/>
    <col min="32" max="32" width="53" style="13" bestFit="1" customWidth="1"/>
    <col min="33" max="16384" width="18.75" style="13"/>
  </cols>
  <sheetData>
    <row r="1" spans="1:56">
      <c r="A1" s="37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2"/>
      <c r="P1" s="37" t="s">
        <v>49</v>
      </c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E1" s="37" t="s">
        <v>0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</row>
    <row r="2" spans="1:56">
      <c r="A2" s="37" t="s">
        <v>1958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2"/>
      <c r="P2" s="37" t="s">
        <v>1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E2" s="37" t="s">
        <v>1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</row>
    <row r="3" spans="1:56" s="15" customFormat="1">
      <c r="A3" s="35" t="s">
        <v>2</v>
      </c>
      <c r="B3" s="35" t="s">
        <v>3</v>
      </c>
      <c r="C3" s="38" t="s">
        <v>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  <c r="O3" s="14"/>
      <c r="P3" s="35" t="s">
        <v>2</v>
      </c>
      <c r="Q3" s="35" t="s">
        <v>3</v>
      </c>
      <c r="R3" s="38" t="s">
        <v>5</v>
      </c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E3" s="35" t="s">
        <v>2</v>
      </c>
      <c r="AF3" s="35" t="s">
        <v>3</v>
      </c>
      <c r="AG3" s="33">
        <v>25112</v>
      </c>
      <c r="AH3" s="34"/>
      <c r="AI3" s="33">
        <v>25143</v>
      </c>
      <c r="AJ3" s="34"/>
      <c r="AK3" s="33">
        <v>25173</v>
      </c>
      <c r="AL3" s="34"/>
      <c r="AM3" s="33">
        <v>25204</v>
      </c>
      <c r="AN3" s="34"/>
      <c r="AO3" s="33">
        <v>25235</v>
      </c>
      <c r="AP3" s="34"/>
      <c r="AQ3" s="33">
        <v>25263</v>
      </c>
      <c r="AR3" s="34"/>
      <c r="AS3" s="33">
        <v>25294</v>
      </c>
      <c r="AT3" s="34"/>
      <c r="AU3" s="33">
        <v>25324</v>
      </c>
      <c r="AV3" s="34"/>
      <c r="AW3" s="33">
        <v>25355</v>
      </c>
      <c r="AX3" s="34"/>
      <c r="AY3" s="33">
        <v>25385</v>
      </c>
      <c r="AZ3" s="34"/>
      <c r="BA3" s="33">
        <v>25416</v>
      </c>
      <c r="BB3" s="34"/>
      <c r="BC3" s="33">
        <v>25447</v>
      </c>
      <c r="BD3" s="34"/>
    </row>
    <row r="4" spans="1:56" s="15" customFormat="1">
      <c r="A4" s="36"/>
      <c r="B4" s="36"/>
      <c r="C4" s="16">
        <v>25112</v>
      </c>
      <c r="D4" s="16">
        <v>25143</v>
      </c>
      <c r="E4" s="16">
        <v>25173</v>
      </c>
      <c r="F4" s="16">
        <v>25204</v>
      </c>
      <c r="G4" s="16">
        <v>25235</v>
      </c>
      <c r="H4" s="16">
        <v>25263</v>
      </c>
      <c r="I4" s="16">
        <v>25294</v>
      </c>
      <c r="J4" s="16">
        <v>25324</v>
      </c>
      <c r="K4" s="16">
        <v>25355</v>
      </c>
      <c r="L4" s="16">
        <v>25385</v>
      </c>
      <c r="M4" s="16">
        <v>25416</v>
      </c>
      <c r="N4" s="16">
        <v>25447</v>
      </c>
      <c r="P4" s="36"/>
      <c r="Q4" s="36"/>
      <c r="R4" s="16">
        <v>25112</v>
      </c>
      <c r="S4" s="16">
        <v>25143</v>
      </c>
      <c r="T4" s="16">
        <v>25173</v>
      </c>
      <c r="U4" s="16">
        <v>25204</v>
      </c>
      <c r="V4" s="16">
        <v>25235</v>
      </c>
      <c r="W4" s="16">
        <v>25263</v>
      </c>
      <c r="X4" s="16">
        <v>25294</v>
      </c>
      <c r="Y4" s="16">
        <v>25324</v>
      </c>
      <c r="Z4" s="16">
        <v>25355</v>
      </c>
      <c r="AA4" s="16">
        <v>25385</v>
      </c>
      <c r="AB4" s="16">
        <v>25416</v>
      </c>
      <c r="AC4" s="16">
        <v>25447</v>
      </c>
      <c r="AE4" s="36"/>
      <c r="AF4" s="36"/>
      <c r="AG4" s="16" t="s">
        <v>85</v>
      </c>
      <c r="AH4" s="16" t="s">
        <v>86</v>
      </c>
      <c r="AI4" s="16" t="s">
        <v>85</v>
      </c>
      <c r="AJ4" s="16" t="s">
        <v>86</v>
      </c>
      <c r="AK4" s="16" t="s">
        <v>85</v>
      </c>
      <c r="AL4" s="16" t="s">
        <v>86</v>
      </c>
      <c r="AM4" s="16" t="s">
        <v>85</v>
      </c>
      <c r="AN4" s="16" t="s">
        <v>86</v>
      </c>
      <c r="AO4" s="16" t="s">
        <v>85</v>
      </c>
      <c r="AP4" s="16" t="s">
        <v>86</v>
      </c>
      <c r="AQ4" s="16" t="s">
        <v>85</v>
      </c>
      <c r="AR4" s="16" t="s">
        <v>86</v>
      </c>
      <c r="AS4" s="16" t="s">
        <v>85</v>
      </c>
      <c r="AT4" s="16" t="s">
        <v>86</v>
      </c>
      <c r="AU4" s="16" t="s">
        <v>85</v>
      </c>
      <c r="AV4" s="16" t="s">
        <v>86</v>
      </c>
      <c r="AW4" s="16" t="s">
        <v>85</v>
      </c>
      <c r="AX4" s="16" t="s">
        <v>86</v>
      </c>
      <c r="AY4" s="16" t="s">
        <v>85</v>
      </c>
      <c r="AZ4" s="16" t="s">
        <v>86</v>
      </c>
      <c r="BA4" s="16" t="s">
        <v>85</v>
      </c>
      <c r="BB4" s="16" t="s">
        <v>86</v>
      </c>
      <c r="BC4" s="16" t="s">
        <v>85</v>
      </c>
      <c r="BD4" s="16" t="s">
        <v>86</v>
      </c>
    </row>
    <row r="5" spans="1:56">
      <c r="A5" s="17">
        <v>1</v>
      </c>
      <c r="B5" s="18" t="s">
        <v>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P5" s="17">
        <v>1</v>
      </c>
      <c r="Q5" s="18" t="s">
        <v>8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E5" s="17">
        <v>1</v>
      </c>
      <c r="AF5" s="18" t="s">
        <v>8</v>
      </c>
      <c r="AG5" s="19">
        <f>+C5-R5</f>
        <v>0</v>
      </c>
      <c r="AH5" s="19" t="e">
        <f>+AG5/C5*100</f>
        <v>#DIV/0!</v>
      </c>
      <c r="AI5" s="19">
        <f>+D5-S5</f>
        <v>0</v>
      </c>
      <c r="AJ5" s="19" t="e">
        <f>+AI5/D5*100</f>
        <v>#DIV/0!</v>
      </c>
      <c r="AK5" s="19">
        <f>+E5-T5</f>
        <v>0</v>
      </c>
      <c r="AL5" s="19" t="e">
        <f>+AK5/E5*100</f>
        <v>#DIV/0!</v>
      </c>
      <c r="AM5" s="19">
        <f>+F5-U5</f>
        <v>0</v>
      </c>
      <c r="AN5" s="19" t="e">
        <f>+AM5/F5*100</f>
        <v>#DIV/0!</v>
      </c>
      <c r="AO5" s="19">
        <f>+G5-V5</f>
        <v>0</v>
      </c>
      <c r="AP5" s="19" t="e">
        <f>+AO5/G5*100</f>
        <v>#DIV/0!</v>
      </c>
      <c r="AQ5" s="19">
        <f>+H5-W5</f>
        <v>0</v>
      </c>
      <c r="AR5" s="19" t="e">
        <f>+AQ5/H5*100</f>
        <v>#DIV/0!</v>
      </c>
      <c r="AS5" s="19">
        <f>+I5-X5</f>
        <v>0</v>
      </c>
      <c r="AT5" s="19" t="e">
        <f>+AS5/I5*100</f>
        <v>#DIV/0!</v>
      </c>
      <c r="AU5" s="19">
        <f>+J5-Y5</f>
        <v>0</v>
      </c>
      <c r="AV5" s="19" t="e">
        <f>+AU5/J5*100</f>
        <v>#DIV/0!</v>
      </c>
      <c r="AW5" s="19">
        <f>+K5-Z5</f>
        <v>0</v>
      </c>
      <c r="AX5" s="19" t="e">
        <f>+AW5/K5*100</f>
        <v>#DIV/0!</v>
      </c>
      <c r="AY5" s="19">
        <f>+L5-AA5</f>
        <v>0</v>
      </c>
      <c r="AZ5" s="19" t="e">
        <f>+AY5/L5*100</f>
        <v>#DIV/0!</v>
      </c>
      <c r="BA5" s="19">
        <f>+M5-AB5</f>
        <v>0</v>
      </c>
      <c r="BB5" s="19" t="e">
        <f>+BA5/M5*100</f>
        <v>#DIV/0!</v>
      </c>
      <c r="BC5" s="19">
        <f>+N5-AC5</f>
        <v>0</v>
      </c>
      <c r="BD5" s="19" t="e">
        <f>+BC5/N5*100</f>
        <v>#DIV/0!</v>
      </c>
    </row>
    <row r="6" spans="1:56">
      <c r="A6" s="17">
        <v>2</v>
      </c>
      <c r="B6" s="18" t="s">
        <v>9</v>
      </c>
      <c r="C6" s="19">
        <v>39349984</v>
      </c>
      <c r="D6" s="19">
        <v>39349984</v>
      </c>
      <c r="E6" s="19">
        <v>39349984</v>
      </c>
      <c r="F6" s="19"/>
      <c r="G6" s="19"/>
      <c r="H6" s="19"/>
      <c r="I6" s="19"/>
      <c r="J6" s="19"/>
      <c r="K6" s="19"/>
      <c r="L6" s="19"/>
      <c r="M6" s="19"/>
      <c r="N6" s="19"/>
      <c r="P6" s="17">
        <v>2</v>
      </c>
      <c r="Q6" s="18" t="s">
        <v>9</v>
      </c>
      <c r="R6" s="19">
        <v>39349984</v>
      </c>
      <c r="S6" s="19">
        <v>39349984</v>
      </c>
      <c r="T6" s="19">
        <v>39349984</v>
      </c>
      <c r="U6" s="19"/>
      <c r="V6" s="19"/>
      <c r="W6" s="19"/>
      <c r="X6" s="19"/>
      <c r="Y6" s="19"/>
      <c r="Z6" s="19"/>
      <c r="AA6" s="19"/>
      <c r="AB6" s="19"/>
      <c r="AC6" s="19"/>
      <c r="AE6" s="17">
        <v>2</v>
      </c>
      <c r="AF6" s="18" t="s">
        <v>9</v>
      </c>
      <c r="AG6" s="19">
        <f t="shared" ref="AG6:AG10" si="0">+C6-R6</f>
        <v>0</v>
      </c>
      <c r="AH6" s="19">
        <f t="shared" ref="AH6:AH10" si="1">+AG6/C6*100</f>
        <v>0</v>
      </c>
      <c r="AI6" s="19">
        <f t="shared" ref="AI6:AI10" si="2">+D6-S6</f>
        <v>0</v>
      </c>
      <c r="AJ6" s="19">
        <f t="shared" ref="AJ6:AJ10" si="3">+AI6/D6*100</f>
        <v>0</v>
      </c>
      <c r="AK6" s="19">
        <f t="shared" ref="AK6:AK10" si="4">+E6-T6</f>
        <v>0</v>
      </c>
      <c r="AL6" s="19">
        <f t="shared" ref="AL6:AL10" si="5">+AK6/E6*100</f>
        <v>0</v>
      </c>
      <c r="AM6" s="19">
        <f t="shared" ref="AM6:AM10" si="6">+F6-U6</f>
        <v>0</v>
      </c>
      <c r="AN6" s="19" t="e">
        <f t="shared" ref="AN6:AN10" si="7">+AM6/F6*100</f>
        <v>#DIV/0!</v>
      </c>
      <c r="AO6" s="19">
        <f t="shared" ref="AO6:AO10" si="8">+G6-V6</f>
        <v>0</v>
      </c>
      <c r="AP6" s="19" t="e">
        <f t="shared" ref="AP6:AP10" si="9">+AO6/G6*100</f>
        <v>#DIV/0!</v>
      </c>
      <c r="AQ6" s="19">
        <f t="shared" ref="AQ6:AQ10" si="10">+H6-W6</f>
        <v>0</v>
      </c>
      <c r="AR6" s="19" t="e">
        <f t="shared" ref="AR6:AR10" si="11">+AQ6/H6*100</f>
        <v>#DIV/0!</v>
      </c>
      <c r="AS6" s="19">
        <f t="shared" ref="AS6:AS10" si="12">+I6-X6</f>
        <v>0</v>
      </c>
      <c r="AT6" s="19" t="e">
        <f t="shared" ref="AT6:AT10" si="13">+AS6/I6*100</f>
        <v>#DIV/0!</v>
      </c>
      <c r="AU6" s="19">
        <f t="shared" ref="AU6:AU10" si="14">+J6-Y6</f>
        <v>0</v>
      </c>
      <c r="AV6" s="19" t="e">
        <f t="shared" ref="AV6:AV10" si="15">+AU6/J6*100</f>
        <v>#DIV/0!</v>
      </c>
      <c r="AW6" s="19">
        <f t="shared" ref="AW6:AW10" si="16">+K6-Z6</f>
        <v>0</v>
      </c>
      <c r="AX6" s="19" t="e">
        <f t="shared" ref="AX6:AX10" si="17">+AW6/K6*100</f>
        <v>#DIV/0!</v>
      </c>
      <c r="AY6" s="19">
        <f t="shared" ref="AY6:AY10" si="18">+L6-AA6</f>
        <v>0</v>
      </c>
      <c r="AZ6" s="19" t="e">
        <f t="shared" ref="AZ6:AZ10" si="19">+AY6/L6*100</f>
        <v>#DIV/0!</v>
      </c>
      <c r="BA6" s="19">
        <f t="shared" ref="BA6:BA10" si="20">+M6-AB6</f>
        <v>0</v>
      </c>
      <c r="BB6" s="19" t="e">
        <f t="shared" ref="BB6:BB10" si="21">+BA6/M6*100</f>
        <v>#DIV/0!</v>
      </c>
      <c r="BC6" s="19">
        <f t="shared" ref="BC6:BC10" si="22">+N6-AC6</f>
        <v>0</v>
      </c>
      <c r="BD6" s="19" t="e">
        <f t="shared" ref="BD6:BD10" si="23">+BC6/N6*100</f>
        <v>#DIV/0!</v>
      </c>
    </row>
    <row r="7" spans="1:56">
      <c r="A7" s="17">
        <v>3</v>
      </c>
      <c r="B7" s="18" t="s">
        <v>11</v>
      </c>
      <c r="C7" s="19">
        <v>22872110.670000002</v>
      </c>
      <c r="D7" s="19">
        <v>22872110.670000002</v>
      </c>
      <c r="E7" s="19">
        <v>22872110.670000002</v>
      </c>
      <c r="F7" s="19"/>
      <c r="G7" s="19"/>
      <c r="H7" s="19"/>
      <c r="I7" s="19"/>
      <c r="J7" s="19"/>
      <c r="K7" s="19"/>
      <c r="L7" s="19"/>
      <c r="M7" s="19"/>
      <c r="N7" s="19"/>
      <c r="P7" s="17">
        <v>3</v>
      </c>
      <c r="Q7" s="18" t="s">
        <v>11</v>
      </c>
      <c r="R7" s="19">
        <v>22872110.670000002</v>
      </c>
      <c r="S7" s="19">
        <v>22872110.670000002</v>
      </c>
      <c r="T7" s="19">
        <v>22872110.670000002</v>
      </c>
      <c r="U7" s="19"/>
      <c r="V7" s="19"/>
      <c r="W7" s="19"/>
      <c r="X7" s="19"/>
      <c r="Y7" s="19"/>
      <c r="Z7" s="19"/>
      <c r="AA7" s="19"/>
      <c r="AB7" s="19"/>
      <c r="AC7" s="19"/>
      <c r="AE7" s="17">
        <v>3</v>
      </c>
      <c r="AF7" s="18" t="s">
        <v>11</v>
      </c>
      <c r="AG7" s="19">
        <f t="shared" si="0"/>
        <v>0</v>
      </c>
      <c r="AH7" s="19">
        <f t="shared" si="1"/>
        <v>0</v>
      </c>
      <c r="AI7" s="19">
        <f t="shared" si="2"/>
        <v>0</v>
      </c>
      <c r="AJ7" s="19">
        <f t="shared" si="3"/>
        <v>0</v>
      </c>
      <c r="AK7" s="19">
        <f t="shared" si="4"/>
        <v>0</v>
      </c>
      <c r="AL7" s="19">
        <f t="shared" si="5"/>
        <v>0</v>
      </c>
      <c r="AM7" s="19">
        <f t="shared" si="6"/>
        <v>0</v>
      </c>
      <c r="AN7" s="19" t="e">
        <f t="shared" si="7"/>
        <v>#DIV/0!</v>
      </c>
      <c r="AO7" s="19">
        <f t="shared" si="8"/>
        <v>0</v>
      </c>
      <c r="AP7" s="19" t="e">
        <f t="shared" si="9"/>
        <v>#DIV/0!</v>
      </c>
      <c r="AQ7" s="19">
        <f t="shared" si="10"/>
        <v>0</v>
      </c>
      <c r="AR7" s="19" t="e">
        <f t="shared" si="11"/>
        <v>#DIV/0!</v>
      </c>
      <c r="AS7" s="19">
        <f t="shared" si="12"/>
        <v>0</v>
      </c>
      <c r="AT7" s="19" t="e">
        <f t="shared" si="13"/>
        <v>#DIV/0!</v>
      </c>
      <c r="AU7" s="19">
        <f t="shared" si="14"/>
        <v>0</v>
      </c>
      <c r="AV7" s="19" t="e">
        <f t="shared" si="15"/>
        <v>#DIV/0!</v>
      </c>
      <c r="AW7" s="19">
        <f t="shared" si="16"/>
        <v>0</v>
      </c>
      <c r="AX7" s="19" t="e">
        <f t="shared" si="17"/>
        <v>#DIV/0!</v>
      </c>
      <c r="AY7" s="19">
        <f t="shared" si="18"/>
        <v>0</v>
      </c>
      <c r="AZ7" s="19" t="e">
        <f t="shared" si="19"/>
        <v>#DIV/0!</v>
      </c>
      <c r="BA7" s="19">
        <f t="shared" si="20"/>
        <v>0</v>
      </c>
      <c r="BB7" s="19" t="e">
        <f t="shared" si="21"/>
        <v>#DIV/0!</v>
      </c>
      <c r="BC7" s="19">
        <f t="shared" si="22"/>
        <v>0</v>
      </c>
      <c r="BD7" s="19" t="e">
        <f t="shared" si="23"/>
        <v>#DIV/0!</v>
      </c>
    </row>
    <row r="8" spans="1:56">
      <c r="A8" s="17">
        <v>4</v>
      </c>
      <c r="B8" s="18" t="s">
        <v>13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P8" s="17">
        <v>4</v>
      </c>
      <c r="Q8" s="18" t="s">
        <v>13</v>
      </c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E8" s="17">
        <v>4</v>
      </c>
      <c r="AF8" s="18" t="s">
        <v>13</v>
      </c>
      <c r="AG8" s="19">
        <f t="shared" si="0"/>
        <v>0</v>
      </c>
      <c r="AH8" s="19" t="e">
        <f t="shared" si="1"/>
        <v>#DIV/0!</v>
      </c>
      <c r="AI8" s="19">
        <f t="shared" si="2"/>
        <v>0</v>
      </c>
      <c r="AJ8" s="19" t="e">
        <f t="shared" si="3"/>
        <v>#DIV/0!</v>
      </c>
      <c r="AK8" s="19">
        <f t="shared" si="4"/>
        <v>0</v>
      </c>
      <c r="AL8" s="19" t="e">
        <f t="shared" si="5"/>
        <v>#DIV/0!</v>
      </c>
      <c r="AM8" s="19">
        <f t="shared" si="6"/>
        <v>0</v>
      </c>
      <c r="AN8" s="19" t="e">
        <f t="shared" si="7"/>
        <v>#DIV/0!</v>
      </c>
      <c r="AO8" s="19">
        <f t="shared" si="8"/>
        <v>0</v>
      </c>
      <c r="AP8" s="19" t="e">
        <f t="shared" si="9"/>
        <v>#DIV/0!</v>
      </c>
      <c r="AQ8" s="19">
        <f t="shared" si="10"/>
        <v>0</v>
      </c>
      <c r="AR8" s="19" t="e">
        <f t="shared" si="11"/>
        <v>#DIV/0!</v>
      </c>
      <c r="AS8" s="19">
        <f t="shared" si="12"/>
        <v>0</v>
      </c>
      <c r="AT8" s="19" t="e">
        <f t="shared" si="13"/>
        <v>#DIV/0!</v>
      </c>
      <c r="AU8" s="19">
        <f t="shared" si="14"/>
        <v>0</v>
      </c>
      <c r="AV8" s="19" t="e">
        <f t="shared" si="15"/>
        <v>#DIV/0!</v>
      </c>
      <c r="AW8" s="19">
        <f t="shared" si="16"/>
        <v>0</v>
      </c>
      <c r="AX8" s="19" t="e">
        <f t="shared" si="17"/>
        <v>#DIV/0!</v>
      </c>
      <c r="AY8" s="19">
        <f t="shared" si="18"/>
        <v>0</v>
      </c>
      <c r="AZ8" s="19" t="e">
        <f t="shared" si="19"/>
        <v>#DIV/0!</v>
      </c>
      <c r="BA8" s="19">
        <f t="shared" si="20"/>
        <v>0</v>
      </c>
      <c r="BB8" s="19" t="e">
        <f t="shared" si="21"/>
        <v>#DIV/0!</v>
      </c>
      <c r="BC8" s="19">
        <f t="shared" si="22"/>
        <v>0</v>
      </c>
      <c r="BD8" s="19" t="e">
        <f t="shared" si="23"/>
        <v>#DIV/0!</v>
      </c>
    </row>
    <row r="9" spans="1:56">
      <c r="A9" s="17">
        <v>5</v>
      </c>
      <c r="B9" s="18" t="s">
        <v>15</v>
      </c>
      <c r="C9" s="19">
        <v>9997542.6699999999</v>
      </c>
      <c r="D9" s="19">
        <v>9997542.6699999999</v>
      </c>
      <c r="E9" s="19">
        <v>9997542.6699999999</v>
      </c>
      <c r="F9" s="19"/>
      <c r="G9" s="19"/>
      <c r="H9" s="19"/>
      <c r="I9" s="19"/>
      <c r="J9" s="19"/>
      <c r="K9" s="19"/>
      <c r="L9" s="19"/>
      <c r="M9" s="19"/>
      <c r="N9" s="19"/>
      <c r="P9" s="17">
        <v>5</v>
      </c>
      <c r="Q9" s="18" t="s">
        <v>15</v>
      </c>
      <c r="R9" s="19">
        <v>13165542.67</v>
      </c>
      <c r="S9" s="19">
        <v>13165542.67</v>
      </c>
      <c r="T9" s="19">
        <v>13165542.67</v>
      </c>
      <c r="U9" s="19"/>
      <c r="V9" s="19"/>
      <c r="W9" s="19"/>
      <c r="X9" s="19"/>
      <c r="Y9" s="19"/>
      <c r="Z9" s="19"/>
      <c r="AA9" s="19"/>
      <c r="AB9" s="19"/>
      <c r="AC9" s="19"/>
      <c r="AE9" s="17">
        <v>5</v>
      </c>
      <c r="AF9" s="18" t="s">
        <v>15</v>
      </c>
      <c r="AG9" s="19">
        <f t="shared" si="0"/>
        <v>-3168000</v>
      </c>
      <c r="AH9" s="19">
        <f t="shared" si="1"/>
        <v>-31.687786734897728</v>
      </c>
      <c r="AI9" s="19">
        <f t="shared" si="2"/>
        <v>-3168000</v>
      </c>
      <c r="AJ9" s="19">
        <f t="shared" si="3"/>
        <v>-31.687786734897728</v>
      </c>
      <c r="AK9" s="19">
        <f t="shared" si="4"/>
        <v>-3168000</v>
      </c>
      <c r="AL9" s="19">
        <f t="shared" si="5"/>
        <v>-31.687786734897728</v>
      </c>
      <c r="AM9" s="19">
        <f t="shared" si="6"/>
        <v>0</v>
      </c>
      <c r="AN9" s="19" t="e">
        <f t="shared" si="7"/>
        <v>#DIV/0!</v>
      </c>
      <c r="AO9" s="19">
        <f t="shared" si="8"/>
        <v>0</v>
      </c>
      <c r="AP9" s="19" t="e">
        <f t="shared" si="9"/>
        <v>#DIV/0!</v>
      </c>
      <c r="AQ9" s="19">
        <f t="shared" si="10"/>
        <v>0</v>
      </c>
      <c r="AR9" s="19" t="e">
        <f t="shared" si="11"/>
        <v>#DIV/0!</v>
      </c>
      <c r="AS9" s="19">
        <f t="shared" si="12"/>
        <v>0</v>
      </c>
      <c r="AT9" s="19" t="e">
        <f t="shared" si="13"/>
        <v>#DIV/0!</v>
      </c>
      <c r="AU9" s="19">
        <f t="shared" si="14"/>
        <v>0</v>
      </c>
      <c r="AV9" s="19" t="e">
        <f t="shared" si="15"/>
        <v>#DIV/0!</v>
      </c>
      <c r="AW9" s="19">
        <f t="shared" si="16"/>
        <v>0</v>
      </c>
      <c r="AX9" s="19" t="e">
        <f t="shared" si="17"/>
        <v>#DIV/0!</v>
      </c>
      <c r="AY9" s="19">
        <f t="shared" si="18"/>
        <v>0</v>
      </c>
      <c r="AZ9" s="19" t="e">
        <f t="shared" si="19"/>
        <v>#DIV/0!</v>
      </c>
      <c r="BA9" s="19">
        <f t="shared" si="20"/>
        <v>0</v>
      </c>
      <c r="BB9" s="19" t="e">
        <f t="shared" si="21"/>
        <v>#DIV/0!</v>
      </c>
      <c r="BC9" s="19">
        <f t="shared" si="22"/>
        <v>0</v>
      </c>
      <c r="BD9" s="19" t="e">
        <f t="shared" si="23"/>
        <v>#DIV/0!</v>
      </c>
    </row>
    <row r="10" spans="1:56" s="22" customFormat="1" ht="25.2" thickBot="1">
      <c r="A10" s="20"/>
      <c r="B10" s="20" t="s">
        <v>17</v>
      </c>
      <c r="C10" s="21">
        <f>SUM(C5:C9)</f>
        <v>72219637.340000004</v>
      </c>
      <c r="D10" s="21">
        <f t="shared" ref="D10:N10" si="24">SUM(D5:D9)</f>
        <v>72219637.340000004</v>
      </c>
      <c r="E10" s="21">
        <f t="shared" si="24"/>
        <v>72219637.340000004</v>
      </c>
      <c r="F10" s="21">
        <f t="shared" si="24"/>
        <v>0</v>
      </c>
      <c r="G10" s="21">
        <f t="shared" si="24"/>
        <v>0</v>
      </c>
      <c r="H10" s="21">
        <f t="shared" si="24"/>
        <v>0</v>
      </c>
      <c r="I10" s="21">
        <f t="shared" si="24"/>
        <v>0</v>
      </c>
      <c r="J10" s="21">
        <f t="shared" si="24"/>
        <v>0</v>
      </c>
      <c r="K10" s="21">
        <f t="shared" si="24"/>
        <v>0</v>
      </c>
      <c r="L10" s="21">
        <f t="shared" si="24"/>
        <v>0</v>
      </c>
      <c r="M10" s="21">
        <f t="shared" si="24"/>
        <v>0</v>
      </c>
      <c r="N10" s="21">
        <f t="shared" si="24"/>
        <v>0</v>
      </c>
      <c r="P10" s="20"/>
      <c r="Q10" s="20" t="s">
        <v>17</v>
      </c>
      <c r="R10" s="21">
        <f>SUM(R5:R9)</f>
        <v>75387637.340000004</v>
      </c>
      <c r="S10" s="21">
        <f t="shared" ref="S10:AC10" si="25">SUM(S5:S9)</f>
        <v>75387637.340000004</v>
      </c>
      <c r="T10" s="21">
        <f t="shared" si="25"/>
        <v>75387637.340000004</v>
      </c>
      <c r="U10" s="21">
        <f t="shared" si="25"/>
        <v>0</v>
      </c>
      <c r="V10" s="21">
        <f t="shared" si="25"/>
        <v>0</v>
      </c>
      <c r="W10" s="21">
        <f t="shared" si="25"/>
        <v>0</v>
      </c>
      <c r="X10" s="21">
        <f t="shared" si="25"/>
        <v>0</v>
      </c>
      <c r="Y10" s="21">
        <f t="shared" si="25"/>
        <v>0</v>
      </c>
      <c r="Z10" s="21">
        <f t="shared" si="25"/>
        <v>0</v>
      </c>
      <c r="AA10" s="21">
        <f t="shared" si="25"/>
        <v>0</v>
      </c>
      <c r="AB10" s="21">
        <f t="shared" si="25"/>
        <v>0</v>
      </c>
      <c r="AC10" s="21">
        <f t="shared" si="25"/>
        <v>0</v>
      </c>
      <c r="AE10" s="20"/>
      <c r="AF10" s="20" t="s">
        <v>17</v>
      </c>
      <c r="AG10" s="23">
        <f t="shared" si="0"/>
        <v>-3168000</v>
      </c>
      <c r="AH10" s="23">
        <f t="shared" si="1"/>
        <v>-4.3866185385084346</v>
      </c>
      <c r="AI10" s="23">
        <f t="shared" si="2"/>
        <v>-3168000</v>
      </c>
      <c r="AJ10" s="23">
        <f t="shared" si="3"/>
        <v>-4.3866185385084346</v>
      </c>
      <c r="AK10" s="23">
        <f t="shared" si="4"/>
        <v>-3168000</v>
      </c>
      <c r="AL10" s="23">
        <f t="shared" si="5"/>
        <v>-4.3866185385084346</v>
      </c>
      <c r="AM10" s="23">
        <f t="shared" si="6"/>
        <v>0</v>
      </c>
      <c r="AN10" s="23" t="e">
        <f t="shared" si="7"/>
        <v>#DIV/0!</v>
      </c>
      <c r="AO10" s="23">
        <f t="shared" si="8"/>
        <v>0</v>
      </c>
      <c r="AP10" s="23" t="e">
        <f t="shared" si="9"/>
        <v>#DIV/0!</v>
      </c>
      <c r="AQ10" s="23">
        <f t="shared" si="10"/>
        <v>0</v>
      </c>
      <c r="AR10" s="23" t="e">
        <f t="shared" si="11"/>
        <v>#DIV/0!</v>
      </c>
      <c r="AS10" s="23">
        <f t="shared" si="12"/>
        <v>0</v>
      </c>
      <c r="AT10" s="23" t="e">
        <f t="shared" si="13"/>
        <v>#DIV/0!</v>
      </c>
      <c r="AU10" s="23">
        <f t="shared" si="14"/>
        <v>0</v>
      </c>
      <c r="AV10" s="23" t="e">
        <f t="shared" si="15"/>
        <v>#DIV/0!</v>
      </c>
      <c r="AW10" s="23">
        <f t="shared" si="16"/>
        <v>0</v>
      </c>
      <c r="AX10" s="23" t="e">
        <f t="shared" si="17"/>
        <v>#DIV/0!</v>
      </c>
      <c r="AY10" s="23">
        <f t="shared" si="18"/>
        <v>0</v>
      </c>
      <c r="AZ10" s="23" t="e">
        <f t="shared" si="19"/>
        <v>#DIV/0!</v>
      </c>
      <c r="BA10" s="23">
        <f t="shared" si="20"/>
        <v>0</v>
      </c>
      <c r="BB10" s="23" t="e">
        <f t="shared" si="21"/>
        <v>#DIV/0!</v>
      </c>
      <c r="BC10" s="23">
        <f t="shared" si="22"/>
        <v>0</v>
      </c>
      <c r="BD10" s="23" t="e">
        <f t="shared" si="23"/>
        <v>#DIV/0!</v>
      </c>
    </row>
    <row r="11" spans="1:56" ht="25.2" thickTop="1"/>
    <row r="12" spans="1:56">
      <c r="A12" s="37" t="s">
        <v>46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P12" s="37" t="s">
        <v>50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E12" s="37" t="s">
        <v>87</v>
      </c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</row>
    <row r="13" spans="1:56">
      <c r="A13" s="37" t="s">
        <v>1958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P13" s="37" t="s">
        <v>1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E13" s="37" t="s">
        <v>1</v>
      </c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</row>
    <row r="14" spans="1:56" s="15" customFormat="1">
      <c r="A14" s="35" t="s">
        <v>2</v>
      </c>
      <c r="B14" s="35" t="s">
        <v>3</v>
      </c>
      <c r="C14" s="38" t="s">
        <v>4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0"/>
      <c r="P14" s="35" t="s">
        <v>2</v>
      </c>
      <c r="Q14" s="35" t="s">
        <v>3</v>
      </c>
      <c r="R14" s="38" t="s">
        <v>5</v>
      </c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40"/>
      <c r="AE14" s="35" t="s">
        <v>2</v>
      </c>
      <c r="AF14" s="35" t="s">
        <v>3</v>
      </c>
      <c r="AG14" s="33">
        <v>25112</v>
      </c>
      <c r="AH14" s="34"/>
      <c r="AI14" s="33">
        <v>25143</v>
      </c>
      <c r="AJ14" s="34"/>
      <c r="AK14" s="33">
        <v>25173</v>
      </c>
      <c r="AL14" s="34"/>
      <c r="AM14" s="33">
        <v>25204</v>
      </c>
      <c r="AN14" s="34"/>
      <c r="AO14" s="33">
        <v>25235</v>
      </c>
      <c r="AP14" s="34"/>
      <c r="AQ14" s="33">
        <v>25263</v>
      </c>
      <c r="AR14" s="34"/>
      <c r="AS14" s="33">
        <v>25294</v>
      </c>
      <c r="AT14" s="34"/>
      <c r="AU14" s="33">
        <v>25324</v>
      </c>
      <c r="AV14" s="34"/>
      <c r="AW14" s="33">
        <v>25355</v>
      </c>
      <c r="AX14" s="34"/>
      <c r="AY14" s="33">
        <v>25385</v>
      </c>
      <c r="AZ14" s="34"/>
      <c r="BA14" s="33">
        <v>25416</v>
      </c>
      <c r="BB14" s="34"/>
      <c r="BC14" s="33">
        <v>25447</v>
      </c>
      <c r="BD14" s="34"/>
    </row>
    <row r="15" spans="1:56" s="15" customFormat="1">
      <c r="A15" s="36"/>
      <c r="B15" s="36"/>
      <c r="C15" s="16">
        <v>25112</v>
      </c>
      <c r="D15" s="16">
        <v>25143</v>
      </c>
      <c r="E15" s="16">
        <v>25173</v>
      </c>
      <c r="F15" s="16">
        <v>25204</v>
      </c>
      <c r="G15" s="16">
        <v>25235</v>
      </c>
      <c r="H15" s="16">
        <v>25263</v>
      </c>
      <c r="I15" s="16">
        <v>25294</v>
      </c>
      <c r="J15" s="16">
        <v>25324</v>
      </c>
      <c r="K15" s="16">
        <v>25355</v>
      </c>
      <c r="L15" s="16">
        <v>25385</v>
      </c>
      <c r="M15" s="16">
        <v>25416</v>
      </c>
      <c r="N15" s="16">
        <v>25447</v>
      </c>
      <c r="P15" s="36"/>
      <c r="Q15" s="36"/>
      <c r="R15" s="16">
        <v>25112</v>
      </c>
      <c r="S15" s="16">
        <v>25143</v>
      </c>
      <c r="T15" s="16">
        <v>25173</v>
      </c>
      <c r="U15" s="16">
        <v>25204</v>
      </c>
      <c r="V15" s="16">
        <v>25235</v>
      </c>
      <c r="W15" s="16">
        <v>25263</v>
      </c>
      <c r="X15" s="16">
        <v>25294</v>
      </c>
      <c r="Y15" s="16">
        <v>25324</v>
      </c>
      <c r="Z15" s="16">
        <v>25355</v>
      </c>
      <c r="AA15" s="16">
        <v>25385</v>
      </c>
      <c r="AB15" s="16">
        <v>25416</v>
      </c>
      <c r="AC15" s="16">
        <v>25447</v>
      </c>
      <c r="AE15" s="36"/>
      <c r="AF15" s="36"/>
      <c r="AG15" s="16" t="s">
        <v>85</v>
      </c>
      <c r="AH15" s="16" t="s">
        <v>86</v>
      </c>
      <c r="AI15" s="16" t="s">
        <v>85</v>
      </c>
      <c r="AJ15" s="16" t="s">
        <v>86</v>
      </c>
      <c r="AK15" s="16" t="s">
        <v>85</v>
      </c>
      <c r="AL15" s="16" t="s">
        <v>86</v>
      </c>
      <c r="AM15" s="16" t="s">
        <v>85</v>
      </c>
      <c r="AN15" s="16" t="s">
        <v>86</v>
      </c>
      <c r="AO15" s="16" t="s">
        <v>85</v>
      </c>
      <c r="AP15" s="16" t="s">
        <v>86</v>
      </c>
      <c r="AQ15" s="16" t="s">
        <v>85</v>
      </c>
      <c r="AR15" s="16" t="s">
        <v>86</v>
      </c>
      <c r="AS15" s="16" t="s">
        <v>85</v>
      </c>
      <c r="AT15" s="16" t="s">
        <v>86</v>
      </c>
      <c r="AU15" s="16" t="s">
        <v>85</v>
      </c>
      <c r="AV15" s="16" t="s">
        <v>86</v>
      </c>
      <c r="AW15" s="16" t="s">
        <v>85</v>
      </c>
      <c r="AX15" s="16" t="s">
        <v>86</v>
      </c>
      <c r="AY15" s="16" t="s">
        <v>85</v>
      </c>
      <c r="AZ15" s="16" t="s">
        <v>86</v>
      </c>
      <c r="BA15" s="16" t="s">
        <v>85</v>
      </c>
      <c r="BB15" s="16" t="s">
        <v>86</v>
      </c>
      <c r="BC15" s="16" t="s">
        <v>85</v>
      </c>
      <c r="BD15" s="16" t="s">
        <v>86</v>
      </c>
    </row>
    <row r="16" spans="1:56">
      <c r="A16" s="17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P16" s="17"/>
      <c r="Q16" s="18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E16" s="17"/>
      <c r="AF16" s="18"/>
      <c r="AG16" s="19"/>
      <c r="AH16" s="19"/>
      <c r="AI16" s="19"/>
      <c r="AJ16" s="19"/>
      <c r="AK16" s="19"/>
      <c r="AL16" s="19"/>
      <c r="AM16" s="19"/>
      <c r="AN16" s="19"/>
      <c r="AO16" s="18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</row>
    <row r="17" spans="1:56">
      <c r="A17" s="17">
        <v>1</v>
      </c>
      <c r="B17" s="18" t="s">
        <v>10</v>
      </c>
      <c r="C17" s="19">
        <v>37564181.039999999</v>
      </c>
      <c r="D17" s="19">
        <v>37725064.020000003</v>
      </c>
      <c r="E17" s="19">
        <v>37891309.75</v>
      </c>
      <c r="F17" s="19"/>
      <c r="G17" s="19"/>
      <c r="H17" s="19"/>
      <c r="I17" s="19"/>
      <c r="J17" s="19"/>
      <c r="K17" s="19"/>
      <c r="L17" s="19"/>
      <c r="M17" s="19"/>
      <c r="N17" s="19"/>
      <c r="P17" s="17">
        <v>1</v>
      </c>
      <c r="Q17" s="18" t="s">
        <v>10</v>
      </c>
      <c r="R17" s="19">
        <v>39349982</v>
      </c>
      <c r="S17" s="19">
        <v>39349982</v>
      </c>
      <c r="T17" s="19">
        <v>39349982</v>
      </c>
      <c r="U17" s="19"/>
      <c r="V17" s="19"/>
      <c r="W17" s="19"/>
      <c r="X17" s="19"/>
      <c r="Y17" s="19"/>
      <c r="Z17" s="19"/>
      <c r="AA17" s="19"/>
      <c r="AB17" s="19"/>
      <c r="AC17" s="19"/>
      <c r="AE17" s="17">
        <v>1</v>
      </c>
      <c r="AF17" s="18" t="s">
        <v>10</v>
      </c>
      <c r="AG17" s="19">
        <f t="shared" ref="AG17:AG21" si="26">+C17-R17</f>
        <v>-1785800.9600000009</v>
      </c>
      <c r="AH17" s="19">
        <f t="shared" ref="AH17:AH21" si="27">+AG17/C17*100</f>
        <v>-4.7539994498972336</v>
      </c>
      <c r="AI17" s="19">
        <f t="shared" ref="AI17:AI21" si="28">+D17-S17</f>
        <v>-1624917.9799999967</v>
      </c>
      <c r="AJ17" s="19">
        <f t="shared" ref="AJ17:AJ21" si="29">+AI17/D17*100</f>
        <v>-4.3072636779053406</v>
      </c>
      <c r="AK17" s="19">
        <f t="shared" ref="AK17:AK21" si="30">+E17-T17</f>
        <v>-1458672.25</v>
      </c>
      <c r="AL17" s="19">
        <f t="shared" ref="AL17:AL21" si="31">+AK17/E17*100</f>
        <v>-3.849622141921341</v>
      </c>
      <c r="AM17" s="19">
        <f t="shared" ref="AM17:AM21" si="32">+F17-U17</f>
        <v>0</v>
      </c>
      <c r="AN17" s="19" t="e">
        <f t="shared" ref="AN17:AN21" si="33">+AM17/F17*100</f>
        <v>#DIV/0!</v>
      </c>
      <c r="AO17" s="19">
        <f t="shared" ref="AO17:AO21" si="34">+G17-V17</f>
        <v>0</v>
      </c>
      <c r="AP17" s="19" t="e">
        <f t="shared" ref="AP17:AP21" si="35">+AO17/G17*100</f>
        <v>#DIV/0!</v>
      </c>
      <c r="AQ17" s="19">
        <f t="shared" ref="AQ17:AQ21" si="36">+H17-W17</f>
        <v>0</v>
      </c>
      <c r="AR17" s="19" t="e">
        <f t="shared" ref="AR17:AR21" si="37">+AQ17/H17*100</f>
        <v>#DIV/0!</v>
      </c>
      <c r="AS17" s="19">
        <f t="shared" ref="AS17:AS21" si="38">+I17-X17</f>
        <v>0</v>
      </c>
      <c r="AT17" s="19" t="e">
        <f t="shared" ref="AT17:AT21" si="39">+AS17/I17*100</f>
        <v>#DIV/0!</v>
      </c>
      <c r="AU17" s="19">
        <f t="shared" ref="AU17:AU21" si="40">+J17-Y17</f>
        <v>0</v>
      </c>
      <c r="AV17" s="19" t="e">
        <f t="shared" ref="AV17:AV21" si="41">+AU17/J17*100</f>
        <v>#DIV/0!</v>
      </c>
      <c r="AW17" s="19">
        <f t="shared" ref="AW17:AW21" si="42">+K17-Z17</f>
        <v>0</v>
      </c>
      <c r="AX17" s="19" t="e">
        <f t="shared" ref="AX17:AX21" si="43">+AW17/K17*100</f>
        <v>#DIV/0!</v>
      </c>
      <c r="AY17" s="19">
        <f t="shared" ref="AY17:AY21" si="44">+L17-AA17</f>
        <v>0</v>
      </c>
      <c r="AZ17" s="19" t="e">
        <f t="shared" ref="AZ17:AZ21" si="45">+AY17/L17*100</f>
        <v>#DIV/0!</v>
      </c>
      <c r="BA17" s="19">
        <f t="shared" ref="BA17:BA21" si="46">+M17-AB17</f>
        <v>0</v>
      </c>
      <c r="BB17" s="19" t="e">
        <f t="shared" ref="BB17:BB21" si="47">+BA17/M17*100</f>
        <v>#DIV/0!</v>
      </c>
      <c r="BC17" s="19">
        <f t="shared" ref="BC17:BC21" si="48">+N17-AC17</f>
        <v>0</v>
      </c>
      <c r="BD17" s="19" t="e">
        <f t="shared" ref="BD17:BD21" si="49">+BC17/N17*100</f>
        <v>#DIV/0!</v>
      </c>
    </row>
    <row r="18" spans="1:56">
      <c r="A18" s="17">
        <v>2</v>
      </c>
      <c r="B18" s="18" t="s">
        <v>12</v>
      </c>
      <c r="C18" s="19">
        <v>7416770.7199999997</v>
      </c>
      <c r="D18" s="19">
        <v>7472927.4299999997</v>
      </c>
      <c r="E18" s="19">
        <v>7530956.04</v>
      </c>
      <c r="F18" s="19"/>
      <c r="G18" s="19"/>
      <c r="H18" s="19"/>
      <c r="I18" s="19"/>
      <c r="J18" s="19"/>
      <c r="K18" s="19"/>
      <c r="L18" s="19"/>
      <c r="M18" s="19"/>
      <c r="N18" s="19"/>
      <c r="P18" s="17">
        <v>2</v>
      </c>
      <c r="Q18" s="18" t="s">
        <v>12</v>
      </c>
      <c r="R18" s="19">
        <v>7446919.0599999996</v>
      </c>
      <c r="S18" s="19">
        <v>7505328.5099999998</v>
      </c>
      <c r="T18" s="19">
        <v>7563737.96</v>
      </c>
      <c r="U18" s="19"/>
      <c r="V18" s="19"/>
      <c r="W18" s="19"/>
      <c r="X18" s="19"/>
      <c r="Y18" s="19"/>
      <c r="Z18" s="19"/>
      <c r="AA18" s="19"/>
      <c r="AB18" s="19"/>
      <c r="AC18" s="19"/>
      <c r="AE18" s="17">
        <v>2</v>
      </c>
      <c r="AF18" s="18" t="s">
        <v>12</v>
      </c>
      <c r="AG18" s="19">
        <f t="shared" si="26"/>
        <v>-30148.339999999851</v>
      </c>
      <c r="AH18" s="19">
        <f t="shared" si="27"/>
        <v>-0.40648876900969982</v>
      </c>
      <c r="AI18" s="19">
        <f t="shared" si="28"/>
        <v>-32401.080000000075</v>
      </c>
      <c r="AJ18" s="19">
        <f t="shared" si="29"/>
        <v>-0.43357948144827735</v>
      </c>
      <c r="AK18" s="19">
        <f t="shared" si="30"/>
        <v>-32781.919999999925</v>
      </c>
      <c r="AL18" s="19">
        <f t="shared" si="31"/>
        <v>-0.43529559628129133</v>
      </c>
      <c r="AM18" s="19">
        <f t="shared" si="32"/>
        <v>0</v>
      </c>
      <c r="AN18" s="19" t="e">
        <f t="shared" si="33"/>
        <v>#DIV/0!</v>
      </c>
      <c r="AO18" s="19">
        <f t="shared" si="34"/>
        <v>0</v>
      </c>
      <c r="AP18" s="19" t="e">
        <f t="shared" si="35"/>
        <v>#DIV/0!</v>
      </c>
      <c r="AQ18" s="19">
        <f t="shared" si="36"/>
        <v>0</v>
      </c>
      <c r="AR18" s="19" t="e">
        <f t="shared" si="37"/>
        <v>#DIV/0!</v>
      </c>
      <c r="AS18" s="19">
        <f t="shared" si="38"/>
        <v>0</v>
      </c>
      <c r="AT18" s="19" t="e">
        <f t="shared" si="39"/>
        <v>#DIV/0!</v>
      </c>
      <c r="AU18" s="19">
        <f t="shared" si="40"/>
        <v>0</v>
      </c>
      <c r="AV18" s="19" t="e">
        <f t="shared" si="41"/>
        <v>#DIV/0!</v>
      </c>
      <c r="AW18" s="19">
        <f t="shared" si="42"/>
        <v>0</v>
      </c>
      <c r="AX18" s="19" t="e">
        <f t="shared" si="43"/>
        <v>#DIV/0!</v>
      </c>
      <c r="AY18" s="19">
        <f t="shared" si="44"/>
        <v>0</v>
      </c>
      <c r="AZ18" s="19" t="e">
        <f t="shared" si="45"/>
        <v>#DIV/0!</v>
      </c>
      <c r="BA18" s="19">
        <f t="shared" si="46"/>
        <v>0</v>
      </c>
      <c r="BB18" s="19" t="e">
        <f t="shared" si="47"/>
        <v>#DIV/0!</v>
      </c>
      <c r="BC18" s="19">
        <f t="shared" si="48"/>
        <v>0</v>
      </c>
      <c r="BD18" s="19" t="e">
        <f t="shared" si="49"/>
        <v>#DIV/0!</v>
      </c>
    </row>
    <row r="19" spans="1:56">
      <c r="A19" s="17">
        <v>3</v>
      </c>
      <c r="B19" s="18" t="s">
        <v>14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P19" s="17">
        <v>3</v>
      </c>
      <c r="Q19" s="18" t="s">
        <v>14</v>
      </c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E19" s="17">
        <v>3</v>
      </c>
      <c r="AF19" s="18" t="s">
        <v>14</v>
      </c>
      <c r="AG19" s="19">
        <f t="shared" si="26"/>
        <v>0</v>
      </c>
      <c r="AH19" s="19" t="e">
        <f t="shared" si="27"/>
        <v>#DIV/0!</v>
      </c>
      <c r="AI19" s="19">
        <f t="shared" si="28"/>
        <v>0</v>
      </c>
      <c r="AJ19" s="19" t="e">
        <f t="shared" si="29"/>
        <v>#DIV/0!</v>
      </c>
      <c r="AK19" s="19">
        <f t="shared" si="30"/>
        <v>0</v>
      </c>
      <c r="AL19" s="19" t="e">
        <f t="shared" si="31"/>
        <v>#DIV/0!</v>
      </c>
      <c r="AM19" s="19">
        <f t="shared" si="32"/>
        <v>0</v>
      </c>
      <c r="AN19" s="19" t="e">
        <f t="shared" si="33"/>
        <v>#DIV/0!</v>
      </c>
      <c r="AO19" s="19">
        <f t="shared" si="34"/>
        <v>0</v>
      </c>
      <c r="AP19" s="19" t="e">
        <f t="shared" si="35"/>
        <v>#DIV/0!</v>
      </c>
      <c r="AQ19" s="19">
        <f t="shared" si="36"/>
        <v>0</v>
      </c>
      <c r="AR19" s="19" t="e">
        <f t="shared" si="37"/>
        <v>#DIV/0!</v>
      </c>
      <c r="AS19" s="19">
        <f t="shared" si="38"/>
        <v>0</v>
      </c>
      <c r="AT19" s="19" t="e">
        <f t="shared" si="39"/>
        <v>#DIV/0!</v>
      </c>
      <c r="AU19" s="19">
        <f t="shared" si="40"/>
        <v>0</v>
      </c>
      <c r="AV19" s="19" t="e">
        <f t="shared" si="41"/>
        <v>#DIV/0!</v>
      </c>
      <c r="AW19" s="19">
        <f t="shared" si="42"/>
        <v>0</v>
      </c>
      <c r="AX19" s="19" t="e">
        <f t="shared" si="43"/>
        <v>#DIV/0!</v>
      </c>
      <c r="AY19" s="19">
        <f t="shared" si="44"/>
        <v>0</v>
      </c>
      <c r="AZ19" s="19" t="e">
        <f t="shared" si="45"/>
        <v>#DIV/0!</v>
      </c>
      <c r="BA19" s="19">
        <f t="shared" si="46"/>
        <v>0</v>
      </c>
      <c r="BB19" s="19" t="e">
        <f t="shared" si="47"/>
        <v>#DIV/0!</v>
      </c>
      <c r="BC19" s="19">
        <f t="shared" si="48"/>
        <v>0</v>
      </c>
      <c r="BD19" s="19" t="e">
        <f t="shared" si="49"/>
        <v>#DIV/0!</v>
      </c>
    </row>
    <row r="20" spans="1:56">
      <c r="A20" s="17">
        <v>4</v>
      </c>
      <c r="B20" s="18" t="s">
        <v>16</v>
      </c>
      <c r="C20" s="19">
        <v>3829188.44</v>
      </c>
      <c r="D20" s="19">
        <v>3857580.66</v>
      </c>
      <c r="E20" s="19">
        <v>3886919.28</v>
      </c>
      <c r="F20" s="19"/>
      <c r="G20" s="19"/>
      <c r="H20" s="19"/>
      <c r="I20" s="19"/>
      <c r="J20" s="19"/>
      <c r="K20" s="19"/>
      <c r="L20" s="19"/>
      <c r="M20" s="19"/>
      <c r="N20" s="19"/>
      <c r="P20" s="17">
        <v>4</v>
      </c>
      <c r="Q20" s="18" t="s">
        <v>16</v>
      </c>
      <c r="R20" s="19">
        <v>7811177.9100000001</v>
      </c>
      <c r="S20" s="19">
        <v>7869134</v>
      </c>
      <c r="T20" s="19">
        <v>7927090.0899999999</v>
      </c>
      <c r="U20" s="19"/>
      <c r="V20" s="19"/>
      <c r="W20" s="19"/>
      <c r="X20" s="19"/>
      <c r="Y20" s="19"/>
      <c r="Z20" s="19"/>
      <c r="AA20" s="19"/>
      <c r="AB20" s="19"/>
      <c r="AC20" s="19"/>
      <c r="AE20" s="17">
        <v>4</v>
      </c>
      <c r="AF20" s="18" t="s">
        <v>16</v>
      </c>
      <c r="AG20" s="19">
        <f t="shared" si="26"/>
        <v>-3981989.47</v>
      </c>
      <c r="AH20" s="19">
        <f t="shared" si="27"/>
        <v>-103.99042858282526</v>
      </c>
      <c r="AI20" s="19">
        <f t="shared" si="28"/>
        <v>-4011553.34</v>
      </c>
      <c r="AJ20" s="19">
        <f t="shared" si="29"/>
        <v>-103.99143125110959</v>
      </c>
      <c r="AK20" s="19">
        <f t="shared" si="30"/>
        <v>-4040170.81</v>
      </c>
      <c r="AL20" s="19">
        <f t="shared" si="31"/>
        <v>-103.94275051680518</v>
      </c>
      <c r="AM20" s="19">
        <f t="shared" si="32"/>
        <v>0</v>
      </c>
      <c r="AN20" s="19" t="e">
        <f t="shared" si="33"/>
        <v>#DIV/0!</v>
      </c>
      <c r="AO20" s="19">
        <f t="shared" si="34"/>
        <v>0</v>
      </c>
      <c r="AP20" s="19" t="e">
        <f t="shared" si="35"/>
        <v>#DIV/0!</v>
      </c>
      <c r="AQ20" s="19">
        <f t="shared" si="36"/>
        <v>0</v>
      </c>
      <c r="AR20" s="19" t="e">
        <f t="shared" si="37"/>
        <v>#DIV/0!</v>
      </c>
      <c r="AS20" s="19">
        <f t="shared" si="38"/>
        <v>0</v>
      </c>
      <c r="AT20" s="19" t="e">
        <f t="shared" si="39"/>
        <v>#DIV/0!</v>
      </c>
      <c r="AU20" s="19">
        <f t="shared" si="40"/>
        <v>0</v>
      </c>
      <c r="AV20" s="19" t="e">
        <f t="shared" si="41"/>
        <v>#DIV/0!</v>
      </c>
      <c r="AW20" s="19">
        <f t="shared" si="42"/>
        <v>0</v>
      </c>
      <c r="AX20" s="19" t="e">
        <f t="shared" si="43"/>
        <v>#DIV/0!</v>
      </c>
      <c r="AY20" s="19">
        <f t="shared" si="44"/>
        <v>0</v>
      </c>
      <c r="AZ20" s="19" t="e">
        <f t="shared" si="45"/>
        <v>#DIV/0!</v>
      </c>
      <c r="BA20" s="19">
        <f t="shared" si="46"/>
        <v>0</v>
      </c>
      <c r="BB20" s="19" t="e">
        <f t="shared" si="47"/>
        <v>#DIV/0!</v>
      </c>
      <c r="BC20" s="19">
        <f t="shared" si="48"/>
        <v>0</v>
      </c>
      <c r="BD20" s="19" t="e">
        <f t="shared" si="49"/>
        <v>#DIV/0!</v>
      </c>
    </row>
    <row r="21" spans="1:56" ht="25.2" thickBot="1">
      <c r="A21" s="20"/>
      <c r="B21" s="20" t="s">
        <v>17</v>
      </c>
      <c r="C21" s="21">
        <f>SUM(C16:C20)</f>
        <v>48810140.199999996</v>
      </c>
      <c r="D21" s="21">
        <f t="shared" ref="D21:N21" si="50">SUM(D16:D20)</f>
        <v>49055572.109999999</v>
      </c>
      <c r="E21" s="21">
        <f t="shared" si="50"/>
        <v>49309185.07</v>
      </c>
      <c r="F21" s="21">
        <f t="shared" si="50"/>
        <v>0</v>
      </c>
      <c r="G21" s="21">
        <f t="shared" si="50"/>
        <v>0</v>
      </c>
      <c r="H21" s="21">
        <f t="shared" si="50"/>
        <v>0</v>
      </c>
      <c r="I21" s="21">
        <f t="shared" si="50"/>
        <v>0</v>
      </c>
      <c r="J21" s="21">
        <f t="shared" si="50"/>
        <v>0</v>
      </c>
      <c r="K21" s="21">
        <f t="shared" si="50"/>
        <v>0</v>
      </c>
      <c r="L21" s="21">
        <f t="shared" si="50"/>
        <v>0</v>
      </c>
      <c r="M21" s="21">
        <f t="shared" si="50"/>
        <v>0</v>
      </c>
      <c r="N21" s="21">
        <f t="shared" si="50"/>
        <v>0</v>
      </c>
      <c r="P21" s="20"/>
      <c r="Q21" s="20" t="s">
        <v>17</v>
      </c>
      <c r="R21" s="21">
        <f>SUM(R16:R20)</f>
        <v>54608078.969999999</v>
      </c>
      <c r="S21" s="21">
        <f t="shared" ref="S21:AC21" si="51">SUM(S16:S20)</f>
        <v>54724444.509999998</v>
      </c>
      <c r="T21" s="21">
        <f t="shared" si="51"/>
        <v>54840810.049999997</v>
      </c>
      <c r="U21" s="21">
        <f t="shared" si="51"/>
        <v>0</v>
      </c>
      <c r="V21" s="21">
        <f t="shared" si="51"/>
        <v>0</v>
      </c>
      <c r="W21" s="21">
        <f t="shared" si="51"/>
        <v>0</v>
      </c>
      <c r="X21" s="21">
        <f t="shared" si="51"/>
        <v>0</v>
      </c>
      <c r="Y21" s="21">
        <f t="shared" si="51"/>
        <v>0</v>
      </c>
      <c r="Z21" s="21">
        <f t="shared" si="51"/>
        <v>0</v>
      </c>
      <c r="AA21" s="21">
        <f t="shared" si="51"/>
        <v>0</v>
      </c>
      <c r="AB21" s="21">
        <f t="shared" si="51"/>
        <v>0</v>
      </c>
      <c r="AC21" s="21">
        <f t="shared" si="51"/>
        <v>0</v>
      </c>
      <c r="AE21" s="20"/>
      <c r="AF21" s="20" t="s">
        <v>17</v>
      </c>
      <c r="AG21" s="23">
        <f t="shared" si="26"/>
        <v>-5797938.7700000033</v>
      </c>
      <c r="AH21" s="23">
        <f t="shared" si="27"/>
        <v>-11.878553813291452</v>
      </c>
      <c r="AI21" s="23">
        <f t="shared" si="28"/>
        <v>-5668872.3999999985</v>
      </c>
      <c r="AJ21" s="23">
        <f t="shared" si="29"/>
        <v>-11.556021377731311</v>
      </c>
      <c r="AK21" s="23">
        <f t="shared" si="30"/>
        <v>-5531624.9799999967</v>
      </c>
      <c r="AL21" s="23">
        <f t="shared" si="31"/>
        <v>-11.218244576841466</v>
      </c>
      <c r="AM21" s="23">
        <f t="shared" si="32"/>
        <v>0</v>
      </c>
      <c r="AN21" s="23" t="e">
        <f t="shared" si="33"/>
        <v>#DIV/0!</v>
      </c>
      <c r="AO21" s="23">
        <f t="shared" si="34"/>
        <v>0</v>
      </c>
      <c r="AP21" s="23" t="e">
        <f t="shared" si="35"/>
        <v>#DIV/0!</v>
      </c>
      <c r="AQ21" s="23">
        <f t="shared" si="36"/>
        <v>0</v>
      </c>
      <c r="AR21" s="23" t="e">
        <f t="shared" si="37"/>
        <v>#DIV/0!</v>
      </c>
      <c r="AS21" s="23">
        <f t="shared" si="38"/>
        <v>0</v>
      </c>
      <c r="AT21" s="23" t="e">
        <f t="shared" si="39"/>
        <v>#DIV/0!</v>
      </c>
      <c r="AU21" s="23">
        <f t="shared" si="40"/>
        <v>0</v>
      </c>
      <c r="AV21" s="23" t="e">
        <f t="shared" si="41"/>
        <v>#DIV/0!</v>
      </c>
      <c r="AW21" s="23">
        <f t="shared" si="42"/>
        <v>0</v>
      </c>
      <c r="AX21" s="23" t="e">
        <f t="shared" si="43"/>
        <v>#DIV/0!</v>
      </c>
      <c r="AY21" s="23">
        <f t="shared" si="44"/>
        <v>0</v>
      </c>
      <c r="AZ21" s="23" t="e">
        <f t="shared" si="45"/>
        <v>#DIV/0!</v>
      </c>
      <c r="BA21" s="23">
        <f t="shared" si="46"/>
        <v>0</v>
      </c>
      <c r="BB21" s="23" t="e">
        <f t="shared" si="47"/>
        <v>#DIV/0!</v>
      </c>
      <c r="BC21" s="23">
        <f t="shared" si="48"/>
        <v>0</v>
      </c>
      <c r="BD21" s="23" t="e">
        <f t="shared" si="49"/>
        <v>#DIV/0!</v>
      </c>
    </row>
    <row r="22" spans="1:56" ht="25.2" thickTop="1"/>
    <row r="23" spans="1:56">
      <c r="A23" s="37" t="s">
        <v>47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P23" s="37" t="s">
        <v>51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E23" s="37" t="s">
        <v>88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</row>
    <row r="24" spans="1:56">
      <c r="A24" s="37" t="s">
        <v>1958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P24" s="37" t="s">
        <v>1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E24" s="37" t="s">
        <v>1</v>
      </c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</row>
    <row r="25" spans="1:56" s="25" customFormat="1">
      <c r="A25" s="35" t="s">
        <v>2</v>
      </c>
      <c r="B25" s="35" t="s">
        <v>3</v>
      </c>
      <c r="C25" s="38" t="s">
        <v>4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P25" s="35" t="s">
        <v>2</v>
      </c>
      <c r="Q25" s="35" t="s">
        <v>3</v>
      </c>
      <c r="R25" s="38" t="s">
        <v>5</v>
      </c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/>
      <c r="AE25" s="35" t="s">
        <v>2</v>
      </c>
      <c r="AF25" s="35" t="s">
        <v>3</v>
      </c>
      <c r="AG25" s="33">
        <v>25112</v>
      </c>
      <c r="AH25" s="34"/>
      <c r="AI25" s="33">
        <v>25143</v>
      </c>
      <c r="AJ25" s="34"/>
      <c r="AK25" s="33">
        <v>25173</v>
      </c>
      <c r="AL25" s="34"/>
      <c r="AM25" s="33">
        <v>25204</v>
      </c>
      <c r="AN25" s="34"/>
      <c r="AO25" s="33">
        <v>25235</v>
      </c>
      <c r="AP25" s="34"/>
      <c r="AQ25" s="33">
        <v>25263</v>
      </c>
      <c r="AR25" s="34"/>
      <c r="AS25" s="33">
        <v>25294</v>
      </c>
      <c r="AT25" s="34"/>
      <c r="AU25" s="33">
        <v>25324</v>
      </c>
      <c r="AV25" s="34"/>
      <c r="AW25" s="33">
        <v>25355</v>
      </c>
      <c r="AX25" s="34"/>
      <c r="AY25" s="33">
        <v>25385</v>
      </c>
      <c r="AZ25" s="34"/>
      <c r="BA25" s="33">
        <v>25416</v>
      </c>
      <c r="BB25" s="34"/>
      <c r="BC25" s="33">
        <v>25447</v>
      </c>
      <c r="BD25" s="34"/>
    </row>
    <row r="26" spans="1:56" s="25" customFormat="1">
      <c r="A26" s="36"/>
      <c r="B26" s="36"/>
      <c r="C26" s="16">
        <v>25112</v>
      </c>
      <c r="D26" s="16">
        <v>25143</v>
      </c>
      <c r="E26" s="16">
        <v>25173</v>
      </c>
      <c r="F26" s="16">
        <v>25204</v>
      </c>
      <c r="G26" s="16">
        <v>25235</v>
      </c>
      <c r="H26" s="16">
        <v>25263</v>
      </c>
      <c r="I26" s="16">
        <v>25294</v>
      </c>
      <c r="J26" s="16">
        <v>25324</v>
      </c>
      <c r="K26" s="16">
        <v>25355</v>
      </c>
      <c r="L26" s="16">
        <v>25385</v>
      </c>
      <c r="M26" s="16">
        <v>25416</v>
      </c>
      <c r="N26" s="16">
        <v>25447</v>
      </c>
      <c r="P26" s="36"/>
      <c r="Q26" s="36"/>
      <c r="R26" s="16">
        <v>25112</v>
      </c>
      <c r="S26" s="16">
        <v>25143</v>
      </c>
      <c r="T26" s="16">
        <v>25173</v>
      </c>
      <c r="U26" s="16">
        <v>25204</v>
      </c>
      <c r="V26" s="16">
        <v>25235</v>
      </c>
      <c r="W26" s="16">
        <v>25263</v>
      </c>
      <c r="X26" s="16">
        <v>25294</v>
      </c>
      <c r="Y26" s="16">
        <v>25324</v>
      </c>
      <c r="Z26" s="16">
        <v>25355</v>
      </c>
      <c r="AA26" s="16">
        <v>25385</v>
      </c>
      <c r="AB26" s="16">
        <v>25416</v>
      </c>
      <c r="AC26" s="16">
        <v>25447</v>
      </c>
      <c r="AE26" s="36"/>
      <c r="AF26" s="36"/>
      <c r="AG26" s="16" t="s">
        <v>85</v>
      </c>
      <c r="AH26" s="16" t="s">
        <v>86</v>
      </c>
      <c r="AI26" s="16" t="s">
        <v>85</v>
      </c>
      <c r="AJ26" s="16" t="s">
        <v>86</v>
      </c>
      <c r="AK26" s="16" t="s">
        <v>85</v>
      </c>
      <c r="AL26" s="16" t="s">
        <v>86</v>
      </c>
      <c r="AM26" s="16" t="s">
        <v>85</v>
      </c>
      <c r="AN26" s="16" t="s">
        <v>86</v>
      </c>
      <c r="AO26" s="16" t="s">
        <v>85</v>
      </c>
      <c r="AP26" s="16" t="s">
        <v>86</v>
      </c>
      <c r="AQ26" s="16" t="s">
        <v>85</v>
      </c>
      <c r="AR26" s="16" t="s">
        <v>86</v>
      </c>
      <c r="AS26" s="16" t="s">
        <v>85</v>
      </c>
      <c r="AT26" s="16" t="s">
        <v>86</v>
      </c>
      <c r="AU26" s="16" t="s">
        <v>85</v>
      </c>
      <c r="AV26" s="16" t="s">
        <v>86</v>
      </c>
      <c r="AW26" s="16" t="s">
        <v>85</v>
      </c>
      <c r="AX26" s="16" t="s">
        <v>86</v>
      </c>
      <c r="AY26" s="16" t="s">
        <v>85</v>
      </c>
      <c r="AZ26" s="16" t="s">
        <v>86</v>
      </c>
      <c r="BA26" s="16" t="s">
        <v>85</v>
      </c>
      <c r="BB26" s="16" t="s">
        <v>86</v>
      </c>
      <c r="BC26" s="16" t="s">
        <v>85</v>
      </c>
      <c r="BD26" s="16" t="s">
        <v>86</v>
      </c>
    </row>
    <row r="27" spans="1:56">
      <c r="A27" s="17">
        <v>1</v>
      </c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6"/>
      <c r="P27" s="17">
        <v>1</v>
      </c>
      <c r="Q27" s="18" t="s">
        <v>18</v>
      </c>
      <c r="R27" s="19">
        <v>1117038.5</v>
      </c>
      <c r="S27" s="19">
        <v>1117038.5</v>
      </c>
      <c r="T27" s="19">
        <v>1117038.5</v>
      </c>
      <c r="U27" s="19"/>
      <c r="V27" s="19"/>
      <c r="W27" s="19"/>
      <c r="X27" s="19"/>
      <c r="Y27" s="19"/>
      <c r="Z27" s="19"/>
      <c r="AA27" s="19"/>
      <c r="AB27" s="19"/>
      <c r="AC27" s="19"/>
      <c r="AE27" s="17">
        <v>1</v>
      </c>
      <c r="AF27" s="18" t="s">
        <v>18</v>
      </c>
      <c r="AG27" s="19">
        <f t="shared" ref="AG27:AG41" si="52">+C27-R27</f>
        <v>-1117038.5</v>
      </c>
      <c r="AH27" s="19" t="e">
        <f t="shared" ref="AH27:AH41" si="53">+AG27/C27*100</f>
        <v>#DIV/0!</v>
      </c>
      <c r="AI27" s="19">
        <f t="shared" ref="AI27:AI41" si="54">+D27-S27</f>
        <v>-1117038.5</v>
      </c>
      <c r="AJ27" s="19" t="e">
        <f t="shared" ref="AJ27:AJ41" si="55">+AI27/D27*100</f>
        <v>#DIV/0!</v>
      </c>
      <c r="AK27" s="19">
        <f t="shared" ref="AK27:AK41" si="56">+E27-T27</f>
        <v>-1117038.5</v>
      </c>
      <c r="AL27" s="19" t="e">
        <f t="shared" ref="AL27:AL41" si="57">+AK27/E27*100</f>
        <v>#DIV/0!</v>
      </c>
      <c r="AM27" s="19">
        <f t="shared" ref="AM27:AM41" si="58">+F27-U27</f>
        <v>0</v>
      </c>
      <c r="AN27" s="19" t="e">
        <f t="shared" ref="AN27:AN41" si="59">+AM27/F27*100</f>
        <v>#DIV/0!</v>
      </c>
      <c r="AO27" s="19">
        <f t="shared" ref="AO27:AO41" si="60">+G27-V27</f>
        <v>0</v>
      </c>
      <c r="AP27" s="19" t="e">
        <f t="shared" ref="AP27:AP41" si="61">+AO27/G27*100</f>
        <v>#DIV/0!</v>
      </c>
      <c r="AQ27" s="19">
        <f t="shared" ref="AQ27:AQ41" si="62">+H27-W27</f>
        <v>0</v>
      </c>
      <c r="AR27" s="19" t="e">
        <f t="shared" ref="AR27:AR41" si="63">+AQ27/H27*100</f>
        <v>#DIV/0!</v>
      </c>
      <c r="AS27" s="19">
        <f t="shared" ref="AS27:AS41" si="64">+I27-X27</f>
        <v>0</v>
      </c>
      <c r="AT27" s="19" t="e">
        <f t="shared" ref="AT27:AT41" si="65">+AS27/I27*100</f>
        <v>#DIV/0!</v>
      </c>
      <c r="AU27" s="19">
        <f t="shared" ref="AU27:AU41" si="66">+J27-Y27</f>
        <v>0</v>
      </c>
      <c r="AV27" s="19" t="e">
        <f t="shared" ref="AV27:AV41" si="67">+AU27/J27*100</f>
        <v>#DIV/0!</v>
      </c>
      <c r="AW27" s="19">
        <f t="shared" ref="AW27:AW41" si="68">+K27-Z27</f>
        <v>0</v>
      </c>
      <c r="AX27" s="19" t="e">
        <f t="shared" ref="AX27:AX41" si="69">+AW27/K27*100</f>
        <v>#DIV/0!</v>
      </c>
      <c r="AY27" s="19">
        <f t="shared" ref="AY27:AY41" si="70">+L27-AA27</f>
        <v>0</v>
      </c>
      <c r="AZ27" s="19" t="e">
        <f t="shared" ref="AZ27:AZ41" si="71">+AY27/L27*100</f>
        <v>#DIV/0!</v>
      </c>
      <c r="BA27" s="19">
        <f t="shared" ref="BA27:BA41" si="72">+M27-AB27</f>
        <v>0</v>
      </c>
      <c r="BB27" s="19" t="e">
        <f t="shared" ref="BB27:BB41" si="73">+BA27/M27*100</f>
        <v>#DIV/0!</v>
      </c>
      <c r="BC27" s="19">
        <f t="shared" ref="BC27:BC41" si="74">+N27-AC27</f>
        <v>0</v>
      </c>
      <c r="BD27" s="19" t="e">
        <f t="shared" ref="BD27:BD41" si="75">+BC27/N27*100</f>
        <v>#DIV/0!</v>
      </c>
    </row>
    <row r="28" spans="1:56">
      <c r="A28" s="17">
        <v>2</v>
      </c>
      <c r="B28" s="18" t="s">
        <v>20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6"/>
      <c r="P28" s="17">
        <v>2</v>
      </c>
      <c r="Q28" s="18" t="s">
        <v>20</v>
      </c>
      <c r="R28" s="19">
        <v>5909300</v>
      </c>
      <c r="S28" s="19">
        <v>5909300</v>
      </c>
      <c r="T28" s="19">
        <v>5909300</v>
      </c>
      <c r="U28" s="19"/>
      <c r="V28" s="19"/>
      <c r="W28" s="19"/>
      <c r="X28" s="19"/>
      <c r="Y28" s="19"/>
      <c r="Z28" s="19"/>
      <c r="AA28" s="19"/>
      <c r="AB28" s="19"/>
      <c r="AC28" s="19"/>
      <c r="AE28" s="17">
        <v>2</v>
      </c>
      <c r="AF28" s="18" t="s">
        <v>20</v>
      </c>
      <c r="AG28" s="19">
        <f t="shared" si="52"/>
        <v>-5909300</v>
      </c>
      <c r="AH28" s="19" t="e">
        <f t="shared" si="53"/>
        <v>#DIV/0!</v>
      </c>
      <c r="AI28" s="19">
        <f t="shared" si="54"/>
        <v>-5909300</v>
      </c>
      <c r="AJ28" s="19" t="e">
        <f t="shared" si="55"/>
        <v>#DIV/0!</v>
      </c>
      <c r="AK28" s="19">
        <f t="shared" si="56"/>
        <v>-5909300</v>
      </c>
      <c r="AL28" s="19" t="e">
        <f t="shared" si="57"/>
        <v>#DIV/0!</v>
      </c>
      <c r="AM28" s="19">
        <f t="shared" si="58"/>
        <v>0</v>
      </c>
      <c r="AN28" s="19" t="e">
        <f t="shared" si="59"/>
        <v>#DIV/0!</v>
      </c>
      <c r="AO28" s="19">
        <f t="shared" si="60"/>
        <v>0</v>
      </c>
      <c r="AP28" s="19" t="e">
        <f t="shared" si="61"/>
        <v>#DIV/0!</v>
      </c>
      <c r="AQ28" s="19">
        <f t="shared" si="62"/>
        <v>0</v>
      </c>
      <c r="AR28" s="19" t="e">
        <f t="shared" si="63"/>
        <v>#DIV/0!</v>
      </c>
      <c r="AS28" s="19">
        <f t="shared" si="64"/>
        <v>0</v>
      </c>
      <c r="AT28" s="19" t="e">
        <f t="shared" si="65"/>
        <v>#DIV/0!</v>
      </c>
      <c r="AU28" s="19">
        <f t="shared" si="66"/>
        <v>0</v>
      </c>
      <c r="AV28" s="19" t="e">
        <f t="shared" si="67"/>
        <v>#DIV/0!</v>
      </c>
      <c r="AW28" s="19">
        <f t="shared" si="68"/>
        <v>0</v>
      </c>
      <c r="AX28" s="19" t="e">
        <f t="shared" si="69"/>
        <v>#DIV/0!</v>
      </c>
      <c r="AY28" s="19">
        <f t="shared" si="70"/>
        <v>0</v>
      </c>
      <c r="AZ28" s="19" t="e">
        <f t="shared" si="71"/>
        <v>#DIV/0!</v>
      </c>
      <c r="BA28" s="19">
        <f t="shared" si="72"/>
        <v>0</v>
      </c>
      <c r="BB28" s="19" t="e">
        <f t="shared" si="73"/>
        <v>#DIV/0!</v>
      </c>
      <c r="BC28" s="19">
        <f t="shared" si="74"/>
        <v>0</v>
      </c>
      <c r="BD28" s="19" t="e">
        <f t="shared" si="75"/>
        <v>#DIV/0!</v>
      </c>
    </row>
    <row r="29" spans="1:56">
      <c r="A29" s="17">
        <v>3</v>
      </c>
      <c r="B29" s="18" t="s">
        <v>22</v>
      </c>
      <c r="C29" s="19">
        <v>1420000</v>
      </c>
      <c r="D29" s="19">
        <v>1420000</v>
      </c>
      <c r="E29" s="19">
        <v>1420000</v>
      </c>
      <c r="F29" s="19"/>
      <c r="G29" s="19"/>
      <c r="H29" s="19"/>
      <c r="I29" s="19"/>
      <c r="J29" s="19"/>
      <c r="K29" s="19"/>
      <c r="L29" s="19"/>
      <c r="M29" s="19"/>
      <c r="N29" s="19"/>
      <c r="O29" s="26"/>
      <c r="P29" s="17">
        <v>3</v>
      </c>
      <c r="Q29" s="18" t="s">
        <v>22</v>
      </c>
      <c r="R29" s="19">
        <v>1594470</v>
      </c>
      <c r="S29" s="19">
        <v>1594470</v>
      </c>
      <c r="T29" s="19">
        <v>1594470</v>
      </c>
      <c r="U29" s="19"/>
      <c r="V29" s="19"/>
      <c r="W29" s="19"/>
      <c r="X29" s="19"/>
      <c r="Y29" s="19"/>
      <c r="Z29" s="19"/>
      <c r="AA29" s="19"/>
      <c r="AB29" s="19"/>
      <c r="AC29" s="19"/>
      <c r="AE29" s="17">
        <v>3</v>
      </c>
      <c r="AF29" s="18" t="s">
        <v>22</v>
      </c>
      <c r="AG29" s="19">
        <f t="shared" si="52"/>
        <v>-174470</v>
      </c>
      <c r="AH29" s="19">
        <f t="shared" si="53"/>
        <v>-12.28661971830986</v>
      </c>
      <c r="AI29" s="19">
        <f t="shared" si="54"/>
        <v>-174470</v>
      </c>
      <c r="AJ29" s="19">
        <f t="shared" si="55"/>
        <v>-12.28661971830986</v>
      </c>
      <c r="AK29" s="19">
        <f t="shared" si="56"/>
        <v>-174470</v>
      </c>
      <c r="AL29" s="19">
        <f t="shared" si="57"/>
        <v>-12.28661971830986</v>
      </c>
      <c r="AM29" s="19">
        <f t="shared" si="58"/>
        <v>0</v>
      </c>
      <c r="AN29" s="19" t="e">
        <f t="shared" si="59"/>
        <v>#DIV/0!</v>
      </c>
      <c r="AO29" s="19">
        <f t="shared" si="60"/>
        <v>0</v>
      </c>
      <c r="AP29" s="19" t="e">
        <f t="shared" si="61"/>
        <v>#DIV/0!</v>
      </c>
      <c r="AQ29" s="19">
        <f t="shared" si="62"/>
        <v>0</v>
      </c>
      <c r="AR29" s="19" t="e">
        <f t="shared" si="63"/>
        <v>#DIV/0!</v>
      </c>
      <c r="AS29" s="19">
        <f t="shared" si="64"/>
        <v>0</v>
      </c>
      <c r="AT29" s="19" t="e">
        <f t="shared" si="65"/>
        <v>#DIV/0!</v>
      </c>
      <c r="AU29" s="19">
        <f t="shared" si="66"/>
        <v>0</v>
      </c>
      <c r="AV29" s="19" t="e">
        <f t="shared" si="67"/>
        <v>#DIV/0!</v>
      </c>
      <c r="AW29" s="19">
        <f t="shared" si="68"/>
        <v>0</v>
      </c>
      <c r="AX29" s="19" t="e">
        <f t="shared" si="69"/>
        <v>#DIV/0!</v>
      </c>
      <c r="AY29" s="19">
        <f t="shared" si="70"/>
        <v>0</v>
      </c>
      <c r="AZ29" s="19" t="e">
        <f t="shared" si="71"/>
        <v>#DIV/0!</v>
      </c>
      <c r="BA29" s="19">
        <f t="shared" si="72"/>
        <v>0</v>
      </c>
      <c r="BB29" s="19" t="e">
        <f t="shared" si="73"/>
        <v>#DIV/0!</v>
      </c>
      <c r="BC29" s="19">
        <f t="shared" si="74"/>
        <v>0</v>
      </c>
      <c r="BD29" s="19" t="e">
        <f t="shared" si="75"/>
        <v>#DIV/0!</v>
      </c>
    </row>
    <row r="30" spans="1:56">
      <c r="A30" s="17">
        <v>4</v>
      </c>
      <c r="B30" s="18" t="s">
        <v>24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6"/>
      <c r="P30" s="17">
        <v>4</v>
      </c>
      <c r="Q30" s="18" t="s">
        <v>24</v>
      </c>
      <c r="R30" s="19">
        <v>264890</v>
      </c>
      <c r="S30" s="19">
        <v>264890</v>
      </c>
      <c r="T30" s="19">
        <v>264890</v>
      </c>
      <c r="U30" s="19"/>
      <c r="V30" s="19"/>
      <c r="W30" s="19"/>
      <c r="X30" s="19"/>
      <c r="Y30" s="19"/>
      <c r="Z30" s="19"/>
      <c r="AA30" s="19"/>
      <c r="AB30" s="19"/>
      <c r="AC30" s="19"/>
      <c r="AE30" s="17">
        <v>4</v>
      </c>
      <c r="AF30" s="18" t="s">
        <v>24</v>
      </c>
      <c r="AG30" s="19">
        <f t="shared" si="52"/>
        <v>-264890</v>
      </c>
      <c r="AH30" s="19" t="e">
        <f t="shared" si="53"/>
        <v>#DIV/0!</v>
      </c>
      <c r="AI30" s="19">
        <f t="shared" si="54"/>
        <v>-264890</v>
      </c>
      <c r="AJ30" s="19" t="e">
        <f t="shared" si="55"/>
        <v>#DIV/0!</v>
      </c>
      <c r="AK30" s="19">
        <f t="shared" si="56"/>
        <v>-264890</v>
      </c>
      <c r="AL30" s="19" t="e">
        <f t="shared" si="57"/>
        <v>#DIV/0!</v>
      </c>
      <c r="AM30" s="19">
        <f t="shared" si="58"/>
        <v>0</v>
      </c>
      <c r="AN30" s="19" t="e">
        <f t="shared" si="59"/>
        <v>#DIV/0!</v>
      </c>
      <c r="AO30" s="19">
        <f t="shared" si="60"/>
        <v>0</v>
      </c>
      <c r="AP30" s="19" t="e">
        <f t="shared" si="61"/>
        <v>#DIV/0!</v>
      </c>
      <c r="AQ30" s="19">
        <f t="shared" si="62"/>
        <v>0</v>
      </c>
      <c r="AR30" s="19" t="e">
        <f t="shared" si="63"/>
        <v>#DIV/0!</v>
      </c>
      <c r="AS30" s="19">
        <f t="shared" si="64"/>
        <v>0</v>
      </c>
      <c r="AT30" s="19" t="e">
        <f t="shared" si="65"/>
        <v>#DIV/0!</v>
      </c>
      <c r="AU30" s="19">
        <f t="shared" si="66"/>
        <v>0</v>
      </c>
      <c r="AV30" s="19" t="e">
        <f t="shared" si="67"/>
        <v>#DIV/0!</v>
      </c>
      <c r="AW30" s="19">
        <f t="shared" si="68"/>
        <v>0</v>
      </c>
      <c r="AX30" s="19" t="e">
        <f t="shared" si="69"/>
        <v>#DIV/0!</v>
      </c>
      <c r="AY30" s="19">
        <f t="shared" si="70"/>
        <v>0</v>
      </c>
      <c r="AZ30" s="19" t="e">
        <f t="shared" si="71"/>
        <v>#DIV/0!</v>
      </c>
      <c r="BA30" s="19">
        <f t="shared" si="72"/>
        <v>0</v>
      </c>
      <c r="BB30" s="19" t="e">
        <f t="shared" si="73"/>
        <v>#DIV/0!</v>
      </c>
      <c r="BC30" s="19">
        <f t="shared" si="74"/>
        <v>0</v>
      </c>
      <c r="BD30" s="19" t="e">
        <f t="shared" si="75"/>
        <v>#DIV/0!</v>
      </c>
    </row>
    <row r="31" spans="1:56">
      <c r="A31" s="17">
        <v>5</v>
      </c>
      <c r="B31" s="18" t="s">
        <v>26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6"/>
      <c r="P31" s="17">
        <v>5</v>
      </c>
      <c r="Q31" s="18" t="s">
        <v>26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E31" s="17">
        <v>5</v>
      </c>
      <c r="AF31" s="18" t="s">
        <v>26</v>
      </c>
      <c r="AG31" s="19">
        <f t="shared" si="52"/>
        <v>0</v>
      </c>
      <c r="AH31" s="19" t="e">
        <f t="shared" si="53"/>
        <v>#DIV/0!</v>
      </c>
      <c r="AI31" s="19">
        <f t="shared" si="54"/>
        <v>0</v>
      </c>
      <c r="AJ31" s="19" t="e">
        <f t="shared" si="55"/>
        <v>#DIV/0!</v>
      </c>
      <c r="AK31" s="19">
        <f t="shared" si="56"/>
        <v>0</v>
      </c>
      <c r="AL31" s="19" t="e">
        <f t="shared" si="57"/>
        <v>#DIV/0!</v>
      </c>
      <c r="AM31" s="19">
        <f t="shared" si="58"/>
        <v>0</v>
      </c>
      <c r="AN31" s="19" t="e">
        <f t="shared" si="59"/>
        <v>#DIV/0!</v>
      </c>
      <c r="AO31" s="19">
        <f t="shared" si="60"/>
        <v>0</v>
      </c>
      <c r="AP31" s="19" t="e">
        <f t="shared" si="61"/>
        <v>#DIV/0!</v>
      </c>
      <c r="AQ31" s="19">
        <f t="shared" si="62"/>
        <v>0</v>
      </c>
      <c r="AR31" s="19" t="e">
        <f t="shared" si="63"/>
        <v>#DIV/0!</v>
      </c>
      <c r="AS31" s="19">
        <f t="shared" si="64"/>
        <v>0</v>
      </c>
      <c r="AT31" s="19" t="e">
        <f t="shared" si="65"/>
        <v>#DIV/0!</v>
      </c>
      <c r="AU31" s="19">
        <f t="shared" si="66"/>
        <v>0</v>
      </c>
      <c r="AV31" s="19" t="e">
        <f t="shared" si="67"/>
        <v>#DIV/0!</v>
      </c>
      <c r="AW31" s="19">
        <f t="shared" si="68"/>
        <v>0</v>
      </c>
      <c r="AX31" s="19" t="e">
        <f t="shared" si="69"/>
        <v>#DIV/0!</v>
      </c>
      <c r="AY31" s="19">
        <f t="shared" si="70"/>
        <v>0</v>
      </c>
      <c r="AZ31" s="19" t="e">
        <f t="shared" si="71"/>
        <v>#DIV/0!</v>
      </c>
      <c r="BA31" s="19">
        <f t="shared" si="72"/>
        <v>0</v>
      </c>
      <c r="BB31" s="19" t="e">
        <f t="shared" si="73"/>
        <v>#DIV/0!</v>
      </c>
      <c r="BC31" s="19">
        <f t="shared" si="74"/>
        <v>0</v>
      </c>
      <c r="BD31" s="19" t="e">
        <f t="shared" si="75"/>
        <v>#DIV/0!</v>
      </c>
    </row>
    <row r="32" spans="1:56">
      <c r="A32" s="17">
        <v>6</v>
      </c>
      <c r="B32" s="18" t="s">
        <v>28</v>
      </c>
      <c r="C32" s="19">
        <v>8223853</v>
      </c>
      <c r="D32" s="19">
        <v>8223853</v>
      </c>
      <c r="E32" s="19">
        <v>8223853</v>
      </c>
      <c r="F32" s="19"/>
      <c r="G32" s="19"/>
      <c r="H32" s="19"/>
      <c r="I32" s="19"/>
      <c r="J32" s="19"/>
      <c r="K32" s="19"/>
      <c r="L32" s="19"/>
      <c r="M32" s="19"/>
      <c r="N32" s="19"/>
      <c r="O32" s="26"/>
      <c r="P32" s="17">
        <v>6</v>
      </c>
      <c r="Q32" s="18" t="s">
        <v>28</v>
      </c>
      <c r="R32" s="19">
        <v>12721437.1</v>
      </c>
      <c r="S32" s="19">
        <v>12721437.1</v>
      </c>
      <c r="T32" s="19">
        <v>12721437.1</v>
      </c>
      <c r="U32" s="19"/>
      <c r="V32" s="19"/>
      <c r="W32" s="19"/>
      <c r="X32" s="19"/>
      <c r="Y32" s="19"/>
      <c r="Z32" s="19"/>
      <c r="AA32" s="19"/>
      <c r="AB32" s="19"/>
      <c r="AC32" s="19"/>
      <c r="AE32" s="17">
        <v>6</v>
      </c>
      <c r="AF32" s="18" t="s">
        <v>28</v>
      </c>
      <c r="AG32" s="19">
        <f t="shared" si="52"/>
        <v>-4497584.0999999996</v>
      </c>
      <c r="AH32" s="19">
        <f t="shared" si="53"/>
        <v>-54.689500164947013</v>
      </c>
      <c r="AI32" s="19">
        <f t="shared" si="54"/>
        <v>-4497584.0999999996</v>
      </c>
      <c r="AJ32" s="19">
        <f t="shared" si="55"/>
        <v>-54.689500164947013</v>
      </c>
      <c r="AK32" s="19">
        <f t="shared" si="56"/>
        <v>-4497584.0999999996</v>
      </c>
      <c r="AL32" s="19">
        <f t="shared" si="57"/>
        <v>-54.689500164947013</v>
      </c>
      <c r="AM32" s="19">
        <f t="shared" si="58"/>
        <v>0</v>
      </c>
      <c r="AN32" s="19" t="e">
        <f t="shared" si="59"/>
        <v>#DIV/0!</v>
      </c>
      <c r="AO32" s="19">
        <f t="shared" si="60"/>
        <v>0</v>
      </c>
      <c r="AP32" s="19" t="e">
        <f t="shared" si="61"/>
        <v>#DIV/0!</v>
      </c>
      <c r="AQ32" s="19">
        <f t="shared" si="62"/>
        <v>0</v>
      </c>
      <c r="AR32" s="19" t="e">
        <f t="shared" si="63"/>
        <v>#DIV/0!</v>
      </c>
      <c r="AS32" s="19">
        <f t="shared" si="64"/>
        <v>0</v>
      </c>
      <c r="AT32" s="19" t="e">
        <f t="shared" si="65"/>
        <v>#DIV/0!</v>
      </c>
      <c r="AU32" s="19">
        <f t="shared" si="66"/>
        <v>0</v>
      </c>
      <c r="AV32" s="19" t="e">
        <f t="shared" si="67"/>
        <v>#DIV/0!</v>
      </c>
      <c r="AW32" s="19">
        <f t="shared" si="68"/>
        <v>0</v>
      </c>
      <c r="AX32" s="19" t="e">
        <f t="shared" si="69"/>
        <v>#DIV/0!</v>
      </c>
      <c r="AY32" s="19">
        <f t="shared" si="70"/>
        <v>0</v>
      </c>
      <c r="AZ32" s="19" t="e">
        <f t="shared" si="71"/>
        <v>#DIV/0!</v>
      </c>
      <c r="BA32" s="19">
        <f t="shared" si="72"/>
        <v>0</v>
      </c>
      <c r="BB32" s="19" t="e">
        <f t="shared" si="73"/>
        <v>#DIV/0!</v>
      </c>
      <c r="BC32" s="19">
        <f t="shared" si="74"/>
        <v>0</v>
      </c>
      <c r="BD32" s="19" t="e">
        <f t="shared" si="75"/>
        <v>#DIV/0!</v>
      </c>
    </row>
    <row r="33" spans="1:56">
      <c r="A33" s="17">
        <v>7</v>
      </c>
      <c r="B33" s="18" t="s">
        <v>30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6"/>
      <c r="P33" s="17">
        <v>7</v>
      </c>
      <c r="Q33" s="18" t="s">
        <v>30</v>
      </c>
      <c r="R33" s="19">
        <v>127100</v>
      </c>
      <c r="S33" s="19">
        <v>127100</v>
      </c>
      <c r="T33" s="19">
        <v>127100</v>
      </c>
      <c r="U33" s="19"/>
      <c r="V33" s="19"/>
      <c r="W33" s="19"/>
      <c r="X33" s="19"/>
      <c r="Y33" s="19"/>
      <c r="Z33" s="19"/>
      <c r="AA33" s="19"/>
      <c r="AB33" s="19"/>
      <c r="AC33" s="19"/>
      <c r="AE33" s="17">
        <v>7</v>
      </c>
      <c r="AF33" s="18" t="s">
        <v>30</v>
      </c>
      <c r="AG33" s="19">
        <f t="shared" si="52"/>
        <v>-127100</v>
      </c>
      <c r="AH33" s="19" t="e">
        <f t="shared" si="53"/>
        <v>#DIV/0!</v>
      </c>
      <c r="AI33" s="19">
        <f t="shared" si="54"/>
        <v>-127100</v>
      </c>
      <c r="AJ33" s="19" t="e">
        <f t="shared" si="55"/>
        <v>#DIV/0!</v>
      </c>
      <c r="AK33" s="19">
        <f t="shared" si="56"/>
        <v>-127100</v>
      </c>
      <c r="AL33" s="19" t="e">
        <f t="shared" si="57"/>
        <v>#DIV/0!</v>
      </c>
      <c r="AM33" s="19">
        <f t="shared" si="58"/>
        <v>0</v>
      </c>
      <c r="AN33" s="19" t="e">
        <f t="shared" si="59"/>
        <v>#DIV/0!</v>
      </c>
      <c r="AO33" s="19">
        <f t="shared" si="60"/>
        <v>0</v>
      </c>
      <c r="AP33" s="19" t="e">
        <f t="shared" si="61"/>
        <v>#DIV/0!</v>
      </c>
      <c r="AQ33" s="19">
        <f t="shared" si="62"/>
        <v>0</v>
      </c>
      <c r="AR33" s="19" t="e">
        <f t="shared" si="63"/>
        <v>#DIV/0!</v>
      </c>
      <c r="AS33" s="19">
        <f t="shared" si="64"/>
        <v>0</v>
      </c>
      <c r="AT33" s="19" t="e">
        <f t="shared" si="65"/>
        <v>#DIV/0!</v>
      </c>
      <c r="AU33" s="19">
        <f t="shared" si="66"/>
        <v>0</v>
      </c>
      <c r="AV33" s="19" t="e">
        <f t="shared" si="67"/>
        <v>#DIV/0!</v>
      </c>
      <c r="AW33" s="19">
        <f t="shared" si="68"/>
        <v>0</v>
      </c>
      <c r="AX33" s="19" t="e">
        <f t="shared" si="69"/>
        <v>#DIV/0!</v>
      </c>
      <c r="AY33" s="19">
        <f t="shared" si="70"/>
        <v>0</v>
      </c>
      <c r="AZ33" s="19" t="e">
        <f t="shared" si="71"/>
        <v>#DIV/0!</v>
      </c>
      <c r="BA33" s="19">
        <f t="shared" si="72"/>
        <v>0</v>
      </c>
      <c r="BB33" s="19" t="e">
        <f t="shared" si="73"/>
        <v>#DIV/0!</v>
      </c>
      <c r="BC33" s="19">
        <f t="shared" si="74"/>
        <v>0</v>
      </c>
      <c r="BD33" s="19" t="e">
        <f t="shared" si="75"/>
        <v>#DIV/0!</v>
      </c>
    </row>
    <row r="34" spans="1:56">
      <c r="A34" s="17">
        <v>8</v>
      </c>
      <c r="B34" s="18" t="s">
        <v>32</v>
      </c>
      <c r="C34" s="19">
        <v>532500</v>
      </c>
      <c r="D34" s="19">
        <v>532500</v>
      </c>
      <c r="E34" s="19">
        <v>532500</v>
      </c>
      <c r="F34" s="19"/>
      <c r="G34" s="19"/>
      <c r="H34" s="19"/>
      <c r="I34" s="19"/>
      <c r="J34" s="19"/>
      <c r="K34" s="19"/>
      <c r="L34" s="19"/>
      <c r="M34" s="19"/>
      <c r="N34" s="19"/>
      <c r="O34" s="26"/>
      <c r="P34" s="17">
        <v>8</v>
      </c>
      <c r="Q34" s="18" t="s">
        <v>32</v>
      </c>
      <c r="R34" s="19">
        <v>994140</v>
      </c>
      <c r="S34" s="19">
        <v>994140</v>
      </c>
      <c r="T34" s="19">
        <v>994140</v>
      </c>
      <c r="U34" s="19"/>
      <c r="V34" s="19"/>
      <c r="W34" s="19"/>
      <c r="X34" s="19"/>
      <c r="Y34" s="19"/>
      <c r="Z34" s="19"/>
      <c r="AA34" s="19"/>
      <c r="AB34" s="19"/>
      <c r="AC34" s="19"/>
      <c r="AE34" s="17">
        <v>8</v>
      </c>
      <c r="AF34" s="18" t="s">
        <v>32</v>
      </c>
      <c r="AG34" s="19">
        <f t="shared" si="52"/>
        <v>-461640</v>
      </c>
      <c r="AH34" s="19">
        <f t="shared" si="53"/>
        <v>-86.692957746478868</v>
      </c>
      <c r="AI34" s="19">
        <f t="shared" si="54"/>
        <v>-461640</v>
      </c>
      <c r="AJ34" s="19">
        <f t="shared" si="55"/>
        <v>-86.692957746478868</v>
      </c>
      <c r="AK34" s="19">
        <f t="shared" si="56"/>
        <v>-461640</v>
      </c>
      <c r="AL34" s="19">
        <f t="shared" si="57"/>
        <v>-86.692957746478868</v>
      </c>
      <c r="AM34" s="19">
        <f t="shared" si="58"/>
        <v>0</v>
      </c>
      <c r="AN34" s="19" t="e">
        <f t="shared" si="59"/>
        <v>#DIV/0!</v>
      </c>
      <c r="AO34" s="19">
        <f t="shared" si="60"/>
        <v>0</v>
      </c>
      <c r="AP34" s="19" t="e">
        <f t="shared" si="61"/>
        <v>#DIV/0!</v>
      </c>
      <c r="AQ34" s="19">
        <f t="shared" si="62"/>
        <v>0</v>
      </c>
      <c r="AR34" s="19" t="e">
        <f t="shared" si="63"/>
        <v>#DIV/0!</v>
      </c>
      <c r="AS34" s="19">
        <f t="shared" si="64"/>
        <v>0</v>
      </c>
      <c r="AT34" s="19" t="e">
        <f t="shared" si="65"/>
        <v>#DIV/0!</v>
      </c>
      <c r="AU34" s="19">
        <f t="shared" si="66"/>
        <v>0</v>
      </c>
      <c r="AV34" s="19" t="e">
        <f t="shared" si="67"/>
        <v>#DIV/0!</v>
      </c>
      <c r="AW34" s="19">
        <f t="shared" si="68"/>
        <v>0</v>
      </c>
      <c r="AX34" s="19" t="e">
        <f t="shared" si="69"/>
        <v>#DIV/0!</v>
      </c>
      <c r="AY34" s="19">
        <f t="shared" si="70"/>
        <v>0</v>
      </c>
      <c r="AZ34" s="19" t="e">
        <f t="shared" si="71"/>
        <v>#DIV/0!</v>
      </c>
      <c r="BA34" s="19">
        <f t="shared" si="72"/>
        <v>0</v>
      </c>
      <c r="BB34" s="19" t="e">
        <f t="shared" si="73"/>
        <v>#DIV/0!</v>
      </c>
      <c r="BC34" s="19">
        <f t="shared" si="74"/>
        <v>0</v>
      </c>
      <c r="BD34" s="19" t="e">
        <f t="shared" si="75"/>
        <v>#DIV/0!</v>
      </c>
    </row>
    <row r="35" spans="1:56">
      <c r="A35" s="17">
        <v>9</v>
      </c>
      <c r="B35" s="18" t="s">
        <v>34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6"/>
      <c r="P35" s="17">
        <v>9</v>
      </c>
      <c r="Q35" s="18" t="s">
        <v>34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E35" s="17">
        <v>9</v>
      </c>
      <c r="AF35" s="18" t="s">
        <v>34</v>
      </c>
      <c r="AG35" s="19">
        <f t="shared" si="52"/>
        <v>0</v>
      </c>
      <c r="AH35" s="19" t="e">
        <f t="shared" si="53"/>
        <v>#DIV/0!</v>
      </c>
      <c r="AI35" s="19">
        <f t="shared" si="54"/>
        <v>0</v>
      </c>
      <c r="AJ35" s="19" t="e">
        <f t="shared" si="55"/>
        <v>#DIV/0!</v>
      </c>
      <c r="AK35" s="19">
        <f t="shared" si="56"/>
        <v>0</v>
      </c>
      <c r="AL35" s="19" t="e">
        <f t="shared" si="57"/>
        <v>#DIV/0!</v>
      </c>
      <c r="AM35" s="19">
        <f t="shared" si="58"/>
        <v>0</v>
      </c>
      <c r="AN35" s="19" t="e">
        <f t="shared" si="59"/>
        <v>#DIV/0!</v>
      </c>
      <c r="AO35" s="19">
        <f t="shared" si="60"/>
        <v>0</v>
      </c>
      <c r="AP35" s="19" t="e">
        <f t="shared" si="61"/>
        <v>#DIV/0!</v>
      </c>
      <c r="AQ35" s="19">
        <f t="shared" si="62"/>
        <v>0</v>
      </c>
      <c r="AR35" s="19" t="e">
        <f t="shared" si="63"/>
        <v>#DIV/0!</v>
      </c>
      <c r="AS35" s="19">
        <f t="shared" si="64"/>
        <v>0</v>
      </c>
      <c r="AT35" s="19" t="e">
        <f t="shared" si="65"/>
        <v>#DIV/0!</v>
      </c>
      <c r="AU35" s="19">
        <f t="shared" si="66"/>
        <v>0</v>
      </c>
      <c r="AV35" s="19" t="e">
        <f t="shared" si="67"/>
        <v>#DIV/0!</v>
      </c>
      <c r="AW35" s="19">
        <f t="shared" si="68"/>
        <v>0</v>
      </c>
      <c r="AX35" s="19" t="e">
        <f t="shared" si="69"/>
        <v>#DIV/0!</v>
      </c>
      <c r="AY35" s="19">
        <f t="shared" si="70"/>
        <v>0</v>
      </c>
      <c r="AZ35" s="19" t="e">
        <f t="shared" si="71"/>
        <v>#DIV/0!</v>
      </c>
      <c r="BA35" s="19">
        <f t="shared" si="72"/>
        <v>0</v>
      </c>
      <c r="BB35" s="19" t="e">
        <f t="shared" si="73"/>
        <v>#DIV/0!</v>
      </c>
      <c r="BC35" s="19">
        <f t="shared" si="74"/>
        <v>0</v>
      </c>
      <c r="BD35" s="19" t="e">
        <f t="shared" si="75"/>
        <v>#DIV/0!</v>
      </c>
    </row>
    <row r="36" spans="1:56">
      <c r="A36" s="17">
        <v>10</v>
      </c>
      <c r="B36" s="18" t="s">
        <v>36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6"/>
      <c r="P36" s="17">
        <v>10</v>
      </c>
      <c r="Q36" s="18" t="s">
        <v>36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E36" s="17">
        <v>10</v>
      </c>
      <c r="AF36" s="18" t="s">
        <v>36</v>
      </c>
      <c r="AG36" s="19">
        <f t="shared" si="52"/>
        <v>0</v>
      </c>
      <c r="AH36" s="19" t="e">
        <f t="shared" si="53"/>
        <v>#DIV/0!</v>
      </c>
      <c r="AI36" s="19">
        <f t="shared" si="54"/>
        <v>0</v>
      </c>
      <c r="AJ36" s="19" t="e">
        <f t="shared" si="55"/>
        <v>#DIV/0!</v>
      </c>
      <c r="AK36" s="19">
        <f t="shared" si="56"/>
        <v>0</v>
      </c>
      <c r="AL36" s="19" t="e">
        <f t="shared" si="57"/>
        <v>#DIV/0!</v>
      </c>
      <c r="AM36" s="19">
        <f t="shared" si="58"/>
        <v>0</v>
      </c>
      <c r="AN36" s="19" t="e">
        <f t="shared" si="59"/>
        <v>#DIV/0!</v>
      </c>
      <c r="AO36" s="19">
        <f t="shared" si="60"/>
        <v>0</v>
      </c>
      <c r="AP36" s="19" t="e">
        <f t="shared" si="61"/>
        <v>#DIV/0!</v>
      </c>
      <c r="AQ36" s="19">
        <f t="shared" si="62"/>
        <v>0</v>
      </c>
      <c r="AR36" s="19" t="e">
        <f t="shared" si="63"/>
        <v>#DIV/0!</v>
      </c>
      <c r="AS36" s="19">
        <f t="shared" si="64"/>
        <v>0</v>
      </c>
      <c r="AT36" s="19" t="e">
        <f t="shared" si="65"/>
        <v>#DIV/0!</v>
      </c>
      <c r="AU36" s="19">
        <f t="shared" si="66"/>
        <v>0</v>
      </c>
      <c r="AV36" s="19" t="e">
        <f t="shared" si="67"/>
        <v>#DIV/0!</v>
      </c>
      <c r="AW36" s="19">
        <f t="shared" si="68"/>
        <v>0</v>
      </c>
      <c r="AX36" s="19" t="e">
        <f t="shared" si="69"/>
        <v>#DIV/0!</v>
      </c>
      <c r="AY36" s="19">
        <f t="shared" si="70"/>
        <v>0</v>
      </c>
      <c r="AZ36" s="19" t="e">
        <f t="shared" si="71"/>
        <v>#DIV/0!</v>
      </c>
      <c r="BA36" s="19">
        <f t="shared" si="72"/>
        <v>0</v>
      </c>
      <c r="BB36" s="19" t="e">
        <f t="shared" si="73"/>
        <v>#DIV/0!</v>
      </c>
      <c r="BC36" s="19">
        <f t="shared" si="74"/>
        <v>0</v>
      </c>
      <c r="BD36" s="19" t="e">
        <f t="shared" si="75"/>
        <v>#DIV/0!</v>
      </c>
    </row>
    <row r="37" spans="1:56">
      <c r="A37" s="17">
        <v>11</v>
      </c>
      <c r="B37" s="18" t="s">
        <v>38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6"/>
      <c r="P37" s="17">
        <v>11</v>
      </c>
      <c r="Q37" s="18" t="s">
        <v>38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E37" s="17">
        <v>11</v>
      </c>
      <c r="AF37" s="18" t="s">
        <v>38</v>
      </c>
      <c r="AG37" s="19">
        <f t="shared" si="52"/>
        <v>0</v>
      </c>
      <c r="AH37" s="19" t="e">
        <f t="shared" si="53"/>
        <v>#DIV/0!</v>
      </c>
      <c r="AI37" s="19">
        <f t="shared" si="54"/>
        <v>0</v>
      </c>
      <c r="AJ37" s="19" t="e">
        <f t="shared" si="55"/>
        <v>#DIV/0!</v>
      </c>
      <c r="AK37" s="19">
        <f t="shared" si="56"/>
        <v>0</v>
      </c>
      <c r="AL37" s="19" t="e">
        <f t="shared" si="57"/>
        <v>#DIV/0!</v>
      </c>
      <c r="AM37" s="19">
        <f t="shared" si="58"/>
        <v>0</v>
      </c>
      <c r="AN37" s="19" t="e">
        <f t="shared" si="59"/>
        <v>#DIV/0!</v>
      </c>
      <c r="AO37" s="19">
        <f t="shared" si="60"/>
        <v>0</v>
      </c>
      <c r="AP37" s="19" t="e">
        <f t="shared" si="61"/>
        <v>#DIV/0!</v>
      </c>
      <c r="AQ37" s="19">
        <f t="shared" si="62"/>
        <v>0</v>
      </c>
      <c r="AR37" s="19" t="e">
        <f t="shared" si="63"/>
        <v>#DIV/0!</v>
      </c>
      <c r="AS37" s="19">
        <f t="shared" si="64"/>
        <v>0</v>
      </c>
      <c r="AT37" s="19" t="e">
        <f t="shared" si="65"/>
        <v>#DIV/0!</v>
      </c>
      <c r="AU37" s="19">
        <f t="shared" si="66"/>
        <v>0</v>
      </c>
      <c r="AV37" s="19" t="e">
        <f t="shared" si="67"/>
        <v>#DIV/0!</v>
      </c>
      <c r="AW37" s="19">
        <f t="shared" si="68"/>
        <v>0</v>
      </c>
      <c r="AX37" s="19" t="e">
        <f t="shared" si="69"/>
        <v>#DIV/0!</v>
      </c>
      <c r="AY37" s="19">
        <f t="shared" si="70"/>
        <v>0</v>
      </c>
      <c r="AZ37" s="19" t="e">
        <f t="shared" si="71"/>
        <v>#DIV/0!</v>
      </c>
      <c r="BA37" s="19">
        <f t="shared" si="72"/>
        <v>0</v>
      </c>
      <c r="BB37" s="19" t="e">
        <f t="shared" si="73"/>
        <v>#DIV/0!</v>
      </c>
      <c r="BC37" s="19">
        <f t="shared" si="74"/>
        <v>0</v>
      </c>
      <c r="BD37" s="19" t="e">
        <f t="shared" si="75"/>
        <v>#DIV/0!</v>
      </c>
    </row>
    <row r="38" spans="1:56">
      <c r="A38" s="17">
        <v>12</v>
      </c>
      <c r="B38" s="18" t="s">
        <v>40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6"/>
      <c r="P38" s="17">
        <v>12</v>
      </c>
      <c r="Q38" s="18" t="s">
        <v>40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E38" s="17">
        <v>12</v>
      </c>
      <c r="AF38" s="18" t="s">
        <v>40</v>
      </c>
      <c r="AG38" s="19">
        <f t="shared" si="52"/>
        <v>0</v>
      </c>
      <c r="AH38" s="19" t="e">
        <f t="shared" si="53"/>
        <v>#DIV/0!</v>
      </c>
      <c r="AI38" s="19">
        <f t="shared" si="54"/>
        <v>0</v>
      </c>
      <c r="AJ38" s="19" t="e">
        <f t="shared" si="55"/>
        <v>#DIV/0!</v>
      </c>
      <c r="AK38" s="19">
        <f t="shared" si="56"/>
        <v>0</v>
      </c>
      <c r="AL38" s="19" t="e">
        <f t="shared" si="57"/>
        <v>#DIV/0!</v>
      </c>
      <c r="AM38" s="19">
        <f t="shared" si="58"/>
        <v>0</v>
      </c>
      <c r="AN38" s="19" t="e">
        <f t="shared" si="59"/>
        <v>#DIV/0!</v>
      </c>
      <c r="AO38" s="19">
        <f t="shared" si="60"/>
        <v>0</v>
      </c>
      <c r="AP38" s="19" t="e">
        <f t="shared" si="61"/>
        <v>#DIV/0!</v>
      </c>
      <c r="AQ38" s="19">
        <f t="shared" si="62"/>
        <v>0</v>
      </c>
      <c r="AR38" s="19" t="e">
        <f t="shared" si="63"/>
        <v>#DIV/0!</v>
      </c>
      <c r="AS38" s="19">
        <f t="shared" si="64"/>
        <v>0</v>
      </c>
      <c r="AT38" s="19" t="e">
        <f t="shared" si="65"/>
        <v>#DIV/0!</v>
      </c>
      <c r="AU38" s="19">
        <f t="shared" si="66"/>
        <v>0</v>
      </c>
      <c r="AV38" s="19" t="e">
        <f t="shared" si="67"/>
        <v>#DIV/0!</v>
      </c>
      <c r="AW38" s="19">
        <f t="shared" si="68"/>
        <v>0</v>
      </c>
      <c r="AX38" s="19" t="e">
        <f t="shared" si="69"/>
        <v>#DIV/0!</v>
      </c>
      <c r="AY38" s="19">
        <f t="shared" si="70"/>
        <v>0</v>
      </c>
      <c r="AZ38" s="19" t="e">
        <f t="shared" si="71"/>
        <v>#DIV/0!</v>
      </c>
      <c r="BA38" s="19">
        <f t="shared" si="72"/>
        <v>0</v>
      </c>
      <c r="BB38" s="19" t="e">
        <f t="shared" si="73"/>
        <v>#DIV/0!</v>
      </c>
      <c r="BC38" s="19">
        <f t="shared" si="74"/>
        <v>0</v>
      </c>
      <c r="BD38" s="19" t="e">
        <f t="shared" si="75"/>
        <v>#DIV/0!</v>
      </c>
    </row>
    <row r="39" spans="1:56">
      <c r="A39" s="17">
        <v>13</v>
      </c>
      <c r="B39" s="18" t="s">
        <v>42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6"/>
      <c r="P39" s="17">
        <v>13</v>
      </c>
      <c r="Q39" s="18" t="s">
        <v>42</v>
      </c>
      <c r="R39" s="19">
        <f>27046+210330</f>
        <v>237376</v>
      </c>
      <c r="S39" s="19">
        <f>27046+210330</f>
        <v>237376</v>
      </c>
      <c r="T39" s="19">
        <f>27046+210330</f>
        <v>237376</v>
      </c>
      <c r="U39" s="19"/>
      <c r="V39" s="19"/>
      <c r="W39" s="19"/>
      <c r="X39" s="19"/>
      <c r="Y39" s="19"/>
      <c r="Z39" s="19"/>
      <c r="AA39" s="19"/>
      <c r="AB39" s="19"/>
      <c r="AC39" s="19"/>
      <c r="AE39" s="17">
        <v>13</v>
      </c>
      <c r="AF39" s="18" t="s">
        <v>42</v>
      </c>
      <c r="AG39" s="19">
        <f t="shared" si="52"/>
        <v>-237376</v>
      </c>
      <c r="AH39" s="19" t="e">
        <f t="shared" si="53"/>
        <v>#DIV/0!</v>
      </c>
      <c r="AI39" s="19">
        <f t="shared" si="54"/>
        <v>-237376</v>
      </c>
      <c r="AJ39" s="19" t="e">
        <f t="shared" si="55"/>
        <v>#DIV/0!</v>
      </c>
      <c r="AK39" s="19">
        <f t="shared" si="56"/>
        <v>-237376</v>
      </c>
      <c r="AL39" s="19" t="e">
        <f t="shared" si="57"/>
        <v>#DIV/0!</v>
      </c>
      <c r="AM39" s="19">
        <f t="shared" si="58"/>
        <v>0</v>
      </c>
      <c r="AN39" s="19" t="e">
        <f t="shared" si="59"/>
        <v>#DIV/0!</v>
      </c>
      <c r="AO39" s="19">
        <f t="shared" si="60"/>
        <v>0</v>
      </c>
      <c r="AP39" s="19" t="e">
        <f t="shared" si="61"/>
        <v>#DIV/0!</v>
      </c>
      <c r="AQ39" s="19">
        <f t="shared" si="62"/>
        <v>0</v>
      </c>
      <c r="AR39" s="19" t="e">
        <f t="shared" si="63"/>
        <v>#DIV/0!</v>
      </c>
      <c r="AS39" s="19">
        <f t="shared" si="64"/>
        <v>0</v>
      </c>
      <c r="AT39" s="19" t="e">
        <f t="shared" si="65"/>
        <v>#DIV/0!</v>
      </c>
      <c r="AU39" s="19">
        <f t="shared" si="66"/>
        <v>0</v>
      </c>
      <c r="AV39" s="19" t="e">
        <f t="shared" si="67"/>
        <v>#DIV/0!</v>
      </c>
      <c r="AW39" s="19">
        <f t="shared" si="68"/>
        <v>0</v>
      </c>
      <c r="AX39" s="19" t="e">
        <f t="shared" si="69"/>
        <v>#DIV/0!</v>
      </c>
      <c r="AY39" s="19">
        <f t="shared" si="70"/>
        <v>0</v>
      </c>
      <c r="AZ39" s="19" t="e">
        <f t="shared" si="71"/>
        <v>#DIV/0!</v>
      </c>
      <c r="BA39" s="19">
        <f t="shared" si="72"/>
        <v>0</v>
      </c>
      <c r="BB39" s="19" t="e">
        <f t="shared" si="73"/>
        <v>#DIV/0!</v>
      </c>
      <c r="BC39" s="19">
        <f t="shared" si="74"/>
        <v>0</v>
      </c>
      <c r="BD39" s="19" t="e">
        <f t="shared" si="75"/>
        <v>#DIV/0!</v>
      </c>
    </row>
    <row r="40" spans="1:56">
      <c r="A40" s="17">
        <v>14</v>
      </c>
      <c r="B40" s="18" t="s">
        <v>44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26"/>
      <c r="P40" s="17">
        <v>14</v>
      </c>
      <c r="Q40" s="18" t="s">
        <v>44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E40" s="17">
        <v>14</v>
      </c>
      <c r="AF40" s="18" t="s">
        <v>44</v>
      </c>
      <c r="AG40" s="19">
        <f t="shared" si="52"/>
        <v>0</v>
      </c>
      <c r="AH40" s="19" t="e">
        <f t="shared" si="53"/>
        <v>#DIV/0!</v>
      </c>
      <c r="AI40" s="19">
        <f t="shared" si="54"/>
        <v>0</v>
      </c>
      <c r="AJ40" s="19" t="e">
        <f t="shared" si="55"/>
        <v>#DIV/0!</v>
      </c>
      <c r="AK40" s="19">
        <f t="shared" si="56"/>
        <v>0</v>
      </c>
      <c r="AL40" s="19" t="e">
        <f t="shared" si="57"/>
        <v>#DIV/0!</v>
      </c>
      <c r="AM40" s="19">
        <f t="shared" si="58"/>
        <v>0</v>
      </c>
      <c r="AN40" s="19" t="e">
        <f t="shared" si="59"/>
        <v>#DIV/0!</v>
      </c>
      <c r="AO40" s="19">
        <f t="shared" si="60"/>
        <v>0</v>
      </c>
      <c r="AP40" s="19" t="e">
        <f t="shared" si="61"/>
        <v>#DIV/0!</v>
      </c>
      <c r="AQ40" s="19">
        <f t="shared" si="62"/>
        <v>0</v>
      </c>
      <c r="AR40" s="19" t="e">
        <f t="shared" si="63"/>
        <v>#DIV/0!</v>
      </c>
      <c r="AS40" s="19">
        <f t="shared" si="64"/>
        <v>0</v>
      </c>
      <c r="AT40" s="19" t="e">
        <f t="shared" si="65"/>
        <v>#DIV/0!</v>
      </c>
      <c r="AU40" s="19">
        <f t="shared" si="66"/>
        <v>0</v>
      </c>
      <c r="AV40" s="19" t="e">
        <f t="shared" si="67"/>
        <v>#DIV/0!</v>
      </c>
      <c r="AW40" s="19">
        <f t="shared" si="68"/>
        <v>0</v>
      </c>
      <c r="AX40" s="19" t="e">
        <f t="shared" si="69"/>
        <v>#DIV/0!</v>
      </c>
      <c r="AY40" s="19">
        <f t="shared" si="70"/>
        <v>0</v>
      </c>
      <c r="AZ40" s="19" t="e">
        <f t="shared" si="71"/>
        <v>#DIV/0!</v>
      </c>
      <c r="BA40" s="19">
        <f t="shared" si="72"/>
        <v>0</v>
      </c>
      <c r="BB40" s="19" t="e">
        <f t="shared" si="73"/>
        <v>#DIV/0!</v>
      </c>
      <c r="BC40" s="19">
        <f t="shared" si="74"/>
        <v>0</v>
      </c>
      <c r="BD40" s="19" t="e">
        <f t="shared" si="75"/>
        <v>#DIV/0!</v>
      </c>
    </row>
    <row r="41" spans="1:56" ht="25.2" thickBot="1">
      <c r="A41" s="17"/>
      <c r="B41" s="20" t="s">
        <v>17</v>
      </c>
      <c r="C41" s="27">
        <f>SUM(C27:C40)</f>
        <v>10176353</v>
      </c>
      <c r="D41" s="27">
        <f t="shared" ref="D41:N41" si="76">SUM(D27:D40)</f>
        <v>10176353</v>
      </c>
      <c r="E41" s="27">
        <f t="shared" si="76"/>
        <v>10176353</v>
      </c>
      <c r="F41" s="27">
        <f t="shared" si="76"/>
        <v>0</v>
      </c>
      <c r="G41" s="27">
        <f t="shared" si="76"/>
        <v>0</v>
      </c>
      <c r="H41" s="27">
        <f t="shared" si="76"/>
        <v>0</v>
      </c>
      <c r="I41" s="27">
        <f t="shared" si="76"/>
        <v>0</v>
      </c>
      <c r="J41" s="27">
        <f t="shared" si="76"/>
        <v>0</v>
      </c>
      <c r="K41" s="27">
        <f t="shared" si="76"/>
        <v>0</v>
      </c>
      <c r="L41" s="27">
        <f t="shared" si="76"/>
        <v>0</v>
      </c>
      <c r="M41" s="27">
        <f t="shared" si="76"/>
        <v>0</v>
      </c>
      <c r="N41" s="27">
        <f t="shared" si="76"/>
        <v>0</v>
      </c>
      <c r="P41" s="17"/>
      <c r="Q41" s="20" t="s">
        <v>17</v>
      </c>
      <c r="R41" s="27">
        <f>SUM(R27:R40)</f>
        <v>22965751.600000001</v>
      </c>
      <c r="S41" s="27">
        <f t="shared" ref="S41:AC41" si="77">SUM(S27:S40)</f>
        <v>22965751.600000001</v>
      </c>
      <c r="T41" s="27">
        <f t="shared" si="77"/>
        <v>22965751.600000001</v>
      </c>
      <c r="U41" s="27">
        <f t="shared" si="77"/>
        <v>0</v>
      </c>
      <c r="V41" s="27">
        <f t="shared" si="77"/>
        <v>0</v>
      </c>
      <c r="W41" s="27">
        <f t="shared" si="77"/>
        <v>0</v>
      </c>
      <c r="X41" s="27">
        <f t="shared" si="77"/>
        <v>0</v>
      </c>
      <c r="Y41" s="27">
        <f t="shared" si="77"/>
        <v>0</v>
      </c>
      <c r="Z41" s="27">
        <f t="shared" si="77"/>
        <v>0</v>
      </c>
      <c r="AA41" s="27">
        <f t="shared" si="77"/>
        <v>0</v>
      </c>
      <c r="AB41" s="27">
        <f t="shared" si="77"/>
        <v>0</v>
      </c>
      <c r="AC41" s="27">
        <f t="shared" si="77"/>
        <v>0</v>
      </c>
      <c r="AE41" s="17"/>
      <c r="AF41" s="20" t="s">
        <v>17</v>
      </c>
      <c r="AG41" s="23">
        <f t="shared" si="52"/>
        <v>-12789398.600000001</v>
      </c>
      <c r="AH41" s="23">
        <f t="shared" si="53"/>
        <v>-125.67762340791442</v>
      </c>
      <c r="AI41" s="23">
        <f t="shared" si="54"/>
        <v>-12789398.600000001</v>
      </c>
      <c r="AJ41" s="23">
        <f t="shared" si="55"/>
        <v>-125.67762340791442</v>
      </c>
      <c r="AK41" s="23">
        <f t="shared" si="56"/>
        <v>-12789398.600000001</v>
      </c>
      <c r="AL41" s="23">
        <f t="shared" si="57"/>
        <v>-125.67762340791442</v>
      </c>
      <c r="AM41" s="23">
        <f t="shared" si="58"/>
        <v>0</v>
      </c>
      <c r="AN41" s="23" t="e">
        <f t="shared" si="59"/>
        <v>#DIV/0!</v>
      </c>
      <c r="AO41" s="23">
        <f t="shared" si="60"/>
        <v>0</v>
      </c>
      <c r="AP41" s="23" t="e">
        <f t="shared" si="61"/>
        <v>#DIV/0!</v>
      </c>
      <c r="AQ41" s="23">
        <f t="shared" si="62"/>
        <v>0</v>
      </c>
      <c r="AR41" s="23" t="e">
        <f t="shared" si="63"/>
        <v>#DIV/0!</v>
      </c>
      <c r="AS41" s="23">
        <f t="shared" si="64"/>
        <v>0</v>
      </c>
      <c r="AT41" s="23" t="e">
        <f t="shared" si="65"/>
        <v>#DIV/0!</v>
      </c>
      <c r="AU41" s="23">
        <f t="shared" si="66"/>
        <v>0</v>
      </c>
      <c r="AV41" s="23" t="e">
        <f t="shared" si="67"/>
        <v>#DIV/0!</v>
      </c>
      <c r="AW41" s="23">
        <f t="shared" si="68"/>
        <v>0</v>
      </c>
      <c r="AX41" s="23" t="e">
        <f t="shared" si="69"/>
        <v>#DIV/0!</v>
      </c>
      <c r="AY41" s="23">
        <f t="shared" si="70"/>
        <v>0</v>
      </c>
      <c r="AZ41" s="23" t="e">
        <f t="shared" si="71"/>
        <v>#DIV/0!</v>
      </c>
      <c r="BA41" s="23">
        <f t="shared" si="72"/>
        <v>0</v>
      </c>
      <c r="BB41" s="23" t="e">
        <f t="shared" si="73"/>
        <v>#DIV/0!</v>
      </c>
      <c r="BC41" s="23">
        <f t="shared" si="74"/>
        <v>0</v>
      </c>
      <c r="BD41" s="23" t="e">
        <f t="shared" si="75"/>
        <v>#DIV/0!</v>
      </c>
    </row>
    <row r="42" spans="1:56" ht="25.2" thickTop="1"/>
    <row r="43" spans="1:56">
      <c r="A43" s="37" t="s">
        <v>48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P43" s="37" t="s">
        <v>52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E43" s="37" t="s">
        <v>89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1:56">
      <c r="A44" s="37" t="s">
        <v>1958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P44" s="37" t="s">
        <v>1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E44" s="37" t="s">
        <v>1</v>
      </c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</row>
    <row r="45" spans="1:56" s="15" customFormat="1">
      <c r="A45" s="35" t="s">
        <v>2</v>
      </c>
      <c r="B45" s="35" t="s">
        <v>3</v>
      </c>
      <c r="C45" s="38" t="s">
        <v>4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P45" s="35" t="s">
        <v>2</v>
      </c>
      <c r="Q45" s="35" t="s">
        <v>3</v>
      </c>
      <c r="R45" s="38" t="s">
        <v>5</v>
      </c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40"/>
      <c r="AE45" s="35" t="s">
        <v>2</v>
      </c>
      <c r="AF45" s="35" t="s">
        <v>3</v>
      </c>
      <c r="AG45" s="33">
        <v>25112</v>
      </c>
      <c r="AH45" s="34"/>
      <c r="AI45" s="33">
        <v>25143</v>
      </c>
      <c r="AJ45" s="34"/>
      <c r="AK45" s="33">
        <v>25173</v>
      </c>
      <c r="AL45" s="34"/>
      <c r="AM45" s="33">
        <v>25204</v>
      </c>
      <c r="AN45" s="34"/>
      <c r="AO45" s="33">
        <v>25235</v>
      </c>
      <c r="AP45" s="34"/>
      <c r="AQ45" s="33">
        <v>25263</v>
      </c>
      <c r="AR45" s="34"/>
      <c r="AS45" s="33">
        <v>25294</v>
      </c>
      <c r="AT45" s="34"/>
      <c r="AU45" s="33">
        <v>25324</v>
      </c>
      <c r="AV45" s="34"/>
      <c r="AW45" s="33">
        <v>25355</v>
      </c>
      <c r="AX45" s="34"/>
      <c r="AY45" s="33">
        <v>25385</v>
      </c>
      <c r="AZ45" s="34"/>
      <c r="BA45" s="33">
        <v>25416</v>
      </c>
      <c r="BB45" s="34"/>
      <c r="BC45" s="33">
        <v>25447</v>
      </c>
      <c r="BD45" s="34"/>
    </row>
    <row r="46" spans="1:56" s="15" customFormat="1">
      <c r="A46" s="36"/>
      <c r="B46" s="36"/>
      <c r="C46" s="16">
        <v>25112</v>
      </c>
      <c r="D46" s="16">
        <v>25143</v>
      </c>
      <c r="E46" s="16">
        <v>25173</v>
      </c>
      <c r="F46" s="16">
        <v>25204</v>
      </c>
      <c r="G46" s="16">
        <v>25235</v>
      </c>
      <c r="H46" s="16">
        <v>25263</v>
      </c>
      <c r="I46" s="16">
        <v>25294</v>
      </c>
      <c r="J46" s="16">
        <v>25324</v>
      </c>
      <c r="K46" s="16">
        <v>25355</v>
      </c>
      <c r="L46" s="16">
        <v>25385</v>
      </c>
      <c r="M46" s="16">
        <v>25416</v>
      </c>
      <c r="N46" s="16">
        <v>25447</v>
      </c>
      <c r="P46" s="36"/>
      <c r="Q46" s="36"/>
      <c r="R46" s="16">
        <v>25112</v>
      </c>
      <c r="S46" s="16">
        <v>25143</v>
      </c>
      <c r="T46" s="16">
        <v>25173</v>
      </c>
      <c r="U46" s="16">
        <v>25204</v>
      </c>
      <c r="V46" s="16">
        <v>25235</v>
      </c>
      <c r="W46" s="16">
        <v>25263</v>
      </c>
      <c r="X46" s="16">
        <v>25294</v>
      </c>
      <c r="Y46" s="16">
        <v>25324</v>
      </c>
      <c r="Z46" s="16">
        <v>25355</v>
      </c>
      <c r="AA46" s="16">
        <v>25385</v>
      </c>
      <c r="AB46" s="16">
        <v>25416</v>
      </c>
      <c r="AC46" s="16">
        <v>25447</v>
      </c>
      <c r="AE46" s="36"/>
      <c r="AF46" s="36"/>
      <c r="AG46" s="16" t="s">
        <v>85</v>
      </c>
      <c r="AH46" s="16" t="s">
        <v>86</v>
      </c>
      <c r="AI46" s="16" t="s">
        <v>85</v>
      </c>
      <c r="AJ46" s="16" t="s">
        <v>86</v>
      </c>
      <c r="AK46" s="16" t="s">
        <v>85</v>
      </c>
      <c r="AL46" s="16" t="s">
        <v>86</v>
      </c>
      <c r="AM46" s="16" t="s">
        <v>85</v>
      </c>
      <c r="AN46" s="16" t="s">
        <v>86</v>
      </c>
      <c r="AO46" s="16" t="s">
        <v>85</v>
      </c>
      <c r="AP46" s="16" t="s">
        <v>86</v>
      </c>
      <c r="AQ46" s="16" t="s">
        <v>85</v>
      </c>
      <c r="AR46" s="16" t="s">
        <v>86</v>
      </c>
      <c r="AS46" s="16" t="s">
        <v>85</v>
      </c>
      <c r="AT46" s="16" t="s">
        <v>86</v>
      </c>
      <c r="AU46" s="16" t="s">
        <v>85</v>
      </c>
      <c r="AV46" s="16" t="s">
        <v>86</v>
      </c>
      <c r="AW46" s="16" t="s">
        <v>85</v>
      </c>
      <c r="AX46" s="16" t="s">
        <v>86</v>
      </c>
      <c r="AY46" s="16" t="s">
        <v>85</v>
      </c>
      <c r="AZ46" s="16" t="s">
        <v>86</v>
      </c>
      <c r="BA46" s="16" t="s">
        <v>85</v>
      </c>
      <c r="BB46" s="16" t="s">
        <v>86</v>
      </c>
      <c r="BC46" s="16" t="s">
        <v>85</v>
      </c>
      <c r="BD46" s="16" t="s">
        <v>86</v>
      </c>
    </row>
    <row r="47" spans="1:56">
      <c r="A47" s="17">
        <v>1</v>
      </c>
      <c r="B47" s="18" t="s">
        <v>19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P47" s="17">
        <v>1</v>
      </c>
      <c r="Q47" s="18" t="s">
        <v>19</v>
      </c>
      <c r="R47" s="19">
        <v>1116997.5</v>
      </c>
      <c r="S47" s="19">
        <v>1116997.5</v>
      </c>
      <c r="T47" s="19">
        <v>1116997.5</v>
      </c>
      <c r="U47" s="19"/>
      <c r="V47" s="19"/>
      <c r="W47" s="19"/>
      <c r="X47" s="19"/>
      <c r="Y47" s="19"/>
      <c r="Z47" s="19"/>
      <c r="AA47" s="19"/>
      <c r="AB47" s="19"/>
      <c r="AC47" s="19"/>
      <c r="AE47" s="17">
        <v>1</v>
      </c>
      <c r="AF47" s="18" t="s">
        <v>19</v>
      </c>
      <c r="AG47" s="19">
        <f t="shared" ref="AG47:AG61" si="78">+C47-R47</f>
        <v>-1116997.5</v>
      </c>
      <c r="AH47" s="19" t="e">
        <f t="shared" ref="AH47:AH61" si="79">+AG47/C47*100</f>
        <v>#DIV/0!</v>
      </c>
      <c r="AI47" s="19">
        <f t="shared" ref="AI47:AI61" si="80">+D47-S47</f>
        <v>-1116997.5</v>
      </c>
      <c r="AJ47" s="19" t="e">
        <f t="shared" ref="AJ47:AJ61" si="81">+AI47/D47*100</f>
        <v>#DIV/0!</v>
      </c>
      <c r="AK47" s="19">
        <f t="shared" ref="AK47:AK61" si="82">+E47-T47</f>
        <v>-1116997.5</v>
      </c>
      <c r="AL47" s="19" t="e">
        <f t="shared" ref="AL47:AL61" si="83">+AK47/E47*100</f>
        <v>#DIV/0!</v>
      </c>
      <c r="AM47" s="19">
        <f t="shared" ref="AM47:AM61" si="84">+F47-U47</f>
        <v>0</v>
      </c>
      <c r="AN47" s="19" t="e">
        <f t="shared" ref="AN47:AN61" si="85">+AM47/F47*100</f>
        <v>#DIV/0!</v>
      </c>
      <c r="AO47" s="19">
        <f t="shared" ref="AO47:AO61" si="86">+G47-V47</f>
        <v>0</v>
      </c>
      <c r="AP47" s="19" t="e">
        <f t="shared" ref="AP47:AP61" si="87">+AO47/G47*100</f>
        <v>#DIV/0!</v>
      </c>
      <c r="AQ47" s="19">
        <f t="shared" ref="AQ47:AQ61" si="88">+H47-W47</f>
        <v>0</v>
      </c>
      <c r="AR47" s="19" t="e">
        <f t="shared" ref="AR47:AR61" si="89">+AQ47/H47*100</f>
        <v>#DIV/0!</v>
      </c>
      <c r="AS47" s="19">
        <f t="shared" ref="AS47:AS61" si="90">+I47-X47</f>
        <v>0</v>
      </c>
      <c r="AT47" s="19" t="e">
        <f t="shared" ref="AT47:AT61" si="91">+AS47/I47*100</f>
        <v>#DIV/0!</v>
      </c>
      <c r="AU47" s="19">
        <f t="shared" ref="AU47:AU61" si="92">+J47-Y47</f>
        <v>0</v>
      </c>
      <c r="AV47" s="19" t="e">
        <f t="shared" ref="AV47:AV61" si="93">+AU47/J47*100</f>
        <v>#DIV/0!</v>
      </c>
      <c r="AW47" s="19">
        <f t="shared" ref="AW47:AW61" si="94">+K47-Z47</f>
        <v>0</v>
      </c>
      <c r="AX47" s="19" t="e">
        <f t="shared" ref="AX47:AX61" si="95">+AW47/K47*100</f>
        <v>#DIV/0!</v>
      </c>
      <c r="AY47" s="19">
        <f t="shared" ref="AY47:AY61" si="96">+L47-AA47</f>
        <v>0</v>
      </c>
      <c r="AZ47" s="19" t="e">
        <f t="shared" ref="AZ47:AZ61" si="97">+AY47/L47*100</f>
        <v>#DIV/0!</v>
      </c>
      <c r="BA47" s="19">
        <f t="shared" ref="BA47:BA61" si="98">+M47-AB47</f>
        <v>0</v>
      </c>
      <c r="BB47" s="19" t="e">
        <f t="shared" ref="BB47:BB61" si="99">+BA47/M47*100</f>
        <v>#DIV/0!</v>
      </c>
      <c r="BC47" s="19">
        <f t="shared" ref="BC47:BC61" si="100">+N47-AC47</f>
        <v>0</v>
      </c>
      <c r="BD47" s="19" t="e">
        <f t="shared" ref="BD47:BD61" si="101">+BC47/N47*100</f>
        <v>#DIV/0!</v>
      </c>
    </row>
    <row r="48" spans="1:56">
      <c r="A48" s="17">
        <v>2</v>
      </c>
      <c r="B48" s="18" t="s">
        <v>21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P48" s="17">
        <v>2</v>
      </c>
      <c r="Q48" s="18" t="s">
        <v>21</v>
      </c>
      <c r="R48" s="19">
        <v>5909290</v>
      </c>
      <c r="S48" s="19">
        <v>5909290</v>
      </c>
      <c r="T48" s="19">
        <v>5909290</v>
      </c>
      <c r="U48" s="19"/>
      <c r="V48" s="19"/>
      <c r="W48" s="19"/>
      <c r="X48" s="19"/>
      <c r="Y48" s="19"/>
      <c r="Z48" s="19"/>
      <c r="AA48" s="19"/>
      <c r="AB48" s="19"/>
      <c r="AC48" s="19"/>
      <c r="AE48" s="17">
        <v>2</v>
      </c>
      <c r="AF48" s="18" t="s">
        <v>21</v>
      </c>
      <c r="AG48" s="19">
        <f t="shared" si="78"/>
        <v>-5909290</v>
      </c>
      <c r="AH48" s="19" t="e">
        <f t="shared" si="79"/>
        <v>#DIV/0!</v>
      </c>
      <c r="AI48" s="19">
        <f t="shared" si="80"/>
        <v>-5909290</v>
      </c>
      <c r="AJ48" s="19" t="e">
        <f t="shared" si="81"/>
        <v>#DIV/0!</v>
      </c>
      <c r="AK48" s="19">
        <f t="shared" si="82"/>
        <v>-5909290</v>
      </c>
      <c r="AL48" s="19" t="e">
        <f t="shared" si="83"/>
        <v>#DIV/0!</v>
      </c>
      <c r="AM48" s="19">
        <f t="shared" si="84"/>
        <v>0</v>
      </c>
      <c r="AN48" s="19" t="e">
        <f t="shared" si="85"/>
        <v>#DIV/0!</v>
      </c>
      <c r="AO48" s="19">
        <f t="shared" si="86"/>
        <v>0</v>
      </c>
      <c r="AP48" s="19" t="e">
        <f t="shared" si="87"/>
        <v>#DIV/0!</v>
      </c>
      <c r="AQ48" s="19">
        <f t="shared" si="88"/>
        <v>0</v>
      </c>
      <c r="AR48" s="19" t="e">
        <f t="shared" si="89"/>
        <v>#DIV/0!</v>
      </c>
      <c r="AS48" s="19">
        <f t="shared" si="90"/>
        <v>0</v>
      </c>
      <c r="AT48" s="19" t="e">
        <f t="shared" si="91"/>
        <v>#DIV/0!</v>
      </c>
      <c r="AU48" s="19">
        <f t="shared" si="92"/>
        <v>0</v>
      </c>
      <c r="AV48" s="19" t="e">
        <f t="shared" si="93"/>
        <v>#DIV/0!</v>
      </c>
      <c r="AW48" s="19">
        <f t="shared" si="94"/>
        <v>0</v>
      </c>
      <c r="AX48" s="19" t="e">
        <f t="shared" si="95"/>
        <v>#DIV/0!</v>
      </c>
      <c r="AY48" s="19">
        <f t="shared" si="96"/>
        <v>0</v>
      </c>
      <c r="AZ48" s="19" t="e">
        <f t="shared" si="97"/>
        <v>#DIV/0!</v>
      </c>
      <c r="BA48" s="19">
        <f t="shared" si="98"/>
        <v>0</v>
      </c>
      <c r="BB48" s="19" t="e">
        <f t="shared" si="99"/>
        <v>#DIV/0!</v>
      </c>
      <c r="BC48" s="19">
        <f t="shared" si="100"/>
        <v>0</v>
      </c>
      <c r="BD48" s="19" t="e">
        <f t="shared" si="101"/>
        <v>#DIV/0!</v>
      </c>
    </row>
    <row r="49" spans="1:56">
      <c r="A49" s="17">
        <v>3</v>
      </c>
      <c r="B49" s="18" t="s">
        <v>23</v>
      </c>
      <c r="C49" s="19">
        <v>49104.31</v>
      </c>
      <c r="D49" s="19">
        <v>73253.97</v>
      </c>
      <c r="E49" s="19">
        <v>98208.62</v>
      </c>
      <c r="F49" s="19"/>
      <c r="G49" s="19"/>
      <c r="H49" s="19"/>
      <c r="I49" s="19"/>
      <c r="J49" s="19"/>
      <c r="K49" s="19"/>
      <c r="L49" s="19"/>
      <c r="M49" s="19"/>
      <c r="N49" s="19"/>
      <c r="P49" s="17">
        <v>3</v>
      </c>
      <c r="Q49" s="18" t="s">
        <v>23</v>
      </c>
      <c r="R49" s="19">
        <v>1594456</v>
      </c>
      <c r="S49" s="19">
        <v>1594456</v>
      </c>
      <c r="T49" s="19">
        <v>1594456</v>
      </c>
      <c r="U49" s="19"/>
      <c r="V49" s="19"/>
      <c r="W49" s="19"/>
      <c r="X49" s="19"/>
      <c r="Y49" s="19"/>
      <c r="Z49" s="19"/>
      <c r="AA49" s="19"/>
      <c r="AB49" s="19"/>
      <c r="AC49" s="19"/>
      <c r="AE49" s="17">
        <v>3</v>
      </c>
      <c r="AF49" s="18" t="s">
        <v>23</v>
      </c>
      <c r="AG49" s="19">
        <f t="shared" si="78"/>
        <v>-1545351.69</v>
      </c>
      <c r="AH49" s="19">
        <f t="shared" si="79"/>
        <v>-3147.0795333444253</v>
      </c>
      <c r="AI49" s="19">
        <f t="shared" si="80"/>
        <v>-1521202.03</v>
      </c>
      <c r="AJ49" s="19">
        <f t="shared" si="81"/>
        <v>-2076.6137726050888</v>
      </c>
      <c r="AK49" s="19">
        <f t="shared" si="82"/>
        <v>-1496247.38</v>
      </c>
      <c r="AL49" s="19">
        <f t="shared" si="83"/>
        <v>-1523.5397666722126</v>
      </c>
      <c r="AM49" s="19">
        <f t="shared" si="84"/>
        <v>0</v>
      </c>
      <c r="AN49" s="19" t="e">
        <f t="shared" si="85"/>
        <v>#DIV/0!</v>
      </c>
      <c r="AO49" s="19">
        <f t="shared" si="86"/>
        <v>0</v>
      </c>
      <c r="AP49" s="19" t="e">
        <f t="shared" si="87"/>
        <v>#DIV/0!</v>
      </c>
      <c r="AQ49" s="19">
        <f t="shared" si="88"/>
        <v>0</v>
      </c>
      <c r="AR49" s="19" t="e">
        <f t="shared" si="89"/>
        <v>#DIV/0!</v>
      </c>
      <c r="AS49" s="19">
        <f t="shared" si="90"/>
        <v>0</v>
      </c>
      <c r="AT49" s="19" t="e">
        <f t="shared" si="91"/>
        <v>#DIV/0!</v>
      </c>
      <c r="AU49" s="19">
        <f t="shared" si="92"/>
        <v>0</v>
      </c>
      <c r="AV49" s="19" t="e">
        <f t="shared" si="93"/>
        <v>#DIV/0!</v>
      </c>
      <c r="AW49" s="19">
        <f t="shared" si="94"/>
        <v>0</v>
      </c>
      <c r="AX49" s="19" t="e">
        <f t="shared" si="95"/>
        <v>#DIV/0!</v>
      </c>
      <c r="AY49" s="19">
        <f t="shared" si="96"/>
        <v>0</v>
      </c>
      <c r="AZ49" s="19" t="e">
        <f t="shared" si="97"/>
        <v>#DIV/0!</v>
      </c>
      <c r="BA49" s="19">
        <f t="shared" si="98"/>
        <v>0</v>
      </c>
      <c r="BB49" s="19" t="e">
        <f t="shared" si="99"/>
        <v>#DIV/0!</v>
      </c>
      <c r="BC49" s="19">
        <f t="shared" si="100"/>
        <v>0</v>
      </c>
      <c r="BD49" s="19" t="e">
        <f t="shared" si="101"/>
        <v>#DIV/0!</v>
      </c>
    </row>
    <row r="50" spans="1:56">
      <c r="A50" s="17">
        <v>4</v>
      </c>
      <c r="B50" s="18" t="s">
        <v>25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P50" s="17">
        <v>4</v>
      </c>
      <c r="Q50" s="18" t="s">
        <v>25</v>
      </c>
      <c r="R50" s="19">
        <v>264886</v>
      </c>
      <c r="S50" s="19">
        <v>264886</v>
      </c>
      <c r="T50" s="19">
        <v>264886</v>
      </c>
      <c r="U50" s="19"/>
      <c r="V50" s="19"/>
      <c r="W50" s="19"/>
      <c r="X50" s="19"/>
      <c r="Y50" s="19"/>
      <c r="Z50" s="19"/>
      <c r="AA50" s="19"/>
      <c r="AB50" s="19"/>
      <c r="AC50" s="19"/>
      <c r="AE50" s="17">
        <v>4</v>
      </c>
      <c r="AF50" s="18" t="s">
        <v>25</v>
      </c>
      <c r="AG50" s="19">
        <f t="shared" si="78"/>
        <v>-264886</v>
      </c>
      <c r="AH50" s="19" t="e">
        <f t="shared" si="79"/>
        <v>#DIV/0!</v>
      </c>
      <c r="AI50" s="19">
        <f t="shared" si="80"/>
        <v>-264886</v>
      </c>
      <c r="AJ50" s="19" t="e">
        <f t="shared" si="81"/>
        <v>#DIV/0!</v>
      </c>
      <c r="AK50" s="19">
        <f t="shared" si="82"/>
        <v>-264886</v>
      </c>
      <c r="AL50" s="19" t="e">
        <f t="shared" si="83"/>
        <v>#DIV/0!</v>
      </c>
      <c r="AM50" s="19">
        <f t="shared" si="84"/>
        <v>0</v>
      </c>
      <c r="AN50" s="19" t="e">
        <f t="shared" si="85"/>
        <v>#DIV/0!</v>
      </c>
      <c r="AO50" s="19">
        <f t="shared" si="86"/>
        <v>0</v>
      </c>
      <c r="AP50" s="19" t="e">
        <f t="shared" si="87"/>
        <v>#DIV/0!</v>
      </c>
      <c r="AQ50" s="19">
        <f t="shared" si="88"/>
        <v>0</v>
      </c>
      <c r="AR50" s="19" t="e">
        <f t="shared" si="89"/>
        <v>#DIV/0!</v>
      </c>
      <c r="AS50" s="19">
        <f t="shared" si="90"/>
        <v>0</v>
      </c>
      <c r="AT50" s="19" t="e">
        <f t="shared" si="91"/>
        <v>#DIV/0!</v>
      </c>
      <c r="AU50" s="19">
        <f t="shared" si="92"/>
        <v>0</v>
      </c>
      <c r="AV50" s="19" t="e">
        <f t="shared" si="93"/>
        <v>#DIV/0!</v>
      </c>
      <c r="AW50" s="19">
        <f t="shared" si="94"/>
        <v>0</v>
      </c>
      <c r="AX50" s="19" t="e">
        <f t="shared" si="95"/>
        <v>#DIV/0!</v>
      </c>
      <c r="AY50" s="19">
        <f t="shared" si="96"/>
        <v>0</v>
      </c>
      <c r="AZ50" s="19" t="e">
        <f t="shared" si="97"/>
        <v>#DIV/0!</v>
      </c>
      <c r="BA50" s="19">
        <f t="shared" si="98"/>
        <v>0</v>
      </c>
      <c r="BB50" s="19" t="e">
        <f t="shared" si="99"/>
        <v>#DIV/0!</v>
      </c>
      <c r="BC50" s="19">
        <f t="shared" si="100"/>
        <v>0</v>
      </c>
      <c r="BD50" s="19" t="e">
        <f t="shared" si="101"/>
        <v>#DIV/0!</v>
      </c>
    </row>
    <row r="51" spans="1:56">
      <c r="A51" s="17">
        <v>5</v>
      </c>
      <c r="B51" s="18" t="s">
        <v>27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P51" s="17">
        <v>5</v>
      </c>
      <c r="Q51" s="18" t="s">
        <v>27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E51" s="17">
        <v>5</v>
      </c>
      <c r="AF51" s="18" t="s">
        <v>27</v>
      </c>
      <c r="AG51" s="19">
        <f t="shared" si="78"/>
        <v>0</v>
      </c>
      <c r="AH51" s="19" t="e">
        <f t="shared" si="79"/>
        <v>#DIV/0!</v>
      </c>
      <c r="AI51" s="19">
        <f t="shared" si="80"/>
        <v>0</v>
      </c>
      <c r="AJ51" s="19" t="e">
        <f t="shared" si="81"/>
        <v>#DIV/0!</v>
      </c>
      <c r="AK51" s="19">
        <f t="shared" si="82"/>
        <v>0</v>
      </c>
      <c r="AL51" s="19" t="e">
        <f t="shared" si="83"/>
        <v>#DIV/0!</v>
      </c>
      <c r="AM51" s="19">
        <f t="shared" si="84"/>
        <v>0</v>
      </c>
      <c r="AN51" s="19" t="e">
        <f t="shared" si="85"/>
        <v>#DIV/0!</v>
      </c>
      <c r="AO51" s="19">
        <f t="shared" si="86"/>
        <v>0</v>
      </c>
      <c r="AP51" s="19" t="e">
        <f t="shared" si="87"/>
        <v>#DIV/0!</v>
      </c>
      <c r="AQ51" s="19">
        <f t="shared" si="88"/>
        <v>0</v>
      </c>
      <c r="AR51" s="19" t="e">
        <f t="shared" si="89"/>
        <v>#DIV/0!</v>
      </c>
      <c r="AS51" s="19">
        <f t="shared" si="90"/>
        <v>0</v>
      </c>
      <c r="AT51" s="19" t="e">
        <f t="shared" si="91"/>
        <v>#DIV/0!</v>
      </c>
      <c r="AU51" s="19">
        <f t="shared" si="92"/>
        <v>0</v>
      </c>
      <c r="AV51" s="19" t="e">
        <f t="shared" si="93"/>
        <v>#DIV/0!</v>
      </c>
      <c r="AW51" s="19">
        <f t="shared" si="94"/>
        <v>0</v>
      </c>
      <c r="AX51" s="19" t="e">
        <f t="shared" si="95"/>
        <v>#DIV/0!</v>
      </c>
      <c r="AY51" s="19">
        <f t="shared" si="96"/>
        <v>0</v>
      </c>
      <c r="AZ51" s="19" t="e">
        <f t="shared" si="97"/>
        <v>#DIV/0!</v>
      </c>
      <c r="BA51" s="19">
        <f t="shared" si="98"/>
        <v>0</v>
      </c>
      <c r="BB51" s="19" t="e">
        <f t="shared" si="99"/>
        <v>#DIV/0!</v>
      </c>
      <c r="BC51" s="19">
        <f t="shared" si="100"/>
        <v>0</v>
      </c>
      <c r="BD51" s="19" t="e">
        <f t="shared" si="101"/>
        <v>#DIV/0!</v>
      </c>
    </row>
    <row r="52" spans="1:56">
      <c r="A52" s="17">
        <v>6</v>
      </c>
      <c r="B52" s="18" t="s">
        <v>29</v>
      </c>
      <c r="C52" s="19">
        <v>6015352.1100000003</v>
      </c>
      <c r="D52" s="19">
        <v>6092067.6200000001</v>
      </c>
      <c r="E52" s="19">
        <v>6171340.3499999996</v>
      </c>
      <c r="F52" s="19"/>
      <c r="G52" s="19"/>
      <c r="H52" s="19"/>
      <c r="I52" s="19"/>
      <c r="J52" s="19"/>
      <c r="K52" s="19"/>
      <c r="L52" s="19"/>
      <c r="M52" s="19"/>
      <c r="N52" s="19"/>
      <c r="P52" s="17">
        <v>6</v>
      </c>
      <c r="Q52" s="18" t="s">
        <v>29</v>
      </c>
      <c r="R52" s="19">
        <v>10030418.529999999</v>
      </c>
      <c r="S52" s="19">
        <v>10122196.9</v>
      </c>
      <c r="T52" s="19">
        <v>10213975.27</v>
      </c>
      <c r="U52" s="19"/>
      <c r="V52" s="19"/>
      <c r="W52" s="19"/>
      <c r="X52" s="19"/>
      <c r="Y52" s="19"/>
      <c r="Z52" s="19"/>
      <c r="AA52" s="19"/>
      <c r="AB52" s="19"/>
      <c r="AC52" s="19"/>
      <c r="AE52" s="17">
        <v>6</v>
      </c>
      <c r="AF52" s="18" t="s">
        <v>29</v>
      </c>
      <c r="AG52" s="19">
        <f t="shared" si="78"/>
        <v>-4015066.419999999</v>
      </c>
      <c r="AH52" s="19">
        <f t="shared" si="79"/>
        <v>-66.746989146741726</v>
      </c>
      <c r="AI52" s="19">
        <f t="shared" si="80"/>
        <v>-4030129.2800000003</v>
      </c>
      <c r="AJ52" s="19">
        <f t="shared" si="81"/>
        <v>-66.153718759937206</v>
      </c>
      <c r="AK52" s="19">
        <f t="shared" si="82"/>
        <v>-4042634.92</v>
      </c>
      <c r="AL52" s="19">
        <f t="shared" si="83"/>
        <v>-65.506594851797473</v>
      </c>
      <c r="AM52" s="19">
        <f t="shared" si="84"/>
        <v>0</v>
      </c>
      <c r="AN52" s="19" t="e">
        <f t="shared" si="85"/>
        <v>#DIV/0!</v>
      </c>
      <c r="AO52" s="19">
        <f t="shared" si="86"/>
        <v>0</v>
      </c>
      <c r="AP52" s="19" t="e">
        <f t="shared" si="87"/>
        <v>#DIV/0!</v>
      </c>
      <c r="AQ52" s="19">
        <f t="shared" si="88"/>
        <v>0</v>
      </c>
      <c r="AR52" s="19" t="e">
        <f t="shared" si="89"/>
        <v>#DIV/0!</v>
      </c>
      <c r="AS52" s="19">
        <f t="shared" si="90"/>
        <v>0</v>
      </c>
      <c r="AT52" s="19" t="e">
        <f t="shared" si="91"/>
        <v>#DIV/0!</v>
      </c>
      <c r="AU52" s="19">
        <f t="shared" si="92"/>
        <v>0</v>
      </c>
      <c r="AV52" s="19" t="e">
        <f t="shared" si="93"/>
        <v>#DIV/0!</v>
      </c>
      <c r="AW52" s="19">
        <f t="shared" si="94"/>
        <v>0</v>
      </c>
      <c r="AX52" s="19" t="e">
        <f t="shared" si="95"/>
        <v>#DIV/0!</v>
      </c>
      <c r="AY52" s="19">
        <f t="shared" si="96"/>
        <v>0</v>
      </c>
      <c r="AZ52" s="19" t="e">
        <f t="shared" si="97"/>
        <v>#DIV/0!</v>
      </c>
      <c r="BA52" s="19">
        <f t="shared" si="98"/>
        <v>0</v>
      </c>
      <c r="BB52" s="19" t="e">
        <f t="shared" si="99"/>
        <v>#DIV/0!</v>
      </c>
      <c r="BC52" s="19">
        <f t="shared" si="100"/>
        <v>0</v>
      </c>
      <c r="BD52" s="19" t="e">
        <f t="shared" si="101"/>
        <v>#DIV/0!</v>
      </c>
    </row>
    <row r="53" spans="1:56">
      <c r="A53" s="17">
        <v>7</v>
      </c>
      <c r="B53" s="18" t="s">
        <v>31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P53" s="17">
        <v>7</v>
      </c>
      <c r="Q53" s="18" t="s">
        <v>31</v>
      </c>
      <c r="R53" s="19">
        <v>127094</v>
      </c>
      <c r="S53" s="19">
        <v>127094</v>
      </c>
      <c r="T53" s="19">
        <v>127094</v>
      </c>
      <c r="U53" s="19"/>
      <c r="V53" s="19"/>
      <c r="W53" s="19"/>
      <c r="X53" s="19"/>
      <c r="Y53" s="19"/>
      <c r="Z53" s="19"/>
      <c r="AA53" s="19"/>
      <c r="AB53" s="19"/>
      <c r="AC53" s="19"/>
      <c r="AE53" s="17">
        <v>7</v>
      </c>
      <c r="AF53" s="18" t="s">
        <v>31</v>
      </c>
      <c r="AG53" s="19">
        <f t="shared" si="78"/>
        <v>-127094</v>
      </c>
      <c r="AH53" s="19" t="e">
        <f t="shared" si="79"/>
        <v>#DIV/0!</v>
      </c>
      <c r="AI53" s="19">
        <f t="shared" si="80"/>
        <v>-127094</v>
      </c>
      <c r="AJ53" s="19" t="e">
        <f t="shared" si="81"/>
        <v>#DIV/0!</v>
      </c>
      <c r="AK53" s="19">
        <f t="shared" si="82"/>
        <v>-127094</v>
      </c>
      <c r="AL53" s="19" t="e">
        <f t="shared" si="83"/>
        <v>#DIV/0!</v>
      </c>
      <c r="AM53" s="19">
        <f t="shared" si="84"/>
        <v>0</v>
      </c>
      <c r="AN53" s="19" t="e">
        <f t="shared" si="85"/>
        <v>#DIV/0!</v>
      </c>
      <c r="AO53" s="19">
        <f t="shared" si="86"/>
        <v>0</v>
      </c>
      <c r="AP53" s="19" t="e">
        <f t="shared" si="87"/>
        <v>#DIV/0!</v>
      </c>
      <c r="AQ53" s="19">
        <f t="shared" si="88"/>
        <v>0</v>
      </c>
      <c r="AR53" s="19" t="e">
        <f t="shared" si="89"/>
        <v>#DIV/0!</v>
      </c>
      <c r="AS53" s="19">
        <f t="shared" si="90"/>
        <v>0</v>
      </c>
      <c r="AT53" s="19" t="e">
        <f t="shared" si="91"/>
        <v>#DIV/0!</v>
      </c>
      <c r="AU53" s="19">
        <f t="shared" si="92"/>
        <v>0</v>
      </c>
      <c r="AV53" s="19" t="e">
        <f t="shared" si="93"/>
        <v>#DIV/0!</v>
      </c>
      <c r="AW53" s="19">
        <f t="shared" si="94"/>
        <v>0</v>
      </c>
      <c r="AX53" s="19" t="e">
        <f t="shared" si="95"/>
        <v>#DIV/0!</v>
      </c>
      <c r="AY53" s="19">
        <f t="shared" si="96"/>
        <v>0</v>
      </c>
      <c r="AZ53" s="19" t="e">
        <f t="shared" si="97"/>
        <v>#DIV/0!</v>
      </c>
      <c r="BA53" s="19">
        <f t="shared" si="98"/>
        <v>0</v>
      </c>
      <c r="BB53" s="19" t="e">
        <f t="shared" si="99"/>
        <v>#DIV/0!</v>
      </c>
      <c r="BC53" s="19">
        <f t="shared" si="100"/>
        <v>0</v>
      </c>
      <c r="BD53" s="19" t="e">
        <f t="shared" si="101"/>
        <v>#DIV/0!</v>
      </c>
    </row>
    <row r="54" spans="1:56">
      <c r="A54" s="17">
        <v>8</v>
      </c>
      <c r="B54" s="18" t="s">
        <v>33</v>
      </c>
      <c r="C54" s="19">
        <v>532499</v>
      </c>
      <c r="D54" s="19">
        <v>532499</v>
      </c>
      <c r="E54" s="19">
        <v>532499</v>
      </c>
      <c r="F54" s="19"/>
      <c r="G54" s="19"/>
      <c r="H54" s="19"/>
      <c r="I54" s="19"/>
      <c r="J54" s="19"/>
      <c r="K54" s="19"/>
      <c r="L54" s="19"/>
      <c r="M54" s="19"/>
      <c r="N54" s="19"/>
      <c r="P54" s="17">
        <v>8</v>
      </c>
      <c r="Q54" s="18" t="s">
        <v>33</v>
      </c>
      <c r="R54" s="19">
        <v>994122</v>
      </c>
      <c r="S54" s="19">
        <v>994122</v>
      </c>
      <c r="T54" s="19">
        <v>994122</v>
      </c>
      <c r="U54" s="19"/>
      <c r="V54" s="19"/>
      <c r="W54" s="19"/>
      <c r="X54" s="19"/>
      <c r="Y54" s="19"/>
      <c r="Z54" s="19"/>
      <c r="AA54" s="19"/>
      <c r="AB54" s="19"/>
      <c r="AC54" s="19"/>
      <c r="AE54" s="17">
        <v>8</v>
      </c>
      <c r="AF54" s="18" t="s">
        <v>33</v>
      </c>
      <c r="AG54" s="19">
        <f t="shared" si="78"/>
        <v>-461623</v>
      </c>
      <c r="AH54" s="19">
        <f t="shared" si="79"/>
        <v>-86.68992805620293</v>
      </c>
      <c r="AI54" s="19">
        <f t="shared" si="80"/>
        <v>-461623</v>
      </c>
      <c r="AJ54" s="19">
        <f t="shared" si="81"/>
        <v>-86.68992805620293</v>
      </c>
      <c r="AK54" s="19">
        <f t="shared" si="82"/>
        <v>-461623</v>
      </c>
      <c r="AL54" s="19">
        <f t="shared" si="83"/>
        <v>-86.68992805620293</v>
      </c>
      <c r="AM54" s="19">
        <f t="shared" si="84"/>
        <v>0</v>
      </c>
      <c r="AN54" s="19" t="e">
        <f t="shared" si="85"/>
        <v>#DIV/0!</v>
      </c>
      <c r="AO54" s="19">
        <f t="shared" si="86"/>
        <v>0</v>
      </c>
      <c r="AP54" s="19" t="e">
        <f t="shared" si="87"/>
        <v>#DIV/0!</v>
      </c>
      <c r="AQ54" s="19">
        <f t="shared" si="88"/>
        <v>0</v>
      </c>
      <c r="AR54" s="19" t="e">
        <f t="shared" si="89"/>
        <v>#DIV/0!</v>
      </c>
      <c r="AS54" s="19">
        <f t="shared" si="90"/>
        <v>0</v>
      </c>
      <c r="AT54" s="19" t="e">
        <f t="shared" si="91"/>
        <v>#DIV/0!</v>
      </c>
      <c r="AU54" s="19">
        <f t="shared" si="92"/>
        <v>0</v>
      </c>
      <c r="AV54" s="19" t="e">
        <f t="shared" si="93"/>
        <v>#DIV/0!</v>
      </c>
      <c r="AW54" s="19">
        <f t="shared" si="94"/>
        <v>0</v>
      </c>
      <c r="AX54" s="19" t="e">
        <f t="shared" si="95"/>
        <v>#DIV/0!</v>
      </c>
      <c r="AY54" s="19">
        <f t="shared" si="96"/>
        <v>0</v>
      </c>
      <c r="AZ54" s="19" t="e">
        <f t="shared" si="97"/>
        <v>#DIV/0!</v>
      </c>
      <c r="BA54" s="19">
        <f t="shared" si="98"/>
        <v>0</v>
      </c>
      <c r="BB54" s="19" t="e">
        <f t="shared" si="99"/>
        <v>#DIV/0!</v>
      </c>
      <c r="BC54" s="19">
        <f t="shared" si="100"/>
        <v>0</v>
      </c>
      <c r="BD54" s="19" t="e">
        <f t="shared" si="101"/>
        <v>#DIV/0!</v>
      </c>
    </row>
    <row r="55" spans="1:56">
      <c r="A55" s="17">
        <v>9</v>
      </c>
      <c r="B55" s="18" t="s">
        <v>35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P55" s="17">
        <v>9</v>
      </c>
      <c r="Q55" s="18" t="s">
        <v>35</v>
      </c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E55" s="17">
        <v>9</v>
      </c>
      <c r="AF55" s="18" t="s">
        <v>35</v>
      </c>
      <c r="AG55" s="19">
        <f t="shared" si="78"/>
        <v>0</v>
      </c>
      <c r="AH55" s="19" t="e">
        <f t="shared" si="79"/>
        <v>#DIV/0!</v>
      </c>
      <c r="AI55" s="19">
        <f t="shared" si="80"/>
        <v>0</v>
      </c>
      <c r="AJ55" s="19" t="e">
        <f t="shared" si="81"/>
        <v>#DIV/0!</v>
      </c>
      <c r="AK55" s="19">
        <f t="shared" si="82"/>
        <v>0</v>
      </c>
      <c r="AL55" s="19" t="e">
        <f t="shared" si="83"/>
        <v>#DIV/0!</v>
      </c>
      <c r="AM55" s="19">
        <f t="shared" si="84"/>
        <v>0</v>
      </c>
      <c r="AN55" s="19" t="e">
        <f t="shared" si="85"/>
        <v>#DIV/0!</v>
      </c>
      <c r="AO55" s="19">
        <f t="shared" si="86"/>
        <v>0</v>
      </c>
      <c r="AP55" s="19" t="e">
        <f t="shared" si="87"/>
        <v>#DIV/0!</v>
      </c>
      <c r="AQ55" s="19">
        <f t="shared" si="88"/>
        <v>0</v>
      </c>
      <c r="AR55" s="19" t="e">
        <f t="shared" si="89"/>
        <v>#DIV/0!</v>
      </c>
      <c r="AS55" s="19">
        <f t="shared" si="90"/>
        <v>0</v>
      </c>
      <c r="AT55" s="19" t="e">
        <f t="shared" si="91"/>
        <v>#DIV/0!</v>
      </c>
      <c r="AU55" s="19">
        <f t="shared" si="92"/>
        <v>0</v>
      </c>
      <c r="AV55" s="19" t="e">
        <f t="shared" si="93"/>
        <v>#DIV/0!</v>
      </c>
      <c r="AW55" s="19">
        <f t="shared" si="94"/>
        <v>0</v>
      </c>
      <c r="AX55" s="19" t="e">
        <f t="shared" si="95"/>
        <v>#DIV/0!</v>
      </c>
      <c r="AY55" s="19">
        <f t="shared" si="96"/>
        <v>0</v>
      </c>
      <c r="AZ55" s="19" t="e">
        <f t="shared" si="97"/>
        <v>#DIV/0!</v>
      </c>
      <c r="BA55" s="19">
        <f t="shared" si="98"/>
        <v>0</v>
      </c>
      <c r="BB55" s="19" t="e">
        <f t="shared" si="99"/>
        <v>#DIV/0!</v>
      </c>
      <c r="BC55" s="19">
        <f t="shared" si="100"/>
        <v>0</v>
      </c>
      <c r="BD55" s="19" t="e">
        <f t="shared" si="101"/>
        <v>#DIV/0!</v>
      </c>
    </row>
    <row r="56" spans="1:56">
      <c r="A56" s="17">
        <v>10</v>
      </c>
      <c r="B56" s="18" t="s">
        <v>37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P56" s="17">
        <v>10</v>
      </c>
      <c r="Q56" s="18" t="s">
        <v>37</v>
      </c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E56" s="17">
        <v>10</v>
      </c>
      <c r="AF56" s="18" t="s">
        <v>37</v>
      </c>
      <c r="AG56" s="19">
        <f t="shared" si="78"/>
        <v>0</v>
      </c>
      <c r="AH56" s="19" t="e">
        <f t="shared" si="79"/>
        <v>#DIV/0!</v>
      </c>
      <c r="AI56" s="19">
        <f t="shared" si="80"/>
        <v>0</v>
      </c>
      <c r="AJ56" s="19" t="e">
        <f t="shared" si="81"/>
        <v>#DIV/0!</v>
      </c>
      <c r="AK56" s="19">
        <f t="shared" si="82"/>
        <v>0</v>
      </c>
      <c r="AL56" s="19" t="e">
        <f t="shared" si="83"/>
        <v>#DIV/0!</v>
      </c>
      <c r="AM56" s="19">
        <f t="shared" si="84"/>
        <v>0</v>
      </c>
      <c r="AN56" s="19" t="e">
        <f t="shared" si="85"/>
        <v>#DIV/0!</v>
      </c>
      <c r="AO56" s="19">
        <f t="shared" si="86"/>
        <v>0</v>
      </c>
      <c r="AP56" s="19" t="e">
        <f t="shared" si="87"/>
        <v>#DIV/0!</v>
      </c>
      <c r="AQ56" s="19">
        <f t="shared" si="88"/>
        <v>0</v>
      </c>
      <c r="AR56" s="19" t="e">
        <f t="shared" si="89"/>
        <v>#DIV/0!</v>
      </c>
      <c r="AS56" s="19">
        <f t="shared" si="90"/>
        <v>0</v>
      </c>
      <c r="AT56" s="19" t="e">
        <f t="shared" si="91"/>
        <v>#DIV/0!</v>
      </c>
      <c r="AU56" s="19">
        <f t="shared" si="92"/>
        <v>0</v>
      </c>
      <c r="AV56" s="19" t="e">
        <f t="shared" si="93"/>
        <v>#DIV/0!</v>
      </c>
      <c r="AW56" s="19">
        <f t="shared" si="94"/>
        <v>0</v>
      </c>
      <c r="AX56" s="19" t="e">
        <f t="shared" si="95"/>
        <v>#DIV/0!</v>
      </c>
      <c r="AY56" s="19">
        <f t="shared" si="96"/>
        <v>0</v>
      </c>
      <c r="AZ56" s="19" t="e">
        <f t="shared" si="97"/>
        <v>#DIV/0!</v>
      </c>
      <c r="BA56" s="19">
        <f t="shared" si="98"/>
        <v>0</v>
      </c>
      <c r="BB56" s="19" t="e">
        <f t="shared" si="99"/>
        <v>#DIV/0!</v>
      </c>
      <c r="BC56" s="19">
        <f t="shared" si="100"/>
        <v>0</v>
      </c>
      <c r="BD56" s="19" t="e">
        <f t="shared" si="101"/>
        <v>#DIV/0!</v>
      </c>
    </row>
    <row r="57" spans="1:56">
      <c r="A57" s="17">
        <v>11</v>
      </c>
      <c r="B57" s="18" t="s">
        <v>39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P57" s="17">
        <v>11</v>
      </c>
      <c r="Q57" s="18" t="s">
        <v>39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E57" s="17">
        <v>11</v>
      </c>
      <c r="AF57" s="18" t="s">
        <v>39</v>
      </c>
      <c r="AG57" s="19">
        <f t="shared" si="78"/>
        <v>0</v>
      </c>
      <c r="AH57" s="19" t="e">
        <f t="shared" si="79"/>
        <v>#DIV/0!</v>
      </c>
      <c r="AI57" s="19">
        <f t="shared" si="80"/>
        <v>0</v>
      </c>
      <c r="AJ57" s="19" t="e">
        <f t="shared" si="81"/>
        <v>#DIV/0!</v>
      </c>
      <c r="AK57" s="19">
        <f t="shared" si="82"/>
        <v>0</v>
      </c>
      <c r="AL57" s="19" t="e">
        <f t="shared" si="83"/>
        <v>#DIV/0!</v>
      </c>
      <c r="AM57" s="19">
        <f t="shared" si="84"/>
        <v>0</v>
      </c>
      <c r="AN57" s="19" t="e">
        <f t="shared" si="85"/>
        <v>#DIV/0!</v>
      </c>
      <c r="AO57" s="19">
        <f t="shared" si="86"/>
        <v>0</v>
      </c>
      <c r="AP57" s="19" t="e">
        <f t="shared" si="87"/>
        <v>#DIV/0!</v>
      </c>
      <c r="AQ57" s="19">
        <f t="shared" si="88"/>
        <v>0</v>
      </c>
      <c r="AR57" s="19" t="e">
        <f t="shared" si="89"/>
        <v>#DIV/0!</v>
      </c>
      <c r="AS57" s="19">
        <f t="shared" si="90"/>
        <v>0</v>
      </c>
      <c r="AT57" s="19" t="e">
        <f t="shared" si="91"/>
        <v>#DIV/0!</v>
      </c>
      <c r="AU57" s="19">
        <f t="shared" si="92"/>
        <v>0</v>
      </c>
      <c r="AV57" s="19" t="e">
        <f t="shared" si="93"/>
        <v>#DIV/0!</v>
      </c>
      <c r="AW57" s="19">
        <f t="shared" si="94"/>
        <v>0</v>
      </c>
      <c r="AX57" s="19" t="e">
        <f t="shared" si="95"/>
        <v>#DIV/0!</v>
      </c>
      <c r="AY57" s="19">
        <f t="shared" si="96"/>
        <v>0</v>
      </c>
      <c r="AZ57" s="19" t="e">
        <f t="shared" si="97"/>
        <v>#DIV/0!</v>
      </c>
      <c r="BA57" s="19">
        <f t="shared" si="98"/>
        <v>0</v>
      </c>
      <c r="BB57" s="19" t="e">
        <f t="shared" si="99"/>
        <v>#DIV/0!</v>
      </c>
      <c r="BC57" s="19">
        <f t="shared" si="100"/>
        <v>0</v>
      </c>
      <c r="BD57" s="19" t="e">
        <f t="shared" si="101"/>
        <v>#DIV/0!</v>
      </c>
    </row>
    <row r="58" spans="1:56">
      <c r="A58" s="17">
        <v>12</v>
      </c>
      <c r="B58" s="18" t="s">
        <v>41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P58" s="17">
        <v>12</v>
      </c>
      <c r="Q58" s="18" t="s">
        <v>41</v>
      </c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E58" s="17">
        <v>12</v>
      </c>
      <c r="AF58" s="18" t="s">
        <v>41</v>
      </c>
      <c r="AG58" s="19">
        <f t="shared" si="78"/>
        <v>0</v>
      </c>
      <c r="AH58" s="19" t="e">
        <f t="shared" si="79"/>
        <v>#DIV/0!</v>
      </c>
      <c r="AI58" s="19">
        <f t="shared" si="80"/>
        <v>0</v>
      </c>
      <c r="AJ58" s="19" t="e">
        <f t="shared" si="81"/>
        <v>#DIV/0!</v>
      </c>
      <c r="AK58" s="19">
        <f t="shared" si="82"/>
        <v>0</v>
      </c>
      <c r="AL58" s="19" t="e">
        <f t="shared" si="83"/>
        <v>#DIV/0!</v>
      </c>
      <c r="AM58" s="19">
        <f t="shared" si="84"/>
        <v>0</v>
      </c>
      <c r="AN58" s="19" t="e">
        <f t="shared" si="85"/>
        <v>#DIV/0!</v>
      </c>
      <c r="AO58" s="19">
        <f t="shared" si="86"/>
        <v>0</v>
      </c>
      <c r="AP58" s="19" t="e">
        <f t="shared" si="87"/>
        <v>#DIV/0!</v>
      </c>
      <c r="AQ58" s="19">
        <f t="shared" si="88"/>
        <v>0</v>
      </c>
      <c r="AR58" s="19" t="e">
        <f t="shared" si="89"/>
        <v>#DIV/0!</v>
      </c>
      <c r="AS58" s="19">
        <f t="shared" si="90"/>
        <v>0</v>
      </c>
      <c r="AT58" s="19" t="e">
        <f t="shared" si="91"/>
        <v>#DIV/0!</v>
      </c>
      <c r="AU58" s="19">
        <f t="shared" si="92"/>
        <v>0</v>
      </c>
      <c r="AV58" s="19" t="e">
        <f t="shared" si="93"/>
        <v>#DIV/0!</v>
      </c>
      <c r="AW58" s="19">
        <f t="shared" si="94"/>
        <v>0</v>
      </c>
      <c r="AX58" s="19" t="e">
        <f t="shared" si="95"/>
        <v>#DIV/0!</v>
      </c>
      <c r="AY58" s="19">
        <f t="shared" si="96"/>
        <v>0</v>
      </c>
      <c r="AZ58" s="19" t="e">
        <f t="shared" si="97"/>
        <v>#DIV/0!</v>
      </c>
      <c r="BA58" s="19">
        <f t="shared" si="98"/>
        <v>0</v>
      </c>
      <c r="BB58" s="19" t="e">
        <f t="shared" si="99"/>
        <v>#DIV/0!</v>
      </c>
      <c r="BC58" s="19">
        <f t="shared" si="100"/>
        <v>0</v>
      </c>
      <c r="BD58" s="19" t="e">
        <f t="shared" si="101"/>
        <v>#DIV/0!</v>
      </c>
    </row>
    <row r="59" spans="1:56">
      <c r="A59" s="17">
        <v>13</v>
      </c>
      <c r="B59" s="18" t="s">
        <v>43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P59" s="17">
        <v>13</v>
      </c>
      <c r="Q59" s="18" t="s">
        <v>43</v>
      </c>
      <c r="R59" s="19">
        <f>27043+210318</f>
        <v>237361</v>
      </c>
      <c r="S59" s="19">
        <f>27043+210318</f>
        <v>237361</v>
      </c>
      <c r="T59" s="19">
        <v>237361</v>
      </c>
      <c r="U59" s="19"/>
      <c r="V59" s="19"/>
      <c r="W59" s="19"/>
      <c r="X59" s="19"/>
      <c r="Y59" s="19"/>
      <c r="Z59" s="19"/>
      <c r="AA59" s="19"/>
      <c r="AB59" s="19"/>
      <c r="AC59" s="19"/>
      <c r="AE59" s="17">
        <v>13</v>
      </c>
      <c r="AF59" s="18" t="s">
        <v>43</v>
      </c>
      <c r="AG59" s="19">
        <f t="shared" si="78"/>
        <v>-237361</v>
      </c>
      <c r="AH59" s="19" t="e">
        <f t="shared" si="79"/>
        <v>#DIV/0!</v>
      </c>
      <c r="AI59" s="19">
        <f t="shared" si="80"/>
        <v>-237361</v>
      </c>
      <c r="AJ59" s="19" t="e">
        <f t="shared" si="81"/>
        <v>#DIV/0!</v>
      </c>
      <c r="AK59" s="19">
        <f t="shared" si="82"/>
        <v>-237361</v>
      </c>
      <c r="AL59" s="19" t="e">
        <f t="shared" si="83"/>
        <v>#DIV/0!</v>
      </c>
      <c r="AM59" s="19">
        <f t="shared" si="84"/>
        <v>0</v>
      </c>
      <c r="AN59" s="19" t="e">
        <f t="shared" si="85"/>
        <v>#DIV/0!</v>
      </c>
      <c r="AO59" s="19">
        <f t="shared" si="86"/>
        <v>0</v>
      </c>
      <c r="AP59" s="19" t="e">
        <f t="shared" si="87"/>
        <v>#DIV/0!</v>
      </c>
      <c r="AQ59" s="19">
        <f t="shared" si="88"/>
        <v>0</v>
      </c>
      <c r="AR59" s="19" t="e">
        <f t="shared" si="89"/>
        <v>#DIV/0!</v>
      </c>
      <c r="AS59" s="19">
        <f t="shared" si="90"/>
        <v>0</v>
      </c>
      <c r="AT59" s="19" t="e">
        <f t="shared" si="91"/>
        <v>#DIV/0!</v>
      </c>
      <c r="AU59" s="19">
        <f t="shared" si="92"/>
        <v>0</v>
      </c>
      <c r="AV59" s="19" t="e">
        <f t="shared" si="93"/>
        <v>#DIV/0!</v>
      </c>
      <c r="AW59" s="19">
        <f t="shared" si="94"/>
        <v>0</v>
      </c>
      <c r="AX59" s="19" t="e">
        <f t="shared" si="95"/>
        <v>#DIV/0!</v>
      </c>
      <c r="AY59" s="19">
        <f t="shared" si="96"/>
        <v>0</v>
      </c>
      <c r="AZ59" s="19" t="e">
        <f t="shared" si="97"/>
        <v>#DIV/0!</v>
      </c>
      <c r="BA59" s="19">
        <f t="shared" si="98"/>
        <v>0</v>
      </c>
      <c r="BB59" s="19" t="e">
        <f t="shared" si="99"/>
        <v>#DIV/0!</v>
      </c>
      <c r="BC59" s="19">
        <f t="shared" si="100"/>
        <v>0</v>
      </c>
      <c r="BD59" s="19" t="e">
        <f t="shared" si="101"/>
        <v>#DIV/0!</v>
      </c>
    </row>
    <row r="60" spans="1:56">
      <c r="A60" s="17">
        <v>14</v>
      </c>
      <c r="B60" s="18" t="s">
        <v>44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P60" s="17">
        <v>14</v>
      </c>
      <c r="Q60" s="18" t="s">
        <v>44</v>
      </c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E60" s="17">
        <v>14</v>
      </c>
      <c r="AF60" s="18" t="s">
        <v>44</v>
      </c>
      <c r="AG60" s="19">
        <f t="shared" si="78"/>
        <v>0</v>
      </c>
      <c r="AH60" s="19" t="e">
        <f t="shared" si="79"/>
        <v>#DIV/0!</v>
      </c>
      <c r="AI60" s="19">
        <f t="shared" si="80"/>
        <v>0</v>
      </c>
      <c r="AJ60" s="19" t="e">
        <f t="shared" si="81"/>
        <v>#DIV/0!</v>
      </c>
      <c r="AK60" s="19">
        <f t="shared" si="82"/>
        <v>0</v>
      </c>
      <c r="AL60" s="19" t="e">
        <f t="shared" si="83"/>
        <v>#DIV/0!</v>
      </c>
      <c r="AM60" s="19">
        <f t="shared" si="84"/>
        <v>0</v>
      </c>
      <c r="AN60" s="19" t="e">
        <f t="shared" si="85"/>
        <v>#DIV/0!</v>
      </c>
      <c r="AO60" s="19">
        <f t="shared" si="86"/>
        <v>0</v>
      </c>
      <c r="AP60" s="19" t="e">
        <f t="shared" si="87"/>
        <v>#DIV/0!</v>
      </c>
      <c r="AQ60" s="19">
        <f t="shared" si="88"/>
        <v>0</v>
      </c>
      <c r="AR60" s="19" t="e">
        <f t="shared" si="89"/>
        <v>#DIV/0!</v>
      </c>
      <c r="AS60" s="19">
        <f t="shared" si="90"/>
        <v>0</v>
      </c>
      <c r="AT60" s="19" t="e">
        <f t="shared" si="91"/>
        <v>#DIV/0!</v>
      </c>
      <c r="AU60" s="19">
        <f t="shared" si="92"/>
        <v>0</v>
      </c>
      <c r="AV60" s="19" t="e">
        <f t="shared" si="93"/>
        <v>#DIV/0!</v>
      </c>
      <c r="AW60" s="19">
        <f t="shared" si="94"/>
        <v>0</v>
      </c>
      <c r="AX60" s="19" t="e">
        <f t="shared" si="95"/>
        <v>#DIV/0!</v>
      </c>
      <c r="AY60" s="19">
        <f t="shared" si="96"/>
        <v>0</v>
      </c>
      <c r="AZ60" s="19" t="e">
        <f t="shared" si="97"/>
        <v>#DIV/0!</v>
      </c>
      <c r="BA60" s="19">
        <f t="shared" si="98"/>
        <v>0</v>
      </c>
      <c r="BB60" s="19" t="e">
        <f t="shared" si="99"/>
        <v>#DIV/0!</v>
      </c>
      <c r="BC60" s="19">
        <f t="shared" si="100"/>
        <v>0</v>
      </c>
      <c r="BD60" s="19" t="e">
        <f t="shared" si="101"/>
        <v>#DIV/0!</v>
      </c>
    </row>
    <row r="61" spans="1:56" ht="25.2" thickBot="1">
      <c r="A61" s="17"/>
      <c r="B61" s="20" t="s">
        <v>17</v>
      </c>
      <c r="C61" s="27">
        <f>SUM(C47:C60)</f>
        <v>6596955.4199999999</v>
      </c>
      <c r="D61" s="27">
        <f t="shared" ref="D61:N61" si="102">SUM(D47:D60)</f>
        <v>6697820.5899999999</v>
      </c>
      <c r="E61" s="27">
        <f t="shared" si="102"/>
        <v>6802047.9699999997</v>
      </c>
      <c r="F61" s="27">
        <f t="shared" si="102"/>
        <v>0</v>
      </c>
      <c r="G61" s="27">
        <f t="shared" si="102"/>
        <v>0</v>
      </c>
      <c r="H61" s="27">
        <f t="shared" si="102"/>
        <v>0</v>
      </c>
      <c r="I61" s="27">
        <f t="shared" si="102"/>
        <v>0</v>
      </c>
      <c r="J61" s="27">
        <f t="shared" si="102"/>
        <v>0</v>
      </c>
      <c r="K61" s="27">
        <f t="shared" si="102"/>
        <v>0</v>
      </c>
      <c r="L61" s="27">
        <f t="shared" si="102"/>
        <v>0</v>
      </c>
      <c r="M61" s="27">
        <f t="shared" si="102"/>
        <v>0</v>
      </c>
      <c r="N61" s="27">
        <f t="shared" si="102"/>
        <v>0</v>
      </c>
      <c r="P61" s="17"/>
      <c r="Q61" s="20" t="s">
        <v>17</v>
      </c>
      <c r="R61" s="27">
        <f>SUM(R47:R60)</f>
        <v>20274625.030000001</v>
      </c>
      <c r="S61" s="27">
        <f t="shared" ref="S61:AC61" si="103">SUM(S47:S60)</f>
        <v>20366403.399999999</v>
      </c>
      <c r="T61" s="27">
        <f t="shared" si="103"/>
        <v>20458181.77</v>
      </c>
      <c r="U61" s="27">
        <f t="shared" si="103"/>
        <v>0</v>
      </c>
      <c r="V61" s="27">
        <f t="shared" si="103"/>
        <v>0</v>
      </c>
      <c r="W61" s="27">
        <f t="shared" si="103"/>
        <v>0</v>
      </c>
      <c r="X61" s="27">
        <f t="shared" si="103"/>
        <v>0</v>
      </c>
      <c r="Y61" s="27">
        <f t="shared" si="103"/>
        <v>0</v>
      </c>
      <c r="Z61" s="27">
        <f t="shared" si="103"/>
        <v>0</v>
      </c>
      <c r="AA61" s="27">
        <f t="shared" si="103"/>
        <v>0</v>
      </c>
      <c r="AB61" s="27">
        <f t="shared" si="103"/>
        <v>0</v>
      </c>
      <c r="AC61" s="27">
        <f t="shared" si="103"/>
        <v>0</v>
      </c>
      <c r="AE61" s="17"/>
      <c r="AF61" s="20" t="s">
        <v>17</v>
      </c>
      <c r="AG61" s="23">
        <f t="shared" si="78"/>
        <v>-13677669.610000001</v>
      </c>
      <c r="AH61" s="23">
        <f t="shared" si="79"/>
        <v>-207.333061074407</v>
      </c>
      <c r="AI61" s="23">
        <f t="shared" si="80"/>
        <v>-13668582.809999999</v>
      </c>
      <c r="AJ61" s="23">
        <f t="shared" si="81"/>
        <v>-204.07508123474534</v>
      </c>
      <c r="AK61" s="23">
        <f t="shared" si="82"/>
        <v>-13656133.800000001</v>
      </c>
      <c r="AL61" s="23">
        <f t="shared" si="83"/>
        <v>-200.76503224072383</v>
      </c>
      <c r="AM61" s="23">
        <f t="shared" si="84"/>
        <v>0</v>
      </c>
      <c r="AN61" s="23" t="e">
        <f t="shared" si="85"/>
        <v>#DIV/0!</v>
      </c>
      <c r="AO61" s="23">
        <f t="shared" si="86"/>
        <v>0</v>
      </c>
      <c r="AP61" s="23" t="e">
        <f t="shared" si="87"/>
        <v>#DIV/0!</v>
      </c>
      <c r="AQ61" s="23">
        <f t="shared" si="88"/>
        <v>0</v>
      </c>
      <c r="AR61" s="23" t="e">
        <f t="shared" si="89"/>
        <v>#DIV/0!</v>
      </c>
      <c r="AS61" s="23">
        <f t="shared" si="90"/>
        <v>0</v>
      </c>
      <c r="AT61" s="23" t="e">
        <f t="shared" si="91"/>
        <v>#DIV/0!</v>
      </c>
      <c r="AU61" s="23">
        <f t="shared" si="92"/>
        <v>0</v>
      </c>
      <c r="AV61" s="23" t="e">
        <f t="shared" si="93"/>
        <v>#DIV/0!</v>
      </c>
      <c r="AW61" s="23">
        <f t="shared" si="94"/>
        <v>0</v>
      </c>
      <c r="AX61" s="23" t="e">
        <f t="shared" si="95"/>
        <v>#DIV/0!</v>
      </c>
      <c r="AY61" s="23">
        <f t="shared" si="96"/>
        <v>0</v>
      </c>
      <c r="AZ61" s="23" t="e">
        <f t="shared" si="97"/>
        <v>#DIV/0!</v>
      </c>
      <c r="BA61" s="23">
        <f t="shared" si="98"/>
        <v>0</v>
      </c>
      <c r="BB61" s="23" t="e">
        <f t="shared" si="99"/>
        <v>#DIV/0!</v>
      </c>
      <c r="BC61" s="23">
        <f t="shared" si="100"/>
        <v>0</v>
      </c>
      <c r="BD61" s="23" t="e">
        <f t="shared" si="101"/>
        <v>#DIV/0!</v>
      </c>
    </row>
    <row r="62" spans="1:56" ht="25.2" thickTop="1"/>
    <row r="63" spans="1:56">
      <c r="A63" s="32" t="s">
        <v>1942</v>
      </c>
      <c r="B63" s="32"/>
      <c r="C63" s="32"/>
      <c r="D63" s="32"/>
      <c r="E63" s="32"/>
      <c r="F63" s="32"/>
      <c r="G63" s="32"/>
      <c r="H63" s="32"/>
      <c r="I63" s="32"/>
    </row>
    <row r="64" spans="1:56" customFormat="1" ht="21">
      <c r="A64" s="28" t="s">
        <v>659</v>
      </c>
      <c r="B64" s="28" t="s">
        <v>660</v>
      </c>
      <c r="C64" s="28" t="s">
        <v>661</v>
      </c>
      <c r="D64" s="28" t="s">
        <v>662</v>
      </c>
      <c r="E64" s="28" t="s">
        <v>663</v>
      </c>
      <c r="F64" s="28" t="s">
        <v>664</v>
      </c>
      <c r="G64" s="28" t="s">
        <v>665</v>
      </c>
    </row>
    <row r="65" spans="1:9" customFormat="1" ht="21">
      <c r="A65" s="28" t="s">
        <v>1890</v>
      </c>
      <c r="B65" s="28" t="s">
        <v>91</v>
      </c>
      <c r="C65" s="28" t="s">
        <v>1891</v>
      </c>
      <c r="D65" s="28" t="s">
        <v>1892</v>
      </c>
      <c r="E65" s="29">
        <v>21179.040000000001</v>
      </c>
      <c r="F65" s="29">
        <v>-21178.04</v>
      </c>
      <c r="G65" s="29">
        <v>1</v>
      </c>
      <c r="H65" t="s">
        <v>1893</v>
      </c>
      <c r="I65" t="s">
        <v>11</v>
      </c>
    </row>
    <row r="66" spans="1:9" customFormat="1" ht="21">
      <c r="A66" s="28" t="s">
        <v>1890</v>
      </c>
      <c r="B66" s="28" t="s">
        <v>108</v>
      </c>
      <c r="C66" s="28" t="s">
        <v>1891</v>
      </c>
      <c r="D66" s="28" t="s">
        <v>1892</v>
      </c>
      <c r="E66" s="29">
        <v>432657.57</v>
      </c>
      <c r="F66" s="29">
        <v>-432656.57</v>
      </c>
      <c r="G66" s="29">
        <v>1</v>
      </c>
      <c r="H66" t="s">
        <v>1893</v>
      </c>
      <c r="I66" t="s">
        <v>11</v>
      </c>
    </row>
    <row r="67" spans="1:9" customFormat="1" ht="21">
      <c r="A67" s="28" t="s">
        <v>1894</v>
      </c>
      <c r="B67" s="28" t="s">
        <v>91</v>
      </c>
      <c r="C67" s="28" t="s">
        <v>1891</v>
      </c>
      <c r="D67" s="28" t="s">
        <v>1895</v>
      </c>
      <c r="E67" s="29">
        <v>23211.01</v>
      </c>
      <c r="F67" s="29">
        <v>-23210.01</v>
      </c>
      <c r="G67" s="29">
        <v>1</v>
      </c>
      <c r="H67" t="s">
        <v>1893</v>
      </c>
      <c r="I67" t="s">
        <v>11</v>
      </c>
    </row>
    <row r="68" spans="1:9" customFormat="1" ht="21">
      <c r="A68" s="28" t="s">
        <v>1894</v>
      </c>
      <c r="B68" s="28" t="s">
        <v>108</v>
      </c>
      <c r="C68" s="28" t="s">
        <v>1891</v>
      </c>
      <c r="D68" s="28" t="s">
        <v>1895</v>
      </c>
      <c r="E68" s="29">
        <v>474167.79</v>
      </c>
      <c r="F68" s="29">
        <v>-474166.79</v>
      </c>
      <c r="G68" s="29">
        <v>1</v>
      </c>
      <c r="H68" t="s">
        <v>1893</v>
      </c>
      <c r="I68" t="s">
        <v>11</v>
      </c>
    </row>
    <row r="69" spans="1:9" customFormat="1" ht="21">
      <c r="A69" s="28" t="s">
        <v>1896</v>
      </c>
      <c r="B69" s="28" t="s">
        <v>91</v>
      </c>
      <c r="C69" s="28" t="s">
        <v>1891</v>
      </c>
      <c r="D69" s="28" t="s">
        <v>1897</v>
      </c>
      <c r="E69" s="29">
        <v>618066.67000000004</v>
      </c>
      <c r="F69" s="29">
        <v>-97262.29</v>
      </c>
      <c r="G69" s="29">
        <v>520804.38</v>
      </c>
      <c r="H69" t="s">
        <v>1893</v>
      </c>
      <c r="I69" t="s">
        <v>11</v>
      </c>
    </row>
    <row r="70" spans="1:9" customFormat="1" ht="21">
      <c r="A70" s="28" t="s">
        <v>1896</v>
      </c>
      <c r="B70" s="28" t="s">
        <v>108</v>
      </c>
      <c r="C70" s="28" t="s">
        <v>1891</v>
      </c>
      <c r="D70" s="28" t="s">
        <v>1897</v>
      </c>
      <c r="E70" s="29">
        <v>651933.32999999996</v>
      </c>
      <c r="F70" s="29">
        <v>-651932.32999999996</v>
      </c>
      <c r="G70" s="29">
        <v>1</v>
      </c>
      <c r="H70" t="s">
        <v>1893</v>
      </c>
      <c r="I70" t="s">
        <v>11</v>
      </c>
    </row>
    <row r="71" spans="1:9" customFormat="1" ht="21">
      <c r="A71" s="28" t="s">
        <v>1898</v>
      </c>
      <c r="B71" s="28" t="s">
        <v>91</v>
      </c>
      <c r="C71" s="28" t="s">
        <v>1891</v>
      </c>
      <c r="D71" s="28" t="s">
        <v>1899</v>
      </c>
      <c r="E71" s="29">
        <v>647753.32999999996</v>
      </c>
      <c r="F71" s="29">
        <v>-101933.93</v>
      </c>
      <c r="G71" s="29">
        <v>545819.4</v>
      </c>
      <c r="H71" t="s">
        <v>1893</v>
      </c>
      <c r="I71" t="s">
        <v>11</v>
      </c>
    </row>
    <row r="72" spans="1:9" customFormat="1" ht="21">
      <c r="A72" s="28" t="s">
        <v>1898</v>
      </c>
      <c r="B72" s="28" t="s">
        <v>108</v>
      </c>
      <c r="C72" s="28" t="s">
        <v>1891</v>
      </c>
      <c r="D72" s="28" t="s">
        <v>1899</v>
      </c>
      <c r="E72" s="29">
        <v>683246.67</v>
      </c>
      <c r="F72" s="29">
        <v>-683245.67</v>
      </c>
      <c r="G72" s="29">
        <v>1</v>
      </c>
      <c r="H72" t="s">
        <v>1893</v>
      </c>
      <c r="I72" t="s">
        <v>11</v>
      </c>
    </row>
    <row r="73" spans="1:9" customFormat="1" ht="21">
      <c r="A73" s="28" t="s">
        <v>1900</v>
      </c>
      <c r="B73" s="28" t="s">
        <v>91</v>
      </c>
      <c r="C73" s="28" t="s">
        <v>1891</v>
      </c>
      <c r="D73" s="28" t="s">
        <v>1901</v>
      </c>
      <c r="E73" s="29">
        <v>225861.78</v>
      </c>
      <c r="F73" s="29">
        <v>-225860.78</v>
      </c>
      <c r="G73" s="29">
        <v>1</v>
      </c>
      <c r="H73" t="s">
        <v>1893</v>
      </c>
      <c r="I73" t="s">
        <v>11</v>
      </c>
    </row>
    <row r="74" spans="1:9" customFormat="1" ht="21">
      <c r="A74" s="28" t="s">
        <v>1900</v>
      </c>
      <c r="B74" s="28" t="s">
        <v>108</v>
      </c>
      <c r="C74" s="28" t="s">
        <v>1891</v>
      </c>
      <c r="D74" s="28" t="s">
        <v>1901</v>
      </c>
      <c r="E74" s="29">
        <v>4614033.4800000004</v>
      </c>
      <c r="F74" s="29">
        <v>-4614032.4800000004</v>
      </c>
      <c r="G74" s="29">
        <v>1</v>
      </c>
      <c r="H74" t="s">
        <v>1893</v>
      </c>
      <c r="I74" t="s">
        <v>11</v>
      </c>
    </row>
    <row r="75" spans="1:9" customFormat="1" ht="21">
      <c r="A75" s="28" t="s">
        <v>1902</v>
      </c>
      <c r="B75" s="28" t="s">
        <v>91</v>
      </c>
      <c r="C75" s="28" t="s">
        <v>1903</v>
      </c>
      <c r="D75" s="28" t="s">
        <v>1904</v>
      </c>
      <c r="E75" s="29">
        <v>14480000</v>
      </c>
      <c r="F75" s="29">
        <v>-544289.31000000006</v>
      </c>
      <c r="G75" s="29">
        <v>13935710.689999999</v>
      </c>
      <c r="H75" t="s">
        <v>1893</v>
      </c>
      <c r="I75" t="s">
        <v>11</v>
      </c>
    </row>
    <row r="76" spans="1:9" customFormat="1" ht="21">
      <c r="A76" s="28" t="s">
        <v>604</v>
      </c>
      <c r="B76" s="28" t="s">
        <v>91</v>
      </c>
      <c r="C76" s="28" t="s">
        <v>605</v>
      </c>
      <c r="D76" s="28" t="s">
        <v>606</v>
      </c>
      <c r="E76" s="29">
        <v>1332462.53</v>
      </c>
      <c r="F76" s="29">
        <v>-1202002.25</v>
      </c>
      <c r="G76" s="29">
        <v>130460.28</v>
      </c>
      <c r="H76" t="s">
        <v>1893</v>
      </c>
      <c r="I76" t="s">
        <v>9</v>
      </c>
    </row>
    <row r="77" spans="1:9" customFormat="1" ht="21">
      <c r="A77" s="28" t="s">
        <v>604</v>
      </c>
      <c r="B77" s="28" t="s">
        <v>108</v>
      </c>
      <c r="C77" s="28" t="s">
        <v>605</v>
      </c>
      <c r="D77" s="28" t="s">
        <v>606</v>
      </c>
      <c r="E77" s="29">
        <v>9186978.4700000007</v>
      </c>
      <c r="F77" s="29">
        <v>-9186977.4700000007</v>
      </c>
      <c r="G77" s="29">
        <v>1</v>
      </c>
      <c r="H77" t="s">
        <v>1893</v>
      </c>
      <c r="I77" t="s">
        <v>9</v>
      </c>
    </row>
    <row r="78" spans="1:9" customFormat="1" ht="21">
      <c r="A78" s="28" t="s">
        <v>607</v>
      </c>
      <c r="B78" s="28" t="s">
        <v>91</v>
      </c>
      <c r="C78" s="28" t="s">
        <v>605</v>
      </c>
      <c r="D78" s="28" t="s">
        <v>608</v>
      </c>
      <c r="E78" s="29">
        <v>3651868.78</v>
      </c>
      <c r="F78" s="29">
        <v>-3294317.39</v>
      </c>
      <c r="G78" s="29">
        <v>357551.39</v>
      </c>
      <c r="H78" t="s">
        <v>1893</v>
      </c>
      <c r="I78" t="s">
        <v>9</v>
      </c>
    </row>
    <row r="79" spans="1:9" customFormat="1" ht="21">
      <c r="A79" s="28" t="s">
        <v>607</v>
      </c>
      <c r="B79" s="28" t="s">
        <v>108</v>
      </c>
      <c r="C79" s="28" t="s">
        <v>605</v>
      </c>
      <c r="D79" s="28" t="s">
        <v>608</v>
      </c>
      <c r="E79" s="29">
        <v>25178674.219999999</v>
      </c>
      <c r="F79" s="29">
        <v>-25178673.219999999</v>
      </c>
      <c r="G79" s="29">
        <v>1</v>
      </c>
      <c r="H79" t="s">
        <v>1893</v>
      </c>
      <c r="I79" t="s">
        <v>9</v>
      </c>
    </row>
    <row r="80" spans="1:9" customFormat="1" ht="21">
      <c r="A80" s="28" t="s">
        <v>1905</v>
      </c>
      <c r="B80" s="28" t="s">
        <v>91</v>
      </c>
      <c r="C80" s="28" t="s">
        <v>1891</v>
      </c>
      <c r="D80" s="28" t="s">
        <v>1906</v>
      </c>
      <c r="E80" s="29">
        <v>6512865.9000000004</v>
      </c>
      <c r="F80" s="29">
        <v>-608273.68999999994</v>
      </c>
      <c r="G80" s="29">
        <v>5904592.21</v>
      </c>
      <c r="H80" t="s">
        <v>1893</v>
      </c>
      <c r="I80" t="s">
        <v>15</v>
      </c>
    </row>
    <row r="81" spans="1:9" customFormat="1" ht="21">
      <c r="A81" s="28" t="s">
        <v>1905</v>
      </c>
      <c r="B81" s="28" t="s">
        <v>108</v>
      </c>
      <c r="C81" s="28" t="s">
        <v>1891</v>
      </c>
      <c r="D81" s="28" t="s">
        <v>1906</v>
      </c>
      <c r="E81" s="29">
        <v>2791228.25</v>
      </c>
      <c r="F81" s="29">
        <v>-2791227.25</v>
      </c>
      <c r="G81" s="29">
        <v>1</v>
      </c>
      <c r="H81" t="s">
        <v>1893</v>
      </c>
      <c r="I81" t="s">
        <v>15</v>
      </c>
    </row>
    <row r="82" spans="1:9" customFormat="1" ht="21">
      <c r="A82" s="28" t="s">
        <v>1907</v>
      </c>
      <c r="B82" s="28" t="s">
        <v>91</v>
      </c>
      <c r="C82" s="28" t="s">
        <v>1891</v>
      </c>
      <c r="D82" s="28" t="s">
        <v>1908</v>
      </c>
      <c r="E82" s="29">
        <v>87836.81</v>
      </c>
      <c r="F82" s="29">
        <v>-53107.39</v>
      </c>
      <c r="G82" s="29">
        <v>34729.42</v>
      </c>
      <c r="H82" t="s">
        <v>1893</v>
      </c>
      <c r="I82" t="s">
        <v>15</v>
      </c>
    </row>
    <row r="83" spans="1:9" customFormat="1" ht="21">
      <c r="A83" s="28" t="s">
        <v>1907</v>
      </c>
      <c r="B83" s="28" t="s">
        <v>108</v>
      </c>
      <c r="C83" s="28" t="s">
        <v>1891</v>
      </c>
      <c r="D83" s="28" t="s">
        <v>1908</v>
      </c>
      <c r="E83" s="29">
        <v>605611.71</v>
      </c>
      <c r="F83" s="29">
        <v>-605610.71</v>
      </c>
      <c r="G83" s="29">
        <v>1</v>
      </c>
      <c r="H83" t="s">
        <v>1893</v>
      </c>
      <c r="I83" t="s">
        <v>15</v>
      </c>
    </row>
    <row r="84" spans="1:9" customFormat="1" ht="21">
      <c r="A84" s="28" t="s">
        <v>1909</v>
      </c>
      <c r="B84" s="28" t="s">
        <v>91</v>
      </c>
      <c r="C84" s="28" t="s">
        <v>927</v>
      </c>
      <c r="D84" s="28" t="s">
        <v>767</v>
      </c>
      <c r="E84" s="29">
        <v>1420000</v>
      </c>
      <c r="F84" s="29">
        <v>-243911.56</v>
      </c>
      <c r="G84" s="29">
        <v>1176088.44</v>
      </c>
      <c r="H84" t="s">
        <v>1893</v>
      </c>
      <c r="I84" t="s">
        <v>768</v>
      </c>
    </row>
    <row r="85" spans="1:9" customFormat="1" ht="21">
      <c r="A85" s="28" t="s">
        <v>1910</v>
      </c>
      <c r="B85" s="28" t="s">
        <v>91</v>
      </c>
      <c r="C85" s="28" t="s">
        <v>679</v>
      </c>
      <c r="D85" s="28" t="s">
        <v>680</v>
      </c>
      <c r="E85" s="29">
        <v>449663</v>
      </c>
      <c r="F85" s="29">
        <v>-103237.7</v>
      </c>
      <c r="G85" s="29">
        <v>346425.3</v>
      </c>
      <c r="H85" t="s">
        <v>1893</v>
      </c>
      <c r="I85" t="s">
        <v>681</v>
      </c>
    </row>
    <row r="86" spans="1:9" customFormat="1" ht="21">
      <c r="A86" s="28" t="s">
        <v>1911</v>
      </c>
      <c r="B86" s="28" t="s">
        <v>91</v>
      </c>
      <c r="C86" s="28" t="s">
        <v>679</v>
      </c>
      <c r="D86" s="28" t="s">
        <v>680</v>
      </c>
      <c r="E86" s="29">
        <v>449663</v>
      </c>
      <c r="F86" s="29">
        <v>-103237.7</v>
      </c>
      <c r="G86" s="29">
        <v>346425.3</v>
      </c>
      <c r="H86" t="s">
        <v>1893</v>
      </c>
      <c r="I86" t="s">
        <v>681</v>
      </c>
    </row>
    <row r="87" spans="1:9" customFormat="1" ht="21">
      <c r="A87" s="28" t="s">
        <v>1912</v>
      </c>
      <c r="B87" s="28" t="s">
        <v>91</v>
      </c>
      <c r="C87" s="28" t="s">
        <v>605</v>
      </c>
      <c r="D87" s="28" t="s">
        <v>1913</v>
      </c>
      <c r="E87" s="29">
        <v>889000</v>
      </c>
      <c r="F87" s="29">
        <v>-888999</v>
      </c>
      <c r="G87" s="29">
        <v>1</v>
      </c>
      <c r="H87" t="s">
        <v>1893</v>
      </c>
      <c r="I87" t="s">
        <v>681</v>
      </c>
    </row>
    <row r="88" spans="1:9" customFormat="1" ht="21">
      <c r="A88" s="28" t="s">
        <v>1914</v>
      </c>
      <c r="B88" s="28" t="s">
        <v>91</v>
      </c>
      <c r="C88" s="28" t="s">
        <v>605</v>
      </c>
      <c r="D88" s="28" t="s">
        <v>1915</v>
      </c>
      <c r="E88" s="29">
        <v>215000</v>
      </c>
      <c r="F88" s="29">
        <v>-214999</v>
      </c>
      <c r="G88" s="29">
        <v>1</v>
      </c>
      <c r="H88" t="s">
        <v>1893</v>
      </c>
      <c r="I88" t="s">
        <v>681</v>
      </c>
    </row>
    <row r="89" spans="1:9" customFormat="1" ht="21">
      <c r="A89" s="28" t="s">
        <v>1916</v>
      </c>
      <c r="B89" s="28" t="s">
        <v>91</v>
      </c>
      <c r="C89" s="28" t="s">
        <v>605</v>
      </c>
      <c r="D89" s="28" t="s">
        <v>1917</v>
      </c>
      <c r="E89" s="29">
        <v>260000</v>
      </c>
      <c r="F89" s="29">
        <v>-259999</v>
      </c>
      <c r="G89" s="29">
        <v>1</v>
      </c>
      <c r="H89" t="s">
        <v>1893</v>
      </c>
      <c r="I89" t="s">
        <v>681</v>
      </c>
    </row>
    <row r="90" spans="1:9" customFormat="1" ht="21">
      <c r="A90" s="28" t="s">
        <v>1918</v>
      </c>
      <c r="B90" s="28" t="s">
        <v>91</v>
      </c>
      <c r="C90" s="28" t="s">
        <v>605</v>
      </c>
      <c r="D90" s="28" t="s">
        <v>1919</v>
      </c>
      <c r="E90" s="29">
        <v>171500</v>
      </c>
      <c r="F90" s="29">
        <v>-171499</v>
      </c>
      <c r="G90" s="29">
        <v>1</v>
      </c>
      <c r="H90" t="s">
        <v>1893</v>
      </c>
      <c r="I90" t="s">
        <v>681</v>
      </c>
    </row>
    <row r="91" spans="1:9" customFormat="1" ht="21">
      <c r="A91" s="28" t="s">
        <v>1920</v>
      </c>
      <c r="B91" s="28" t="s">
        <v>91</v>
      </c>
      <c r="C91" s="28" t="s">
        <v>605</v>
      </c>
      <c r="D91" s="28" t="s">
        <v>1921</v>
      </c>
      <c r="E91" s="29">
        <v>1289800</v>
      </c>
      <c r="F91" s="29">
        <v>-1062617.0900000001</v>
      </c>
      <c r="G91" s="29">
        <v>227182.91</v>
      </c>
      <c r="H91" t="s">
        <v>1893</v>
      </c>
      <c r="I91" t="s">
        <v>681</v>
      </c>
    </row>
    <row r="92" spans="1:9" customFormat="1" ht="21">
      <c r="A92" s="28" t="s">
        <v>1922</v>
      </c>
      <c r="B92" s="28" t="s">
        <v>91</v>
      </c>
      <c r="C92" s="28" t="s">
        <v>605</v>
      </c>
      <c r="D92" s="28" t="s">
        <v>1923</v>
      </c>
      <c r="E92" s="29">
        <v>999500</v>
      </c>
      <c r="F92" s="29">
        <v>-956328.86</v>
      </c>
      <c r="G92" s="29">
        <v>43171.14</v>
      </c>
      <c r="H92" t="s">
        <v>1893</v>
      </c>
      <c r="I92" t="s">
        <v>681</v>
      </c>
    </row>
    <row r="93" spans="1:9" customFormat="1" ht="21">
      <c r="A93" s="28" t="s">
        <v>1924</v>
      </c>
      <c r="B93" s="28" t="s">
        <v>91</v>
      </c>
      <c r="C93" s="28" t="s">
        <v>605</v>
      </c>
      <c r="D93" s="28" t="s">
        <v>697</v>
      </c>
      <c r="E93" s="29">
        <v>82692</v>
      </c>
      <c r="F93" s="29">
        <v>-80402.97</v>
      </c>
      <c r="G93" s="29">
        <v>2289.0300000000002</v>
      </c>
      <c r="H93" t="s">
        <v>1893</v>
      </c>
      <c r="I93" t="s">
        <v>681</v>
      </c>
    </row>
    <row r="94" spans="1:9" customFormat="1" ht="21">
      <c r="A94" s="28" t="s">
        <v>1925</v>
      </c>
      <c r="B94" s="28" t="s">
        <v>91</v>
      </c>
      <c r="C94" s="28" t="s">
        <v>605</v>
      </c>
      <c r="D94" s="28" t="s">
        <v>1926</v>
      </c>
      <c r="E94" s="29">
        <v>56235</v>
      </c>
      <c r="F94" s="29">
        <v>-52195.4</v>
      </c>
      <c r="G94" s="29">
        <v>4039.6</v>
      </c>
      <c r="H94" t="s">
        <v>1893</v>
      </c>
      <c r="I94" t="s">
        <v>681</v>
      </c>
    </row>
    <row r="95" spans="1:9" customFormat="1" ht="21">
      <c r="A95" s="28" t="s">
        <v>1927</v>
      </c>
      <c r="B95" s="28" t="s">
        <v>91</v>
      </c>
      <c r="C95" s="28" t="s">
        <v>605</v>
      </c>
      <c r="D95" s="28" t="s">
        <v>1928</v>
      </c>
      <c r="E95" s="29">
        <v>330000</v>
      </c>
      <c r="F95" s="29">
        <v>-316035.08</v>
      </c>
      <c r="G95" s="29">
        <v>13964.92</v>
      </c>
      <c r="H95" t="s">
        <v>1893</v>
      </c>
      <c r="I95" t="s">
        <v>681</v>
      </c>
    </row>
    <row r="96" spans="1:9" customFormat="1" ht="21">
      <c r="A96" s="28" t="s">
        <v>1929</v>
      </c>
      <c r="B96" s="28" t="s">
        <v>91</v>
      </c>
      <c r="C96" s="28" t="s">
        <v>605</v>
      </c>
      <c r="D96" s="28" t="s">
        <v>1930</v>
      </c>
      <c r="E96" s="29">
        <v>330000</v>
      </c>
      <c r="F96" s="29">
        <v>-316035.08</v>
      </c>
      <c r="G96" s="29">
        <v>13964.92</v>
      </c>
      <c r="H96" t="s">
        <v>1893</v>
      </c>
      <c r="I96" t="s">
        <v>681</v>
      </c>
    </row>
    <row r="97" spans="1:9" customFormat="1" ht="21">
      <c r="A97" s="28" t="s">
        <v>1931</v>
      </c>
      <c r="B97" s="28" t="s">
        <v>91</v>
      </c>
      <c r="C97" s="28" t="s">
        <v>605</v>
      </c>
      <c r="D97" s="28" t="s">
        <v>1672</v>
      </c>
      <c r="E97" s="29">
        <v>998000</v>
      </c>
      <c r="F97" s="29">
        <v>-405808.84</v>
      </c>
      <c r="G97" s="29">
        <v>592191.16</v>
      </c>
      <c r="H97" t="s">
        <v>1893</v>
      </c>
      <c r="I97" t="s">
        <v>681</v>
      </c>
    </row>
    <row r="98" spans="1:9" customFormat="1" ht="21">
      <c r="A98" s="28" t="s">
        <v>1932</v>
      </c>
      <c r="B98" s="28" t="s">
        <v>91</v>
      </c>
      <c r="C98" s="28" t="s">
        <v>927</v>
      </c>
      <c r="D98" s="28" t="s">
        <v>1830</v>
      </c>
      <c r="E98" s="29">
        <v>550000</v>
      </c>
      <c r="F98" s="29">
        <v>-549999</v>
      </c>
      <c r="G98" s="29">
        <v>1</v>
      </c>
      <c r="H98" t="s">
        <v>1893</v>
      </c>
      <c r="I98" t="s">
        <v>681</v>
      </c>
    </row>
    <row r="99" spans="1:9" customFormat="1" ht="21">
      <c r="A99" s="28" t="s">
        <v>1933</v>
      </c>
      <c r="B99" s="28" t="s">
        <v>91</v>
      </c>
      <c r="C99" s="28" t="s">
        <v>1934</v>
      </c>
      <c r="D99" s="28" t="s">
        <v>827</v>
      </c>
      <c r="E99" s="29">
        <v>470000</v>
      </c>
      <c r="F99" s="29">
        <v>-469999</v>
      </c>
      <c r="G99" s="29">
        <v>1</v>
      </c>
      <c r="H99" t="s">
        <v>1893</v>
      </c>
      <c r="I99" t="s">
        <v>681</v>
      </c>
    </row>
    <row r="100" spans="1:9" customFormat="1" ht="21">
      <c r="A100" s="28" t="s">
        <v>1935</v>
      </c>
      <c r="B100" s="28" t="s">
        <v>91</v>
      </c>
      <c r="C100" s="28" t="s">
        <v>927</v>
      </c>
      <c r="D100" s="28" t="s">
        <v>977</v>
      </c>
      <c r="E100" s="29">
        <v>254800</v>
      </c>
      <c r="F100" s="29">
        <v>-254799</v>
      </c>
      <c r="G100" s="29">
        <v>1</v>
      </c>
      <c r="H100" t="s">
        <v>1893</v>
      </c>
      <c r="I100" t="s">
        <v>681</v>
      </c>
    </row>
    <row r="101" spans="1:9" customFormat="1" ht="21">
      <c r="A101" s="28" t="s">
        <v>1936</v>
      </c>
      <c r="B101" s="28" t="s">
        <v>91</v>
      </c>
      <c r="C101" s="28" t="s">
        <v>927</v>
      </c>
      <c r="D101" s="28" t="s">
        <v>691</v>
      </c>
      <c r="E101" s="29">
        <v>428000</v>
      </c>
      <c r="F101" s="29">
        <v>-427999</v>
      </c>
      <c r="G101" s="29">
        <v>1</v>
      </c>
      <c r="H101" t="s">
        <v>1893</v>
      </c>
      <c r="I101" t="s">
        <v>681</v>
      </c>
    </row>
    <row r="102" spans="1:9" customFormat="1" ht="21">
      <c r="A102" s="28" t="s">
        <v>1937</v>
      </c>
      <c r="B102" s="28" t="s">
        <v>91</v>
      </c>
      <c r="C102" s="28" t="s">
        <v>1938</v>
      </c>
      <c r="D102" s="28" t="s">
        <v>1939</v>
      </c>
      <c r="E102" s="29">
        <v>993000</v>
      </c>
      <c r="F102" s="29">
        <v>-67469.58</v>
      </c>
      <c r="G102" s="29">
        <v>925530.42</v>
      </c>
      <c r="H102" t="s">
        <v>1893</v>
      </c>
      <c r="I102" t="s">
        <v>681</v>
      </c>
    </row>
    <row r="103" spans="1:9" customFormat="1" ht="21">
      <c r="A103" s="28" t="s">
        <v>1940</v>
      </c>
      <c r="B103" s="28" t="s">
        <v>91</v>
      </c>
      <c r="C103" s="28" t="s">
        <v>927</v>
      </c>
      <c r="D103" s="28" t="s">
        <v>1941</v>
      </c>
      <c r="E103" s="29">
        <v>532500</v>
      </c>
      <c r="F103" s="29">
        <v>-532499</v>
      </c>
      <c r="G103" s="29">
        <v>1</v>
      </c>
      <c r="H103" t="s">
        <v>1893</v>
      </c>
      <c r="I103" t="s">
        <v>32</v>
      </c>
    </row>
  </sheetData>
  <mergeCells count="105">
    <mergeCell ref="A3:A4"/>
    <mergeCell ref="B3:B4"/>
    <mergeCell ref="C3:N3"/>
    <mergeCell ref="P3:P4"/>
    <mergeCell ref="Q3:Q4"/>
    <mergeCell ref="R3:AC3"/>
    <mergeCell ref="A1:N1"/>
    <mergeCell ref="P1:AC1"/>
    <mergeCell ref="AE1:BD1"/>
    <mergeCell ref="A2:N2"/>
    <mergeCell ref="P2:AC2"/>
    <mergeCell ref="AE2:BD2"/>
    <mergeCell ref="C14:N14"/>
    <mergeCell ref="P14:P15"/>
    <mergeCell ref="Q14:Q15"/>
    <mergeCell ref="R14:AC14"/>
    <mergeCell ref="BA3:BB3"/>
    <mergeCell ref="BC3:BD3"/>
    <mergeCell ref="A12:N12"/>
    <mergeCell ref="P12:AC12"/>
    <mergeCell ref="AE12:BD12"/>
    <mergeCell ref="A13:N13"/>
    <mergeCell ref="P13:AC13"/>
    <mergeCell ref="AE13:BD13"/>
    <mergeCell ref="AO3:AP3"/>
    <mergeCell ref="AQ3:AR3"/>
    <mergeCell ref="AS3:AT3"/>
    <mergeCell ref="AU3:AV3"/>
    <mergeCell ref="AW3:AX3"/>
    <mergeCell ref="AY3:AZ3"/>
    <mergeCell ref="AE3:AE4"/>
    <mergeCell ref="AF3:AF4"/>
    <mergeCell ref="AG3:AH3"/>
    <mergeCell ref="AI3:AJ3"/>
    <mergeCell ref="AK3:AL3"/>
    <mergeCell ref="AM3:AN3"/>
    <mergeCell ref="Q25:Q26"/>
    <mergeCell ref="R25:AC25"/>
    <mergeCell ref="BA14:BB14"/>
    <mergeCell ref="BC14:BD14"/>
    <mergeCell ref="A23:N23"/>
    <mergeCell ref="P23:AC23"/>
    <mergeCell ref="AE23:BD23"/>
    <mergeCell ref="A24:N24"/>
    <mergeCell ref="P24:AC24"/>
    <mergeCell ref="AE24:BD24"/>
    <mergeCell ref="AO14:AP14"/>
    <mergeCell ref="AQ14:AR14"/>
    <mergeCell ref="AS14:AT14"/>
    <mergeCell ref="AU14:AV14"/>
    <mergeCell ref="AW14:AX14"/>
    <mergeCell ref="AY14:AZ14"/>
    <mergeCell ref="AE14:AE15"/>
    <mergeCell ref="AF14:AF15"/>
    <mergeCell ref="AG14:AH14"/>
    <mergeCell ref="AI14:AJ14"/>
    <mergeCell ref="AK14:AL14"/>
    <mergeCell ref="AM14:AN14"/>
    <mergeCell ref="A14:A15"/>
    <mergeCell ref="B14:B15"/>
    <mergeCell ref="BA25:BB25"/>
    <mergeCell ref="BC25:BD25"/>
    <mergeCell ref="A43:N43"/>
    <mergeCell ref="P43:AC43"/>
    <mergeCell ref="AE43:BD43"/>
    <mergeCell ref="A44:N44"/>
    <mergeCell ref="P44:AC44"/>
    <mergeCell ref="AE44:BD44"/>
    <mergeCell ref="AO25:AP25"/>
    <mergeCell ref="AQ25:AR25"/>
    <mergeCell ref="AS25:AT25"/>
    <mergeCell ref="AU25:AV25"/>
    <mergeCell ref="AW25:AX25"/>
    <mergeCell ref="AY25:AZ25"/>
    <mergeCell ref="AE25:AE26"/>
    <mergeCell ref="AF25:AF26"/>
    <mergeCell ref="AG25:AH25"/>
    <mergeCell ref="AI25:AJ25"/>
    <mergeCell ref="AK25:AL25"/>
    <mergeCell ref="AM25:AN25"/>
    <mergeCell ref="A25:A26"/>
    <mergeCell ref="B25:B26"/>
    <mergeCell ref="C25:N25"/>
    <mergeCell ref="P25:P26"/>
    <mergeCell ref="BA45:BB45"/>
    <mergeCell ref="BC45:BD45"/>
    <mergeCell ref="A63:I63"/>
    <mergeCell ref="AO45:AP45"/>
    <mergeCell ref="AQ45:AR45"/>
    <mergeCell ref="AS45:AT45"/>
    <mergeCell ref="AU45:AV45"/>
    <mergeCell ref="AW45:AX45"/>
    <mergeCell ref="AY45:AZ45"/>
    <mergeCell ref="AE45:AE46"/>
    <mergeCell ref="AF45:AF46"/>
    <mergeCell ref="AG45:AH45"/>
    <mergeCell ref="AI45:AJ45"/>
    <mergeCell ref="AK45:AL45"/>
    <mergeCell ref="AM45:AN45"/>
    <mergeCell ref="A45:A46"/>
    <mergeCell ref="B45:B46"/>
    <mergeCell ref="C45:N45"/>
    <mergeCell ref="P45:P46"/>
    <mergeCell ref="Q45:Q46"/>
    <mergeCell ref="R45:AC4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A2EA8-7235-4C76-A223-48B77076AAC5}">
  <dimension ref="A1:BD105"/>
  <sheetViews>
    <sheetView workbookViewId="0">
      <selection activeCell="E54" sqref="E54"/>
    </sheetView>
  </sheetViews>
  <sheetFormatPr defaultColWidth="18.75" defaultRowHeight="24.6"/>
  <cols>
    <col min="1" max="1" width="6.75" style="24" bestFit="1" customWidth="1"/>
    <col min="2" max="2" width="53" style="13" bestFit="1" customWidth="1"/>
    <col min="3" max="15" width="18.75" style="13"/>
    <col min="16" max="16" width="6.75" style="24" bestFit="1" customWidth="1"/>
    <col min="17" max="17" width="53" style="13" bestFit="1" customWidth="1"/>
    <col min="18" max="30" width="18.75" style="13"/>
    <col min="31" max="31" width="6.75" style="24" bestFit="1" customWidth="1"/>
    <col min="32" max="32" width="53" style="13" bestFit="1" customWidth="1"/>
    <col min="33" max="16384" width="18.75" style="13"/>
  </cols>
  <sheetData>
    <row r="1" spans="1:56">
      <c r="A1" s="37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2"/>
      <c r="P1" s="37" t="s">
        <v>49</v>
      </c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E1" s="37" t="s">
        <v>0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</row>
    <row r="2" spans="1:56">
      <c r="A2" s="37" t="s">
        <v>1959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2"/>
      <c r="P2" s="37" t="s">
        <v>1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E2" s="37" t="s">
        <v>1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</row>
    <row r="3" spans="1:56" s="15" customFormat="1">
      <c r="A3" s="35" t="s">
        <v>2</v>
      </c>
      <c r="B3" s="35" t="s">
        <v>3</v>
      </c>
      <c r="C3" s="38" t="s">
        <v>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  <c r="O3" s="14"/>
      <c r="P3" s="35" t="s">
        <v>2</v>
      </c>
      <c r="Q3" s="35" t="s">
        <v>3</v>
      </c>
      <c r="R3" s="38" t="s">
        <v>5</v>
      </c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E3" s="35" t="s">
        <v>2</v>
      </c>
      <c r="AF3" s="35" t="s">
        <v>3</v>
      </c>
      <c r="AG3" s="33">
        <v>25112</v>
      </c>
      <c r="AH3" s="34"/>
      <c r="AI3" s="33">
        <v>25143</v>
      </c>
      <c r="AJ3" s="34"/>
      <c r="AK3" s="33">
        <v>25173</v>
      </c>
      <c r="AL3" s="34"/>
      <c r="AM3" s="33">
        <v>25204</v>
      </c>
      <c r="AN3" s="34"/>
      <c r="AO3" s="33">
        <v>25235</v>
      </c>
      <c r="AP3" s="34"/>
      <c r="AQ3" s="33">
        <v>25263</v>
      </c>
      <c r="AR3" s="34"/>
      <c r="AS3" s="33">
        <v>25294</v>
      </c>
      <c r="AT3" s="34"/>
      <c r="AU3" s="33">
        <v>25324</v>
      </c>
      <c r="AV3" s="34"/>
      <c r="AW3" s="33">
        <v>25355</v>
      </c>
      <c r="AX3" s="34"/>
      <c r="AY3" s="33">
        <v>25385</v>
      </c>
      <c r="AZ3" s="34"/>
      <c r="BA3" s="33">
        <v>25416</v>
      </c>
      <c r="BB3" s="34"/>
      <c r="BC3" s="33">
        <v>25447</v>
      </c>
      <c r="BD3" s="34"/>
    </row>
    <row r="4" spans="1:56" s="15" customFormat="1">
      <c r="A4" s="36"/>
      <c r="B4" s="36"/>
      <c r="C4" s="16">
        <v>25112</v>
      </c>
      <c r="D4" s="16">
        <v>25143</v>
      </c>
      <c r="E4" s="16">
        <v>25173</v>
      </c>
      <c r="F4" s="16">
        <v>25204</v>
      </c>
      <c r="G4" s="16">
        <v>25235</v>
      </c>
      <c r="H4" s="16">
        <v>25263</v>
      </c>
      <c r="I4" s="16">
        <v>25294</v>
      </c>
      <c r="J4" s="16">
        <v>25324</v>
      </c>
      <c r="K4" s="16">
        <v>25355</v>
      </c>
      <c r="L4" s="16">
        <v>25385</v>
      </c>
      <c r="M4" s="16">
        <v>25416</v>
      </c>
      <c r="N4" s="16">
        <v>25447</v>
      </c>
      <c r="P4" s="36"/>
      <c r="Q4" s="36"/>
      <c r="R4" s="16">
        <v>25112</v>
      </c>
      <c r="S4" s="16">
        <v>25143</v>
      </c>
      <c r="T4" s="16">
        <v>25173</v>
      </c>
      <c r="U4" s="16">
        <v>25204</v>
      </c>
      <c r="V4" s="16">
        <v>25235</v>
      </c>
      <c r="W4" s="16">
        <v>25263</v>
      </c>
      <c r="X4" s="16">
        <v>25294</v>
      </c>
      <c r="Y4" s="16">
        <v>25324</v>
      </c>
      <c r="Z4" s="16">
        <v>25355</v>
      </c>
      <c r="AA4" s="16">
        <v>25385</v>
      </c>
      <c r="AB4" s="16">
        <v>25416</v>
      </c>
      <c r="AC4" s="16">
        <v>25447</v>
      </c>
      <c r="AE4" s="36"/>
      <c r="AF4" s="36"/>
      <c r="AG4" s="16" t="s">
        <v>85</v>
      </c>
      <c r="AH4" s="16" t="s">
        <v>86</v>
      </c>
      <c r="AI4" s="16" t="s">
        <v>85</v>
      </c>
      <c r="AJ4" s="16" t="s">
        <v>86</v>
      </c>
      <c r="AK4" s="16" t="s">
        <v>85</v>
      </c>
      <c r="AL4" s="16" t="s">
        <v>86</v>
      </c>
      <c r="AM4" s="16" t="s">
        <v>85</v>
      </c>
      <c r="AN4" s="16" t="s">
        <v>86</v>
      </c>
      <c r="AO4" s="16" t="s">
        <v>85</v>
      </c>
      <c r="AP4" s="16" t="s">
        <v>86</v>
      </c>
      <c r="AQ4" s="16" t="s">
        <v>85</v>
      </c>
      <c r="AR4" s="16" t="s">
        <v>86</v>
      </c>
      <c r="AS4" s="16" t="s">
        <v>85</v>
      </c>
      <c r="AT4" s="16" t="s">
        <v>86</v>
      </c>
      <c r="AU4" s="16" t="s">
        <v>85</v>
      </c>
      <c r="AV4" s="16" t="s">
        <v>86</v>
      </c>
      <c r="AW4" s="16" t="s">
        <v>85</v>
      </c>
      <c r="AX4" s="16" t="s">
        <v>86</v>
      </c>
      <c r="AY4" s="16" t="s">
        <v>85</v>
      </c>
      <c r="AZ4" s="16" t="s">
        <v>86</v>
      </c>
      <c r="BA4" s="16" t="s">
        <v>85</v>
      </c>
      <c r="BB4" s="16" t="s">
        <v>86</v>
      </c>
      <c r="BC4" s="16" t="s">
        <v>85</v>
      </c>
      <c r="BD4" s="16" t="s">
        <v>86</v>
      </c>
    </row>
    <row r="5" spans="1:56">
      <c r="A5" s="17">
        <v>1</v>
      </c>
      <c r="B5" s="18" t="s">
        <v>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P5" s="17">
        <v>1</v>
      </c>
      <c r="Q5" s="18" t="s">
        <v>8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E5" s="17">
        <v>1</v>
      </c>
      <c r="AF5" s="18" t="s">
        <v>8</v>
      </c>
      <c r="AG5" s="19">
        <f>+C5-R5</f>
        <v>0</v>
      </c>
      <c r="AH5" s="19" t="e">
        <f>+AG5/C5*100</f>
        <v>#DIV/0!</v>
      </c>
      <c r="AI5" s="19">
        <f>+D5-S5</f>
        <v>0</v>
      </c>
      <c r="AJ5" s="19" t="e">
        <f>+AI5/D5*100</f>
        <v>#DIV/0!</v>
      </c>
      <c r="AK5" s="19">
        <f>+E5-T5</f>
        <v>0</v>
      </c>
      <c r="AL5" s="19" t="e">
        <f>+AK5/E5*100</f>
        <v>#DIV/0!</v>
      </c>
      <c r="AM5" s="19">
        <f>+F5-U5</f>
        <v>0</v>
      </c>
      <c r="AN5" s="19" t="e">
        <f>+AM5/F5*100</f>
        <v>#DIV/0!</v>
      </c>
      <c r="AO5" s="19">
        <f>+G5-V5</f>
        <v>0</v>
      </c>
      <c r="AP5" s="19" t="e">
        <f>+AO5/G5*100</f>
        <v>#DIV/0!</v>
      </c>
      <c r="AQ5" s="19">
        <f>+H5-W5</f>
        <v>0</v>
      </c>
      <c r="AR5" s="19" t="e">
        <f>+AQ5/H5*100</f>
        <v>#DIV/0!</v>
      </c>
      <c r="AS5" s="19">
        <f>+I5-X5</f>
        <v>0</v>
      </c>
      <c r="AT5" s="19" t="e">
        <f>+AS5/I5*100</f>
        <v>#DIV/0!</v>
      </c>
      <c r="AU5" s="19">
        <f>+J5-Y5</f>
        <v>0</v>
      </c>
      <c r="AV5" s="19" t="e">
        <f>+AU5/J5*100</f>
        <v>#DIV/0!</v>
      </c>
      <c r="AW5" s="19">
        <f>+K5-Z5</f>
        <v>0</v>
      </c>
      <c r="AX5" s="19" t="e">
        <f>+AW5/K5*100</f>
        <v>#DIV/0!</v>
      </c>
      <c r="AY5" s="19">
        <f>+L5-AA5</f>
        <v>0</v>
      </c>
      <c r="AZ5" s="19" t="e">
        <f>+AY5/L5*100</f>
        <v>#DIV/0!</v>
      </c>
      <c r="BA5" s="19">
        <f>+M5-AB5</f>
        <v>0</v>
      </c>
      <c r="BB5" s="19" t="e">
        <f>+BA5/M5*100</f>
        <v>#DIV/0!</v>
      </c>
      <c r="BC5" s="19">
        <f>+N5-AC5</f>
        <v>0</v>
      </c>
      <c r="BD5" s="19" t="e">
        <f>+BC5/N5*100</f>
        <v>#DIV/0!</v>
      </c>
    </row>
    <row r="6" spans="1:56">
      <c r="A6" s="17">
        <v>2</v>
      </c>
      <c r="B6" s="18" t="s">
        <v>9</v>
      </c>
      <c r="C6" s="19">
        <v>13335000</v>
      </c>
      <c r="D6" s="19">
        <v>13335000</v>
      </c>
      <c r="E6" s="19">
        <v>13335000</v>
      </c>
      <c r="F6" s="19"/>
      <c r="G6" s="19"/>
      <c r="H6" s="19"/>
      <c r="I6" s="19"/>
      <c r="J6" s="19"/>
      <c r="K6" s="19"/>
      <c r="L6" s="19"/>
      <c r="M6" s="19"/>
      <c r="N6" s="19"/>
      <c r="P6" s="17">
        <v>2</v>
      </c>
      <c r="Q6" s="18" t="s">
        <v>9</v>
      </c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E6" s="17">
        <v>2</v>
      </c>
      <c r="AF6" s="18" t="s">
        <v>9</v>
      </c>
      <c r="AG6" s="19">
        <f t="shared" ref="AG6:AG10" si="0">+C6-R6</f>
        <v>13335000</v>
      </c>
      <c r="AH6" s="19">
        <f t="shared" ref="AH6:AH10" si="1">+AG6/C6*100</f>
        <v>100</v>
      </c>
      <c r="AI6" s="19">
        <f t="shared" ref="AI6:AI10" si="2">+D6-S6</f>
        <v>13335000</v>
      </c>
      <c r="AJ6" s="19">
        <f t="shared" ref="AJ6:AJ10" si="3">+AI6/D6*100</f>
        <v>100</v>
      </c>
      <c r="AK6" s="19">
        <f t="shared" ref="AK6:AK10" si="4">+E6-T6</f>
        <v>13335000</v>
      </c>
      <c r="AL6" s="19">
        <f t="shared" ref="AL6:AL10" si="5">+AK6/E6*100</f>
        <v>100</v>
      </c>
      <c r="AM6" s="19">
        <f t="shared" ref="AM6:AM10" si="6">+F6-U6</f>
        <v>0</v>
      </c>
      <c r="AN6" s="19" t="e">
        <f t="shared" ref="AN6:AN10" si="7">+AM6/F6*100</f>
        <v>#DIV/0!</v>
      </c>
      <c r="AO6" s="19">
        <f t="shared" ref="AO6:AO10" si="8">+G6-V6</f>
        <v>0</v>
      </c>
      <c r="AP6" s="19" t="e">
        <f t="shared" ref="AP6:AP10" si="9">+AO6/G6*100</f>
        <v>#DIV/0!</v>
      </c>
      <c r="AQ6" s="19">
        <f t="shared" ref="AQ6:AQ10" si="10">+H6-W6</f>
        <v>0</v>
      </c>
      <c r="AR6" s="19" t="e">
        <f t="shared" ref="AR6:AR10" si="11">+AQ6/H6*100</f>
        <v>#DIV/0!</v>
      </c>
      <c r="AS6" s="19">
        <f t="shared" ref="AS6:AS10" si="12">+I6-X6</f>
        <v>0</v>
      </c>
      <c r="AT6" s="19" t="e">
        <f t="shared" ref="AT6:AT10" si="13">+AS6/I6*100</f>
        <v>#DIV/0!</v>
      </c>
      <c r="AU6" s="19">
        <f t="shared" ref="AU6:AU10" si="14">+J6-Y6</f>
        <v>0</v>
      </c>
      <c r="AV6" s="19" t="e">
        <f t="shared" ref="AV6:AV10" si="15">+AU6/J6*100</f>
        <v>#DIV/0!</v>
      </c>
      <c r="AW6" s="19">
        <f t="shared" ref="AW6:AW10" si="16">+K6-Z6</f>
        <v>0</v>
      </c>
      <c r="AX6" s="19" t="e">
        <f t="shared" ref="AX6:AX10" si="17">+AW6/K6*100</f>
        <v>#DIV/0!</v>
      </c>
      <c r="AY6" s="19">
        <f t="shared" ref="AY6:AY10" si="18">+L6-AA6</f>
        <v>0</v>
      </c>
      <c r="AZ6" s="19" t="e">
        <f t="shared" ref="AZ6:AZ10" si="19">+AY6/L6*100</f>
        <v>#DIV/0!</v>
      </c>
      <c r="BA6" s="19">
        <f t="shared" ref="BA6:BA10" si="20">+M6-AB6</f>
        <v>0</v>
      </c>
      <c r="BB6" s="19" t="e">
        <f t="shared" ref="BB6:BB10" si="21">+BA6/M6*100</f>
        <v>#DIV/0!</v>
      </c>
      <c r="BC6" s="19">
        <f t="shared" ref="BC6:BC10" si="22">+N6-AC6</f>
        <v>0</v>
      </c>
      <c r="BD6" s="19" t="e">
        <f t="shared" ref="BD6:BD10" si="23">+BC6/N6*100</f>
        <v>#DIV/0!</v>
      </c>
    </row>
    <row r="7" spans="1:56">
      <c r="A7" s="17">
        <v>3</v>
      </c>
      <c r="B7" s="18" t="s">
        <v>11</v>
      </c>
      <c r="C7" s="19">
        <v>13287499</v>
      </c>
      <c r="D7" s="19">
        <v>13287499</v>
      </c>
      <c r="E7" s="19">
        <v>13287499</v>
      </c>
      <c r="F7" s="19"/>
      <c r="G7" s="19"/>
      <c r="H7" s="19"/>
      <c r="I7" s="19"/>
      <c r="J7" s="19"/>
      <c r="K7" s="19"/>
      <c r="L7" s="19"/>
      <c r="M7" s="19"/>
      <c r="N7" s="19"/>
      <c r="P7" s="17">
        <v>3</v>
      </c>
      <c r="Q7" s="18" t="s">
        <v>11</v>
      </c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E7" s="17">
        <v>3</v>
      </c>
      <c r="AF7" s="18" t="s">
        <v>11</v>
      </c>
      <c r="AG7" s="19">
        <f t="shared" si="0"/>
        <v>13287499</v>
      </c>
      <c r="AH7" s="19">
        <f t="shared" si="1"/>
        <v>100</v>
      </c>
      <c r="AI7" s="19">
        <f t="shared" si="2"/>
        <v>13287499</v>
      </c>
      <c r="AJ7" s="19">
        <f t="shared" si="3"/>
        <v>100</v>
      </c>
      <c r="AK7" s="19">
        <f t="shared" si="4"/>
        <v>13287499</v>
      </c>
      <c r="AL7" s="19">
        <f t="shared" si="5"/>
        <v>100</v>
      </c>
      <c r="AM7" s="19">
        <f t="shared" si="6"/>
        <v>0</v>
      </c>
      <c r="AN7" s="19" t="e">
        <f t="shared" si="7"/>
        <v>#DIV/0!</v>
      </c>
      <c r="AO7" s="19">
        <f t="shared" si="8"/>
        <v>0</v>
      </c>
      <c r="AP7" s="19" t="e">
        <f t="shared" si="9"/>
        <v>#DIV/0!</v>
      </c>
      <c r="AQ7" s="19">
        <f t="shared" si="10"/>
        <v>0</v>
      </c>
      <c r="AR7" s="19" t="e">
        <f t="shared" si="11"/>
        <v>#DIV/0!</v>
      </c>
      <c r="AS7" s="19">
        <f t="shared" si="12"/>
        <v>0</v>
      </c>
      <c r="AT7" s="19" t="e">
        <f t="shared" si="13"/>
        <v>#DIV/0!</v>
      </c>
      <c r="AU7" s="19">
        <f t="shared" si="14"/>
        <v>0</v>
      </c>
      <c r="AV7" s="19" t="e">
        <f t="shared" si="15"/>
        <v>#DIV/0!</v>
      </c>
      <c r="AW7" s="19">
        <f t="shared" si="16"/>
        <v>0</v>
      </c>
      <c r="AX7" s="19" t="e">
        <f t="shared" si="17"/>
        <v>#DIV/0!</v>
      </c>
      <c r="AY7" s="19">
        <f t="shared" si="18"/>
        <v>0</v>
      </c>
      <c r="AZ7" s="19" t="e">
        <f t="shared" si="19"/>
        <v>#DIV/0!</v>
      </c>
      <c r="BA7" s="19">
        <f t="shared" si="20"/>
        <v>0</v>
      </c>
      <c r="BB7" s="19" t="e">
        <f t="shared" si="21"/>
        <v>#DIV/0!</v>
      </c>
      <c r="BC7" s="19">
        <f t="shared" si="22"/>
        <v>0</v>
      </c>
      <c r="BD7" s="19" t="e">
        <f t="shared" si="23"/>
        <v>#DIV/0!</v>
      </c>
    </row>
    <row r="8" spans="1:56">
      <c r="A8" s="17">
        <v>4</v>
      </c>
      <c r="B8" s="18" t="s">
        <v>13</v>
      </c>
      <c r="C8" s="19">
        <v>2454400</v>
      </c>
      <c r="D8" s="19">
        <v>2454400</v>
      </c>
      <c r="E8" s="19">
        <v>2454400</v>
      </c>
      <c r="F8" s="19"/>
      <c r="G8" s="19"/>
      <c r="H8" s="19"/>
      <c r="I8" s="19"/>
      <c r="J8" s="19"/>
      <c r="K8" s="19"/>
      <c r="L8" s="19"/>
      <c r="M8" s="19"/>
      <c r="N8" s="19"/>
      <c r="P8" s="17">
        <v>4</v>
      </c>
      <c r="Q8" s="18" t="s">
        <v>13</v>
      </c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E8" s="17">
        <v>4</v>
      </c>
      <c r="AF8" s="18" t="s">
        <v>13</v>
      </c>
      <c r="AG8" s="19">
        <f t="shared" si="0"/>
        <v>2454400</v>
      </c>
      <c r="AH8" s="19">
        <f t="shared" si="1"/>
        <v>100</v>
      </c>
      <c r="AI8" s="19">
        <f t="shared" si="2"/>
        <v>2454400</v>
      </c>
      <c r="AJ8" s="19">
        <f t="shared" si="3"/>
        <v>100</v>
      </c>
      <c r="AK8" s="19">
        <f t="shared" si="4"/>
        <v>2454400</v>
      </c>
      <c r="AL8" s="19">
        <f t="shared" si="5"/>
        <v>100</v>
      </c>
      <c r="AM8" s="19">
        <f t="shared" si="6"/>
        <v>0</v>
      </c>
      <c r="AN8" s="19" t="e">
        <f t="shared" si="7"/>
        <v>#DIV/0!</v>
      </c>
      <c r="AO8" s="19">
        <f t="shared" si="8"/>
        <v>0</v>
      </c>
      <c r="AP8" s="19" t="e">
        <f t="shared" si="9"/>
        <v>#DIV/0!</v>
      </c>
      <c r="AQ8" s="19">
        <f t="shared" si="10"/>
        <v>0</v>
      </c>
      <c r="AR8" s="19" t="e">
        <f t="shared" si="11"/>
        <v>#DIV/0!</v>
      </c>
      <c r="AS8" s="19">
        <f t="shared" si="12"/>
        <v>0</v>
      </c>
      <c r="AT8" s="19" t="e">
        <f t="shared" si="13"/>
        <v>#DIV/0!</v>
      </c>
      <c r="AU8" s="19">
        <f t="shared" si="14"/>
        <v>0</v>
      </c>
      <c r="AV8" s="19" t="e">
        <f t="shared" si="15"/>
        <v>#DIV/0!</v>
      </c>
      <c r="AW8" s="19">
        <f t="shared" si="16"/>
        <v>0</v>
      </c>
      <c r="AX8" s="19" t="e">
        <f t="shared" si="17"/>
        <v>#DIV/0!</v>
      </c>
      <c r="AY8" s="19">
        <f t="shared" si="18"/>
        <v>0</v>
      </c>
      <c r="AZ8" s="19" t="e">
        <f t="shared" si="19"/>
        <v>#DIV/0!</v>
      </c>
      <c r="BA8" s="19">
        <f t="shared" si="20"/>
        <v>0</v>
      </c>
      <c r="BB8" s="19" t="e">
        <f t="shared" si="21"/>
        <v>#DIV/0!</v>
      </c>
      <c r="BC8" s="19">
        <f t="shared" si="22"/>
        <v>0</v>
      </c>
      <c r="BD8" s="19" t="e">
        <f t="shared" si="23"/>
        <v>#DIV/0!</v>
      </c>
    </row>
    <row r="9" spans="1:56">
      <c r="A9" s="17">
        <v>5</v>
      </c>
      <c r="B9" s="18" t="s">
        <v>15</v>
      </c>
      <c r="C9" s="19">
        <v>8483970</v>
      </c>
      <c r="D9" s="19">
        <v>8483970</v>
      </c>
      <c r="E9" s="19">
        <v>8483970</v>
      </c>
      <c r="F9" s="19"/>
      <c r="G9" s="19"/>
      <c r="H9" s="19"/>
      <c r="I9" s="19"/>
      <c r="J9" s="19"/>
      <c r="K9" s="19"/>
      <c r="L9" s="19"/>
      <c r="M9" s="19"/>
      <c r="N9" s="19"/>
      <c r="P9" s="17">
        <v>5</v>
      </c>
      <c r="Q9" s="18" t="s">
        <v>15</v>
      </c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E9" s="17">
        <v>5</v>
      </c>
      <c r="AF9" s="18" t="s">
        <v>15</v>
      </c>
      <c r="AG9" s="19">
        <f t="shared" si="0"/>
        <v>8483970</v>
      </c>
      <c r="AH9" s="19">
        <f t="shared" si="1"/>
        <v>100</v>
      </c>
      <c r="AI9" s="19">
        <f t="shared" si="2"/>
        <v>8483970</v>
      </c>
      <c r="AJ9" s="19">
        <f t="shared" si="3"/>
        <v>100</v>
      </c>
      <c r="AK9" s="19">
        <f t="shared" si="4"/>
        <v>8483970</v>
      </c>
      <c r="AL9" s="19">
        <f t="shared" si="5"/>
        <v>100</v>
      </c>
      <c r="AM9" s="19">
        <f t="shared" si="6"/>
        <v>0</v>
      </c>
      <c r="AN9" s="19" t="e">
        <f t="shared" si="7"/>
        <v>#DIV/0!</v>
      </c>
      <c r="AO9" s="19">
        <f t="shared" si="8"/>
        <v>0</v>
      </c>
      <c r="AP9" s="19" t="e">
        <f t="shared" si="9"/>
        <v>#DIV/0!</v>
      </c>
      <c r="AQ9" s="19">
        <f t="shared" si="10"/>
        <v>0</v>
      </c>
      <c r="AR9" s="19" t="e">
        <f t="shared" si="11"/>
        <v>#DIV/0!</v>
      </c>
      <c r="AS9" s="19">
        <f t="shared" si="12"/>
        <v>0</v>
      </c>
      <c r="AT9" s="19" t="e">
        <f t="shared" si="13"/>
        <v>#DIV/0!</v>
      </c>
      <c r="AU9" s="19">
        <f t="shared" si="14"/>
        <v>0</v>
      </c>
      <c r="AV9" s="19" t="e">
        <f t="shared" si="15"/>
        <v>#DIV/0!</v>
      </c>
      <c r="AW9" s="19">
        <f t="shared" si="16"/>
        <v>0</v>
      </c>
      <c r="AX9" s="19" t="e">
        <f t="shared" si="17"/>
        <v>#DIV/0!</v>
      </c>
      <c r="AY9" s="19">
        <f t="shared" si="18"/>
        <v>0</v>
      </c>
      <c r="AZ9" s="19" t="e">
        <f t="shared" si="19"/>
        <v>#DIV/0!</v>
      </c>
      <c r="BA9" s="19">
        <f t="shared" si="20"/>
        <v>0</v>
      </c>
      <c r="BB9" s="19" t="e">
        <f t="shared" si="21"/>
        <v>#DIV/0!</v>
      </c>
      <c r="BC9" s="19">
        <f t="shared" si="22"/>
        <v>0</v>
      </c>
      <c r="BD9" s="19" t="e">
        <f t="shared" si="23"/>
        <v>#DIV/0!</v>
      </c>
    </row>
    <row r="10" spans="1:56" s="22" customFormat="1" ht="25.2" thickBot="1">
      <c r="A10" s="20"/>
      <c r="B10" s="20" t="s">
        <v>17</v>
      </c>
      <c r="C10" s="21">
        <f>SUM(C5:C9)</f>
        <v>37560869</v>
      </c>
      <c r="D10" s="21">
        <f t="shared" ref="D10:N10" si="24">SUM(D5:D9)</f>
        <v>37560869</v>
      </c>
      <c r="E10" s="21">
        <f t="shared" si="24"/>
        <v>37560869</v>
      </c>
      <c r="F10" s="21">
        <f t="shared" si="24"/>
        <v>0</v>
      </c>
      <c r="G10" s="21">
        <f t="shared" si="24"/>
        <v>0</v>
      </c>
      <c r="H10" s="21">
        <f t="shared" si="24"/>
        <v>0</v>
      </c>
      <c r="I10" s="21">
        <f t="shared" si="24"/>
        <v>0</v>
      </c>
      <c r="J10" s="21">
        <f t="shared" si="24"/>
        <v>0</v>
      </c>
      <c r="K10" s="21">
        <f t="shared" si="24"/>
        <v>0</v>
      </c>
      <c r="L10" s="21">
        <f t="shared" si="24"/>
        <v>0</v>
      </c>
      <c r="M10" s="21">
        <f t="shared" si="24"/>
        <v>0</v>
      </c>
      <c r="N10" s="21">
        <f t="shared" si="24"/>
        <v>0</v>
      </c>
      <c r="P10" s="20"/>
      <c r="Q10" s="20" t="s">
        <v>17</v>
      </c>
      <c r="R10" s="21">
        <f>SUM(R5:R9)</f>
        <v>0</v>
      </c>
      <c r="S10" s="21">
        <f t="shared" ref="S10:AC10" si="25">SUM(S5:S9)</f>
        <v>0</v>
      </c>
      <c r="T10" s="21">
        <f t="shared" si="25"/>
        <v>0</v>
      </c>
      <c r="U10" s="21">
        <f t="shared" si="25"/>
        <v>0</v>
      </c>
      <c r="V10" s="21">
        <f t="shared" si="25"/>
        <v>0</v>
      </c>
      <c r="W10" s="21">
        <f t="shared" si="25"/>
        <v>0</v>
      </c>
      <c r="X10" s="21">
        <f t="shared" si="25"/>
        <v>0</v>
      </c>
      <c r="Y10" s="21">
        <f t="shared" si="25"/>
        <v>0</v>
      </c>
      <c r="Z10" s="21">
        <f t="shared" si="25"/>
        <v>0</v>
      </c>
      <c r="AA10" s="21">
        <f t="shared" si="25"/>
        <v>0</v>
      </c>
      <c r="AB10" s="21">
        <f t="shared" si="25"/>
        <v>0</v>
      </c>
      <c r="AC10" s="21">
        <f t="shared" si="25"/>
        <v>0</v>
      </c>
      <c r="AE10" s="20"/>
      <c r="AF10" s="20" t="s">
        <v>17</v>
      </c>
      <c r="AG10" s="23">
        <f t="shared" si="0"/>
        <v>37560869</v>
      </c>
      <c r="AH10" s="23">
        <f t="shared" si="1"/>
        <v>100</v>
      </c>
      <c r="AI10" s="23">
        <f t="shared" si="2"/>
        <v>37560869</v>
      </c>
      <c r="AJ10" s="23">
        <f t="shared" si="3"/>
        <v>100</v>
      </c>
      <c r="AK10" s="23">
        <f t="shared" si="4"/>
        <v>37560869</v>
      </c>
      <c r="AL10" s="23">
        <f t="shared" si="5"/>
        <v>100</v>
      </c>
      <c r="AM10" s="23">
        <f t="shared" si="6"/>
        <v>0</v>
      </c>
      <c r="AN10" s="23" t="e">
        <f t="shared" si="7"/>
        <v>#DIV/0!</v>
      </c>
      <c r="AO10" s="23">
        <f t="shared" si="8"/>
        <v>0</v>
      </c>
      <c r="AP10" s="23" t="e">
        <f t="shared" si="9"/>
        <v>#DIV/0!</v>
      </c>
      <c r="AQ10" s="23">
        <f t="shared" si="10"/>
        <v>0</v>
      </c>
      <c r="AR10" s="23" t="e">
        <f t="shared" si="11"/>
        <v>#DIV/0!</v>
      </c>
      <c r="AS10" s="23">
        <f t="shared" si="12"/>
        <v>0</v>
      </c>
      <c r="AT10" s="23" t="e">
        <f t="shared" si="13"/>
        <v>#DIV/0!</v>
      </c>
      <c r="AU10" s="23">
        <f t="shared" si="14"/>
        <v>0</v>
      </c>
      <c r="AV10" s="23" t="e">
        <f t="shared" si="15"/>
        <v>#DIV/0!</v>
      </c>
      <c r="AW10" s="23">
        <f t="shared" si="16"/>
        <v>0</v>
      </c>
      <c r="AX10" s="23" t="e">
        <f t="shared" si="17"/>
        <v>#DIV/0!</v>
      </c>
      <c r="AY10" s="23">
        <f t="shared" si="18"/>
        <v>0</v>
      </c>
      <c r="AZ10" s="23" t="e">
        <f t="shared" si="19"/>
        <v>#DIV/0!</v>
      </c>
      <c r="BA10" s="23">
        <f t="shared" si="20"/>
        <v>0</v>
      </c>
      <c r="BB10" s="23" t="e">
        <f t="shared" si="21"/>
        <v>#DIV/0!</v>
      </c>
      <c r="BC10" s="23">
        <f t="shared" si="22"/>
        <v>0</v>
      </c>
      <c r="BD10" s="23" t="e">
        <f t="shared" si="23"/>
        <v>#DIV/0!</v>
      </c>
    </row>
    <row r="11" spans="1:56" ht="25.2" thickTop="1"/>
    <row r="12" spans="1:56">
      <c r="A12" s="37" t="s">
        <v>46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P12" s="37" t="s">
        <v>50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E12" s="37" t="s">
        <v>87</v>
      </c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</row>
    <row r="13" spans="1:56">
      <c r="A13" s="37" t="s">
        <v>1959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P13" s="37" t="s">
        <v>1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E13" s="37" t="s">
        <v>1</v>
      </c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</row>
    <row r="14" spans="1:56" s="15" customFormat="1">
      <c r="A14" s="35" t="s">
        <v>2</v>
      </c>
      <c r="B14" s="35" t="s">
        <v>3</v>
      </c>
      <c r="C14" s="38" t="s">
        <v>4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0"/>
      <c r="P14" s="35" t="s">
        <v>2</v>
      </c>
      <c r="Q14" s="35" t="s">
        <v>3</v>
      </c>
      <c r="R14" s="38" t="s">
        <v>5</v>
      </c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40"/>
      <c r="AE14" s="35" t="s">
        <v>2</v>
      </c>
      <c r="AF14" s="35" t="s">
        <v>3</v>
      </c>
      <c r="AG14" s="33">
        <v>25112</v>
      </c>
      <c r="AH14" s="34"/>
      <c r="AI14" s="33">
        <v>25143</v>
      </c>
      <c r="AJ14" s="34"/>
      <c r="AK14" s="33">
        <v>25173</v>
      </c>
      <c r="AL14" s="34"/>
      <c r="AM14" s="33">
        <v>25204</v>
      </c>
      <c r="AN14" s="34"/>
      <c r="AO14" s="33">
        <v>25235</v>
      </c>
      <c r="AP14" s="34"/>
      <c r="AQ14" s="33">
        <v>25263</v>
      </c>
      <c r="AR14" s="34"/>
      <c r="AS14" s="33">
        <v>25294</v>
      </c>
      <c r="AT14" s="34"/>
      <c r="AU14" s="33">
        <v>25324</v>
      </c>
      <c r="AV14" s="34"/>
      <c r="AW14" s="33">
        <v>25355</v>
      </c>
      <c r="AX14" s="34"/>
      <c r="AY14" s="33">
        <v>25385</v>
      </c>
      <c r="AZ14" s="34"/>
      <c r="BA14" s="33">
        <v>25416</v>
      </c>
      <c r="BB14" s="34"/>
      <c r="BC14" s="33">
        <v>25447</v>
      </c>
      <c r="BD14" s="34"/>
    </row>
    <row r="15" spans="1:56" s="15" customFormat="1">
      <c r="A15" s="36"/>
      <c r="B15" s="36"/>
      <c r="C15" s="16">
        <v>25112</v>
      </c>
      <c r="D15" s="16">
        <v>25143</v>
      </c>
      <c r="E15" s="16">
        <v>25173</v>
      </c>
      <c r="F15" s="16">
        <v>25204</v>
      </c>
      <c r="G15" s="16">
        <v>25235</v>
      </c>
      <c r="H15" s="16">
        <v>25263</v>
      </c>
      <c r="I15" s="16">
        <v>25294</v>
      </c>
      <c r="J15" s="16">
        <v>25324</v>
      </c>
      <c r="K15" s="16">
        <v>25355</v>
      </c>
      <c r="L15" s="16">
        <v>25385</v>
      </c>
      <c r="M15" s="16">
        <v>25416</v>
      </c>
      <c r="N15" s="16">
        <v>25447</v>
      </c>
      <c r="P15" s="36"/>
      <c r="Q15" s="36"/>
      <c r="R15" s="16">
        <v>25112</v>
      </c>
      <c r="S15" s="16">
        <v>25143</v>
      </c>
      <c r="T15" s="16">
        <v>25173</v>
      </c>
      <c r="U15" s="16">
        <v>25204</v>
      </c>
      <c r="V15" s="16">
        <v>25235</v>
      </c>
      <c r="W15" s="16">
        <v>25263</v>
      </c>
      <c r="X15" s="16">
        <v>25294</v>
      </c>
      <c r="Y15" s="16">
        <v>25324</v>
      </c>
      <c r="Z15" s="16">
        <v>25355</v>
      </c>
      <c r="AA15" s="16">
        <v>25385</v>
      </c>
      <c r="AB15" s="16">
        <v>25416</v>
      </c>
      <c r="AC15" s="16">
        <v>25447</v>
      </c>
      <c r="AE15" s="36"/>
      <c r="AF15" s="36"/>
      <c r="AG15" s="16" t="s">
        <v>85</v>
      </c>
      <c r="AH15" s="16" t="s">
        <v>86</v>
      </c>
      <c r="AI15" s="16" t="s">
        <v>85</v>
      </c>
      <c r="AJ15" s="16" t="s">
        <v>86</v>
      </c>
      <c r="AK15" s="16" t="s">
        <v>85</v>
      </c>
      <c r="AL15" s="16" t="s">
        <v>86</v>
      </c>
      <c r="AM15" s="16" t="s">
        <v>85</v>
      </c>
      <c r="AN15" s="16" t="s">
        <v>86</v>
      </c>
      <c r="AO15" s="16" t="s">
        <v>85</v>
      </c>
      <c r="AP15" s="16" t="s">
        <v>86</v>
      </c>
      <c r="AQ15" s="16" t="s">
        <v>85</v>
      </c>
      <c r="AR15" s="16" t="s">
        <v>86</v>
      </c>
      <c r="AS15" s="16" t="s">
        <v>85</v>
      </c>
      <c r="AT15" s="16" t="s">
        <v>86</v>
      </c>
      <c r="AU15" s="16" t="s">
        <v>85</v>
      </c>
      <c r="AV15" s="16" t="s">
        <v>86</v>
      </c>
      <c r="AW15" s="16" t="s">
        <v>85</v>
      </c>
      <c r="AX15" s="16" t="s">
        <v>86</v>
      </c>
      <c r="AY15" s="16" t="s">
        <v>85</v>
      </c>
      <c r="AZ15" s="16" t="s">
        <v>86</v>
      </c>
      <c r="BA15" s="16" t="s">
        <v>85</v>
      </c>
      <c r="BB15" s="16" t="s">
        <v>86</v>
      </c>
      <c r="BC15" s="16" t="s">
        <v>85</v>
      </c>
      <c r="BD15" s="16" t="s">
        <v>86</v>
      </c>
    </row>
    <row r="16" spans="1:56">
      <c r="A16" s="17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P16" s="17"/>
      <c r="Q16" s="18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E16" s="17"/>
      <c r="AF16" s="18"/>
      <c r="AG16" s="19"/>
      <c r="AH16" s="19"/>
      <c r="AI16" s="19"/>
      <c r="AJ16" s="19"/>
      <c r="AK16" s="19"/>
      <c r="AL16" s="19"/>
      <c r="AM16" s="19"/>
      <c r="AN16" s="19"/>
      <c r="AO16" s="18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</row>
    <row r="17" spans="1:56">
      <c r="A17" s="17">
        <v>1</v>
      </c>
      <c r="B17" s="18" t="s">
        <v>10</v>
      </c>
      <c r="C17" s="19">
        <v>6978381.5700000003</v>
      </c>
      <c r="D17" s="19">
        <v>7022220.3099999996</v>
      </c>
      <c r="E17" s="19">
        <v>7067520.3499999996</v>
      </c>
      <c r="F17" s="19"/>
      <c r="G17" s="19"/>
      <c r="H17" s="19"/>
      <c r="I17" s="19"/>
      <c r="J17" s="19"/>
      <c r="K17" s="19"/>
      <c r="L17" s="19"/>
      <c r="M17" s="19"/>
      <c r="N17" s="19"/>
      <c r="P17" s="17">
        <v>1</v>
      </c>
      <c r="Q17" s="18" t="s">
        <v>10</v>
      </c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E17" s="17">
        <v>1</v>
      </c>
      <c r="AF17" s="18" t="s">
        <v>10</v>
      </c>
      <c r="AG17" s="19">
        <f t="shared" ref="AG17:AG21" si="26">+C17-R17</f>
        <v>6978381.5700000003</v>
      </c>
      <c r="AH17" s="19">
        <f t="shared" ref="AH17:AH21" si="27">+AG17/C17*100</f>
        <v>100</v>
      </c>
      <c r="AI17" s="19">
        <f t="shared" ref="AI17:AI21" si="28">+D17-S17</f>
        <v>7022220.3099999996</v>
      </c>
      <c r="AJ17" s="19">
        <f t="shared" ref="AJ17:AJ21" si="29">+AI17/D17*100</f>
        <v>100</v>
      </c>
      <c r="AK17" s="19">
        <f t="shared" ref="AK17:AK21" si="30">+E17-T17</f>
        <v>7067520.3499999996</v>
      </c>
      <c r="AL17" s="19">
        <f t="shared" ref="AL17:AL21" si="31">+AK17/E17*100</f>
        <v>100</v>
      </c>
      <c r="AM17" s="19">
        <f t="shared" ref="AM17:AM21" si="32">+F17-U17</f>
        <v>0</v>
      </c>
      <c r="AN17" s="19" t="e">
        <f t="shared" ref="AN17:AN21" si="33">+AM17/F17*100</f>
        <v>#DIV/0!</v>
      </c>
      <c r="AO17" s="19">
        <f t="shared" ref="AO17:AO21" si="34">+G17-V17</f>
        <v>0</v>
      </c>
      <c r="AP17" s="19" t="e">
        <f t="shared" ref="AP17:AP21" si="35">+AO17/G17*100</f>
        <v>#DIV/0!</v>
      </c>
      <c r="AQ17" s="19">
        <f t="shared" ref="AQ17:AQ21" si="36">+H17-W17</f>
        <v>0</v>
      </c>
      <c r="AR17" s="19" t="e">
        <f t="shared" ref="AR17:AR21" si="37">+AQ17/H17*100</f>
        <v>#DIV/0!</v>
      </c>
      <c r="AS17" s="19">
        <f t="shared" ref="AS17:AS21" si="38">+I17-X17</f>
        <v>0</v>
      </c>
      <c r="AT17" s="19" t="e">
        <f t="shared" ref="AT17:AT21" si="39">+AS17/I17*100</f>
        <v>#DIV/0!</v>
      </c>
      <c r="AU17" s="19">
        <f t="shared" ref="AU17:AU21" si="40">+J17-Y17</f>
        <v>0</v>
      </c>
      <c r="AV17" s="19" t="e">
        <f t="shared" ref="AV17:AV21" si="41">+AU17/J17*100</f>
        <v>#DIV/0!</v>
      </c>
      <c r="AW17" s="19">
        <f t="shared" ref="AW17:AW21" si="42">+K17-Z17</f>
        <v>0</v>
      </c>
      <c r="AX17" s="19" t="e">
        <f t="shared" ref="AX17:AX21" si="43">+AW17/K17*100</f>
        <v>#DIV/0!</v>
      </c>
      <c r="AY17" s="19">
        <f t="shared" ref="AY17:AY21" si="44">+L17-AA17</f>
        <v>0</v>
      </c>
      <c r="AZ17" s="19" t="e">
        <f t="shared" ref="AZ17:AZ21" si="45">+AY17/L17*100</f>
        <v>#DIV/0!</v>
      </c>
      <c r="BA17" s="19">
        <f t="shared" ref="BA17:BA21" si="46">+M17-AB17</f>
        <v>0</v>
      </c>
      <c r="BB17" s="19" t="e">
        <f t="shared" ref="BB17:BB21" si="47">+BA17/M17*100</f>
        <v>#DIV/0!</v>
      </c>
      <c r="BC17" s="19">
        <f t="shared" ref="BC17:BC21" si="48">+N17-AC17</f>
        <v>0</v>
      </c>
      <c r="BD17" s="19" t="e">
        <f t="shared" ref="BD17:BD21" si="49">+BC17/N17*100</f>
        <v>#DIV/0!</v>
      </c>
    </row>
    <row r="18" spans="1:56">
      <c r="A18" s="17">
        <v>2</v>
      </c>
      <c r="B18" s="18" t="s">
        <v>12</v>
      </c>
      <c r="C18" s="19">
        <v>5823624.2800000003</v>
      </c>
      <c r="D18" s="19">
        <v>5867185.3700000001</v>
      </c>
      <c r="E18" s="19">
        <v>5912198.4900000002</v>
      </c>
      <c r="F18" s="19"/>
      <c r="G18" s="19"/>
      <c r="H18" s="19"/>
      <c r="I18" s="19"/>
      <c r="J18" s="19"/>
      <c r="K18" s="19"/>
      <c r="L18" s="19"/>
      <c r="M18" s="19"/>
      <c r="N18" s="19"/>
      <c r="P18" s="17">
        <v>2</v>
      </c>
      <c r="Q18" s="18" t="s">
        <v>12</v>
      </c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E18" s="17">
        <v>2</v>
      </c>
      <c r="AF18" s="18" t="s">
        <v>12</v>
      </c>
      <c r="AG18" s="19">
        <f t="shared" si="26"/>
        <v>5823624.2800000003</v>
      </c>
      <c r="AH18" s="19">
        <f t="shared" si="27"/>
        <v>100</v>
      </c>
      <c r="AI18" s="19">
        <f t="shared" si="28"/>
        <v>5867185.3700000001</v>
      </c>
      <c r="AJ18" s="19">
        <f t="shared" si="29"/>
        <v>100</v>
      </c>
      <c r="AK18" s="19">
        <f t="shared" si="30"/>
        <v>5912198.4900000002</v>
      </c>
      <c r="AL18" s="19">
        <f t="shared" si="31"/>
        <v>100</v>
      </c>
      <c r="AM18" s="19">
        <f t="shared" si="32"/>
        <v>0</v>
      </c>
      <c r="AN18" s="19" t="e">
        <f t="shared" si="33"/>
        <v>#DIV/0!</v>
      </c>
      <c r="AO18" s="19">
        <f t="shared" si="34"/>
        <v>0</v>
      </c>
      <c r="AP18" s="19" t="e">
        <f t="shared" si="35"/>
        <v>#DIV/0!</v>
      </c>
      <c r="AQ18" s="19">
        <f t="shared" si="36"/>
        <v>0</v>
      </c>
      <c r="AR18" s="19" t="e">
        <f t="shared" si="37"/>
        <v>#DIV/0!</v>
      </c>
      <c r="AS18" s="19">
        <f t="shared" si="38"/>
        <v>0</v>
      </c>
      <c r="AT18" s="19" t="e">
        <f t="shared" si="39"/>
        <v>#DIV/0!</v>
      </c>
      <c r="AU18" s="19">
        <f t="shared" si="40"/>
        <v>0</v>
      </c>
      <c r="AV18" s="19" t="e">
        <f t="shared" si="41"/>
        <v>#DIV/0!</v>
      </c>
      <c r="AW18" s="19">
        <f t="shared" si="42"/>
        <v>0</v>
      </c>
      <c r="AX18" s="19" t="e">
        <f t="shared" si="43"/>
        <v>#DIV/0!</v>
      </c>
      <c r="AY18" s="19">
        <f t="shared" si="44"/>
        <v>0</v>
      </c>
      <c r="AZ18" s="19" t="e">
        <f t="shared" si="45"/>
        <v>#DIV/0!</v>
      </c>
      <c r="BA18" s="19">
        <f t="shared" si="46"/>
        <v>0</v>
      </c>
      <c r="BB18" s="19" t="e">
        <f t="shared" si="47"/>
        <v>#DIV/0!</v>
      </c>
      <c r="BC18" s="19">
        <f t="shared" si="48"/>
        <v>0</v>
      </c>
      <c r="BD18" s="19" t="e">
        <f t="shared" si="49"/>
        <v>#DIV/0!</v>
      </c>
    </row>
    <row r="19" spans="1:56">
      <c r="A19" s="17">
        <v>3</v>
      </c>
      <c r="B19" s="18" t="s">
        <v>14</v>
      </c>
      <c r="C19" s="19">
        <v>1071701.8999999999</v>
      </c>
      <c r="D19" s="19">
        <v>1079771.6299999999</v>
      </c>
      <c r="E19" s="19">
        <v>1088110.3500000001</v>
      </c>
      <c r="F19" s="19"/>
      <c r="G19" s="19"/>
      <c r="H19" s="19"/>
      <c r="I19" s="19"/>
      <c r="J19" s="19"/>
      <c r="K19" s="19"/>
      <c r="L19" s="19"/>
      <c r="M19" s="19"/>
      <c r="N19" s="19"/>
      <c r="P19" s="17">
        <v>3</v>
      </c>
      <c r="Q19" s="18" t="s">
        <v>14</v>
      </c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E19" s="17">
        <v>3</v>
      </c>
      <c r="AF19" s="18" t="s">
        <v>14</v>
      </c>
      <c r="AG19" s="19">
        <f t="shared" si="26"/>
        <v>1071701.8999999999</v>
      </c>
      <c r="AH19" s="19">
        <f t="shared" si="27"/>
        <v>100</v>
      </c>
      <c r="AI19" s="19">
        <f t="shared" si="28"/>
        <v>1079771.6299999999</v>
      </c>
      <c r="AJ19" s="19">
        <f t="shared" si="29"/>
        <v>100</v>
      </c>
      <c r="AK19" s="19">
        <f t="shared" si="30"/>
        <v>1088110.3500000001</v>
      </c>
      <c r="AL19" s="19">
        <f t="shared" si="31"/>
        <v>100</v>
      </c>
      <c r="AM19" s="19">
        <f t="shared" si="32"/>
        <v>0</v>
      </c>
      <c r="AN19" s="19" t="e">
        <f t="shared" si="33"/>
        <v>#DIV/0!</v>
      </c>
      <c r="AO19" s="19">
        <f t="shared" si="34"/>
        <v>0</v>
      </c>
      <c r="AP19" s="19" t="e">
        <f t="shared" si="35"/>
        <v>#DIV/0!</v>
      </c>
      <c r="AQ19" s="19">
        <f t="shared" si="36"/>
        <v>0</v>
      </c>
      <c r="AR19" s="19" t="e">
        <f t="shared" si="37"/>
        <v>#DIV/0!</v>
      </c>
      <c r="AS19" s="19">
        <f t="shared" si="38"/>
        <v>0</v>
      </c>
      <c r="AT19" s="19" t="e">
        <f t="shared" si="39"/>
        <v>#DIV/0!</v>
      </c>
      <c r="AU19" s="19">
        <f t="shared" si="40"/>
        <v>0</v>
      </c>
      <c r="AV19" s="19" t="e">
        <f t="shared" si="41"/>
        <v>#DIV/0!</v>
      </c>
      <c r="AW19" s="19">
        <f t="shared" si="42"/>
        <v>0</v>
      </c>
      <c r="AX19" s="19" t="e">
        <f t="shared" si="43"/>
        <v>#DIV/0!</v>
      </c>
      <c r="AY19" s="19">
        <f t="shared" si="44"/>
        <v>0</v>
      </c>
      <c r="AZ19" s="19" t="e">
        <f t="shared" si="45"/>
        <v>#DIV/0!</v>
      </c>
      <c r="BA19" s="19">
        <f t="shared" si="46"/>
        <v>0</v>
      </c>
      <c r="BB19" s="19" t="e">
        <f t="shared" si="47"/>
        <v>#DIV/0!</v>
      </c>
      <c r="BC19" s="19">
        <f t="shared" si="48"/>
        <v>0</v>
      </c>
      <c r="BD19" s="19" t="e">
        <f t="shared" si="49"/>
        <v>#DIV/0!</v>
      </c>
    </row>
    <row r="20" spans="1:56">
      <c r="A20" s="17">
        <v>4</v>
      </c>
      <c r="B20" s="18" t="s">
        <v>16</v>
      </c>
      <c r="C20" s="19">
        <v>5988307.9100000001</v>
      </c>
      <c r="D20" s="19">
        <v>6020346.3600000003</v>
      </c>
      <c r="E20" s="19">
        <v>6053452.7800000003</v>
      </c>
      <c r="F20" s="19"/>
      <c r="G20" s="19"/>
      <c r="H20" s="19"/>
      <c r="I20" s="19"/>
      <c r="J20" s="19"/>
      <c r="K20" s="19"/>
      <c r="L20" s="19"/>
      <c r="M20" s="19"/>
      <c r="N20" s="19"/>
      <c r="P20" s="17">
        <v>4</v>
      </c>
      <c r="Q20" s="18" t="s">
        <v>16</v>
      </c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E20" s="17">
        <v>4</v>
      </c>
      <c r="AF20" s="18" t="s">
        <v>16</v>
      </c>
      <c r="AG20" s="19">
        <f t="shared" si="26"/>
        <v>5988307.9100000001</v>
      </c>
      <c r="AH20" s="19">
        <f t="shared" si="27"/>
        <v>100</v>
      </c>
      <c r="AI20" s="19">
        <f t="shared" si="28"/>
        <v>6020346.3600000003</v>
      </c>
      <c r="AJ20" s="19">
        <f t="shared" si="29"/>
        <v>100</v>
      </c>
      <c r="AK20" s="19">
        <f t="shared" si="30"/>
        <v>6053452.7800000003</v>
      </c>
      <c r="AL20" s="19">
        <f t="shared" si="31"/>
        <v>100</v>
      </c>
      <c r="AM20" s="19">
        <f t="shared" si="32"/>
        <v>0</v>
      </c>
      <c r="AN20" s="19" t="e">
        <f t="shared" si="33"/>
        <v>#DIV/0!</v>
      </c>
      <c r="AO20" s="19">
        <f t="shared" si="34"/>
        <v>0</v>
      </c>
      <c r="AP20" s="19" t="e">
        <f t="shared" si="35"/>
        <v>#DIV/0!</v>
      </c>
      <c r="AQ20" s="19">
        <f t="shared" si="36"/>
        <v>0</v>
      </c>
      <c r="AR20" s="19" t="e">
        <f t="shared" si="37"/>
        <v>#DIV/0!</v>
      </c>
      <c r="AS20" s="19">
        <f t="shared" si="38"/>
        <v>0</v>
      </c>
      <c r="AT20" s="19" t="e">
        <f t="shared" si="39"/>
        <v>#DIV/0!</v>
      </c>
      <c r="AU20" s="19">
        <f t="shared" si="40"/>
        <v>0</v>
      </c>
      <c r="AV20" s="19" t="e">
        <f t="shared" si="41"/>
        <v>#DIV/0!</v>
      </c>
      <c r="AW20" s="19">
        <f t="shared" si="42"/>
        <v>0</v>
      </c>
      <c r="AX20" s="19" t="e">
        <f t="shared" si="43"/>
        <v>#DIV/0!</v>
      </c>
      <c r="AY20" s="19">
        <f t="shared" si="44"/>
        <v>0</v>
      </c>
      <c r="AZ20" s="19" t="e">
        <f t="shared" si="45"/>
        <v>#DIV/0!</v>
      </c>
      <c r="BA20" s="19">
        <f t="shared" si="46"/>
        <v>0</v>
      </c>
      <c r="BB20" s="19" t="e">
        <f t="shared" si="47"/>
        <v>#DIV/0!</v>
      </c>
      <c r="BC20" s="19">
        <f t="shared" si="48"/>
        <v>0</v>
      </c>
      <c r="BD20" s="19" t="e">
        <f t="shared" si="49"/>
        <v>#DIV/0!</v>
      </c>
    </row>
    <row r="21" spans="1:56" ht="25.2" thickBot="1">
      <c r="A21" s="20"/>
      <c r="B21" s="20" t="s">
        <v>17</v>
      </c>
      <c r="C21" s="21">
        <f>SUM(C16:C20)</f>
        <v>19862015.660000004</v>
      </c>
      <c r="D21" s="21">
        <f t="shared" ref="D21:N21" si="50">SUM(D16:D20)</f>
        <v>19989523.669999998</v>
      </c>
      <c r="E21" s="21">
        <f t="shared" si="50"/>
        <v>20121281.969999999</v>
      </c>
      <c r="F21" s="21">
        <f t="shared" si="50"/>
        <v>0</v>
      </c>
      <c r="G21" s="21">
        <f t="shared" si="50"/>
        <v>0</v>
      </c>
      <c r="H21" s="21">
        <f t="shared" si="50"/>
        <v>0</v>
      </c>
      <c r="I21" s="21">
        <f t="shared" si="50"/>
        <v>0</v>
      </c>
      <c r="J21" s="21">
        <f t="shared" si="50"/>
        <v>0</v>
      </c>
      <c r="K21" s="21">
        <f t="shared" si="50"/>
        <v>0</v>
      </c>
      <c r="L21" s="21">
        <f t="shared" si="50"/>
        <v>0</v>
      </c>
      <c r="M21" s="21">
        <f t="shared" si="50"/>
        <v>0</v>
      </c>
      <c r="N21" s="21">
        <f t="shared" si="50"/>
        <v>0</v>
      </c>
      <c r="P21" s="20"/>
      <c r="Q21" s="20" t="s">
        <v>17</v>
      </c>
      <c r="R21" s="21">
        <f>SUM(R16:R20)</f>
        <v>0</v>
      </c>
      <c r="S21" s="21">
        <f t="shared" ref="S21:AC21" si="51">SUM(S16:S20)</f>
        <v>0</v>
      </c>
      <c r="T21" s="21">
        <f t="shared" si="51"/>
        <v>0</v>
      </c>
      <c r="U21" s="21">
        <f t="shared" si="51"/>
        <v>0</v>
      </c>
      <c r="V21" s="21">
        <f t="shared" si="51"/>
        <v>0</v>
      </c>
      <c r="W21" s="21">
        <f t="shared" si="51"/>
        <v>0</v>
      </c>
      <c r="X21" s="21">
        <f t="shared" si="51"/>
        <v>0</v>
      </c>
      <c r="Y21" s="21">
        <f t="shared" si="51"/>
        <v>0</v>
      </c>
      <c r="Z21" s="21">
        <f t="shared" si="51"/>
        <v>0</v>
      </c>
      <c r="AA21" s="21">
        <f t="shared" si="51"/>
        <v>0</v>
      </c>
      <c r="AB21" s="21">
        <f t="shared" si="51"/>
        <v>0</v>
      </c>
      <c r="AC21" s="21">
        <f t="shared" si="51"/>
        <v>0</v>
      </c>
      <c r="AE21" s="20"/>
      <c r="AF21" s="20" t="s">
        <v>17</v>
      </c>
      <c r="AG21" s="23">
        <f t="shared" si="26"/>
        <v>19862015.660000004</v>
      </c>
      <c r="AH21" s="23">
        <f t="shared" si="27"/>
        <v>100</v>
      </c>
      <c r="AI21" s="23">
        <f t="shared" si="28"/>
        <v>19989523.669999998</v>
      </c>
      <c r="AJ21" s="23">
        <f t="shared" si="29"/>
        <v>100</v>
      </c>
      <c r="AK21" s="23">
        <f t="shared" si="30"/>
        <v>20121281.969999999</v>
      </c>
      <c r="AL21" s="23">
        <f t="shared" si="31"/>
        <v>100</v>
      </c>
      <c r="AM21" s="23">
        <f t="shared" si="32"/>
        <v>0</v>
      </c>
      <c r="AN21" s="23" t="e">
        <f t="shared" si="33"/>
        <v>#DIV/0!</v>
      </c>
      <c r="AO21" s="23">
        <f t="shared" si="34"/>
        <v>0</v>
      </c>
      <c r="AP21" s="23" t="e">
        <f t="shared" si="35"/>
        <v>#DIV/0!</v>
      </c>
      <c r="AQ21" s="23">
        <f t="shared" si="36"/>
        <v>0</v>
      </c>
      <c r="AR21" s="23" t="e">
        <f t="shared" si="37"/>
        <v>#DIV/0!</v>
      </c>
      <c r="AS21" s="23">
        <f t="shared" si="38"/>
        <v>0</v>
      </c>
      <c r="AT21" s="23" t="e">
        <f t="shared" si="39"/>
        <v>#DIV/0!</v>
      </c>
      <c r="AU21" s="23">
        <f t="shared" si="40"/>
        <v>0</v>
      </c>
      <c r="AV21" s="23" t="e">
        <f t="shared" si="41"/>
        <v>#DIV/0!</v>
      </c>
      <c r="AW21" s="23">
        <f t="shared" si="42"/>
        <v>0</v>
      </c>
      <c r="AX21" s="23" t="e">
        <f t="shared" si="43"/>
        <v>#DIV/0!</v>
      </c>
      <c r="AY21" s="23">
        <f t="shared" si="44"/>
        <v>0</v>
      </c>
      <c r="AZ21" s="23" t="e">
        <f t="shared" si="45"/>
        <v>#DIV/0!</v>
      </c>
      <c r="BA21" s="23">
        <f t="shared" si="46"/>
        <v>0</v>
      </c>
      <c r="BB21" s="23" t="e">
        <f t="shared" si="47"/>
        <v>#DIV/0!</v>
      </c>
      <c r="BC21" s="23">
        <f t="shared" si="48"/>
        <v>0</v>
      </c>
      <c r="BD21" s="23" t="e">
        <f t="shared" si="49"/>
        <v>#DIV/0!</v>
      </c>
    </row>
    <row r="22" spans="1:56" ht="25.2" thickTop="1"/>
    <row r="23" spans="1:56">
      <c r="A23" s="37" t="s">
        <v>47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P23" s="37" t="s">
        <v>51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E23" s="37" t="s">
        <v>88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</row>
    <row r="24" spans="1:56">
      <c r="A24" s="37" t="s">
        <v>1959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P24" s="37" t="s">
        <v>1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E24" s="37" t="s">
        <v>1</v>
      </c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</row>
    <row r="25" spans="1:56" s="25" customFormat="1">
      <c r="A25" s="35" t="s">
        <v>2</v>
      </c>
      <c r="B25" s="35" t="s">
        <v>3</v>
      </c>
      <c r="C25" s="38" t="s">
        <v>4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P25" s="35" t="s">
        <v>2</v>
      </c>
      <c r="Q25" s="35" t="s">
        <v>3</v>
      </c>
      <c r="R25" s="38" t="s">
        <v>5</v>
      </c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/>
      <c r="AE25" s="35" t="s">
        <v>2</v>
      </c>
      <c r="AF25" s="35" t="s">
        <v>3</v>
      </c>
      <c r="AG25" s="33">
        <v>25112</v>
      </c>
      <c r="AH25" s="34"/>
      <c r="AI25" s="33">
        <v>25143</v>
      </c>
      <c r="AJ25" s="34"/>
      <c r="AK25" s="33">
        <v>25173</v>
      </c>
      <c r="AL25" s="34"/>
      <c r="AM25" s="33">
        <v>25204</v>
      </c>
      <c r="AN25" s="34"/>
      <c r="AO25" s="33">
        <v>25235</v>
      </c>
      <c r="AP25" s="34"/>
      <c r="AQ25" s="33">
        <v>25263</v>
      </c>
      <c r="AR25" s="34"/>
      <c r="AS25" s="33">
        <v>25294</v>
      </c>
      <c r="AT25" s="34"/>
      <c r="AU25" s="33">
        <v>25324</v>
      </c>
      <c r="AV25" s="34"/>
      <c r="AW25" s="33">
        <v>25355</v>
      </c>
      <c r="AX25" s="34"/>
      <c r="AY25" s="33">
        <v>25385</v>
      </c>
      <c r="AZ25" s="34"/>
      <c r="BA25" s="33">
        <v>25416</v>
      </c>
      <c r="BB25" s="34"/>
      <c r="BC25" s="33">
        <v>25447</v>
      </c>
      <c r="BD25" s="34"/>
    </row>
    <row r="26" spans="1:56" s="25" customFormat="1">
      <c r="A26" s="36"/>
      <c r="B26" s="36"/>
      <c r="C26" s="16">
        <v>25112</v>
      </c>
      <c r="D26" s="16">
        <v>25143</v>
      </c>
      <c r="E26" s="16">
        <v>25173</v>
      </c>
      <c r="F26" s="16">
        <v>25204</v>
      </c>
      <c r="G26" s="16">
        <v>25235</v>
      </c>
      <c r="H26" s="16">
        <v>25263</v>
      </c>
      <c r="I26" s="16">
        <v>25294</v>
      </c>
      <c r="J26" s="16">
        <v>25324</v>
      </c>
      <c r="K26" s="16">
        <v>25355</v>
      </c>
      <c r="L26" s="16">
        <v>25385</v>
      </c>
      <c r="M26" s="16">
        <v>25416</v>
      </c>
      <c r="N26" s="16">
        <v>25447</v>
      </c>
      <c r="P26" s="36"/>
      <c r="Q26" s="36"/>
      <c r="R26" s="16">
        <v>25112</v>
      </c>
      <c r="S26" s="16">
        <v>25143</v>
      </c>
      <c r="T26" s="16">
        <v>25173</v>
      </c>
      <c r="U26" s="16">
        <v>25204</v>
      </c>
      <c r="V26" s="16">
        <v>25235</v>
      </c>
      <c r="W26" s="16">
        <v>25263</v>
      </c>
      <c r="X26" s="16">
        <v>25294</v>
      </c>
      <c r="Y26" s="16">
        <v>25324</v>
      </c>
      <c r="Z26" s="16">
        <v>25355</v>
      </c>
      <c r="AA26" s="16">
        <v>25385</v>
      </c>
      <c r="AB26" s="16">
        <v>25416</v>
      </c>
      <c r="AC26" s="16">
        <v>25447</v>
      </c>
      <c r="AE26" s="36"/>
      <c r="AF26" s="36"/>
      <c r="AG26" s="16" t="s">
        <v>85</v>
      </c>
      <c r="AH26" s="16" t="s">
        <v>86</v>
      </c>
      <c r="AI26" s="16" t="s">
        <v>85</v>
      </c>
      <c r="AJ26" s="16" t="s">
        <v>86</v>
      </c>
      <c r="AK26" s="16" t="s">
        <v>85</v>
      </c>
      <c r="AL26" s="16" t="s">
        <v>86</v>
      </c>
      <c r="AM26" s="16" t="s">
        <v>85</v>
      </c>
      <c r="AN26" s="16" t="s">
        <v>86</v>
      </c>
      <c r="AO26" s="16" t="s">
        <v>85</v>
      </c>
      <c r="AP26" s="16" t="s">
        <v>86</v>
      </c>
      <c r="AQ26" s="16" t="s">
        <v>85</v>
      </c>
      <c r="AR26" s="16" t="s">
        <v>86</v>
      </c>
      <c r="AS26" s="16" t="s">
        <v>85</v>
      </c>
      <c r="AT26" s="16" t="s">
        <v>86</v>
      </c>
      <c r="AU26" s="16" t="s">
        <v>85</v>
      </c>
      <c r="AV26" s="16" t="s">
        <v>86</v>
      </c>
      <c r="AW26" s="16" t="s">
        <v>85</v>
      </c>
      <c r="AX26" s="16" t="s">
        <v>86</v>
      </c>
      <c r="AY26" s="16" t="s">
        <v>85</v>
      </c>
      <c r="AZ26" s="16" t="s">
        <v>86</v>
      </c>
      <c r="BA26" s="16" t="s">
        <v>85</v>
      </c>
      <c r="BB26" s="16" t="s">
        <v>86</v>
      </c>
      <c r="BC26" s="16" t="s">
        <v>85</v>
      </c>
      <c r="BD26" s="16" t="s">
        <v>86</v>
      </c>
    </row>
    <row r="27" spans="1:56">
      <c r="A27" s="17">
        <v>1</v>
      </c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6"/>
      <c r="P27" s="17">
        <v>1</v>
      </c>
      <c r="Q27" s="18" t="s">
        <v>18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E27" s="17">
        <v>1</v>
      </c>
      <c r="AF27" s="18" t="s">
        <v>18</v>
      </c>
      <c r="AG27" s="19">
        <f t="shared" ref="AG27:AG41" si="52">+C27-R27</f>
        <v>0</v>
      </c>
      <c r="AH27" s="19" t="e">
        <f t="shared" ref="AH27:AH41" si="53">+AG27/C27*100</f>
        <v>#DIV/0!</v>
      </c>
      <c r="AI27" s="19">
        <f t="shared" ref="AI27:AI41" si="54">+D27-S27</f>
        <v>0</v>
      </c>
      <c r="AJ27" s="19" t="e">
        <f t="shared" ref="AJ27:AJ41" si="55">+AI27/D27*100</f>
        <v>#DIV/0!</v>
      </c>
      <c r="AK27" s="19">
        <f t="shared" ref="AK27:AK41" si="56">+E27-T27</f>
        <v>0</v>
      </c>
      <c r="AL27" s="19" t="e">
        <f t="shared" ref="AL27:AL41" si="57">+AK27/E27*100</f>
        <v>#DIV/0!</v>
      </c>
      <c r="AM27" s="19">
        <f t="shared" ref="AM27:AM41" si="58">+F27-U27</f>
        <v>0</v>
      </c>
      <c r="AN27" s="19" t="e">
        <f t="shared" ref="AN27:AN41" si="59">+AM27/F27*100</f>
        <v>#DIV/0!</v>
      </c>
      <c r="AO27" s="19">
        <f t="shared" ref="AO27:AO41" si="60">+G27-V27</f>
        <v>0</v>
      </c>
      <c r="AP27" s="19" t="e">
        <f t="shared" ref="AP27:AP41" si="61">+AO27/G27*100</f>
        <v>#DIV/0!</v>
      </c>
      <c r="AQ27" s="19">
        <f t="shared" ref="AQ27:AQ41" si="62">+H27-W27</f>
        <v>0</v>
      </c>
      <c r="AR27" s="19" t="e">
        <f t="shared" ref="AR27:AR41" si="63">+AQ27/H27*100</f>
        <v>#DIV/0!</v>
      </c>
      <c r="AS27" s="19">
        <f t="shared" ref="AS27:AS41" si="64">+I27-X27</f>
        <v>0</v>
      </c>
      <c r="AT27" s="19" t="e">
        <f t="shared" ref="AT27:AT41" si="65">+AS27/I27*100</f>
        <v>#DIV/0!</v>
      </c>
      <c r="AU27" s="19">
        <f t="shared" ref="AU27:AU41" si="66">+J27-Y27</f>
        <v>0</v>
      </c>
      <c r="AV27" s="19" t="e">
        <f t="shared" ref="AV27:AV41" si="67">+AU27/J27*100</f>
        <v>#DIV/0!</v>
      </c>
      <c r="AW27" s="19">
        <f t="shared" ref="AW27:AW41" si="68">+K27-Z27</f>
        <v>0</v>
      </c>
      <c r="AX27" s="19" t="e">
        <f t="shared" ref="AX27:AX41" si="69">+AW27/K27*100</f>
        <v>#DIV/0!</v>
      </c>
      <c r="AY27" s="19">
        <f t="shared" ref="AY27:AY41" si="70">+L27-AA27</f>
        <v>0</v>
      </c>
      <c r="AZ27" s="19" t="e">
        <f t="shared" ref="AZ27:AZ41" si="71">+AY27/L27*100</f>
        <v>#DIV/0!</v>
      </c>
      <c r="BA27" s="19">
        <f t="shared" ref="BA27:BA41" si="72">+M27-AB27</f>
        <v>0</v>
      </c>
      <c r="BB27" s="19" t="e">
        <f t="shared" ref="BB27:BB41" si="73">+BA27/M27*100</f>
        <v>#DIV/0!</v>
      </c>
      <c r="BC27" s="19">
        <f t="shared" ref="BC27:BC41" si="74">+N27-AC27</f>
        <v>0</v>
      </c>
      <c r="BD27" s="19" t="e">
        <f t="shared" ref="BD27:BD41" si="75">+BC27/N27*100</f>
        <v>#DIV/0!</v>
      </c>
    </row>
    <row r="28" spans="1:56">
      <c r="A28" s="17">
        <v>2</v>
      </c>
      <c r="B28" s="18" t="s">
        <v>20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6"/>
      <c r="P28" s="17">
        <v>2</v>
      </c>
      <c r="Q28" s="18" t="s">
        <v>20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E28" s="17">
        <v>2</v>
      </c>
      <c r="AF28" s="18" t="s">
        <v>20</v>
      </c>
      <c r="AG28" s="19">
        <f t="shared" si="52"/>
        <v>0</v>
      </c>
      <c r="AH28" s="19" t="e">
        <f t="shared" si="53"/>
        <v>#DIV/0!</v>
      </c>
      <c r="AI28" s="19">
        <f t="shared" si="54"/>
        <v>0</v>
      </c>
      <c r="AJ28" s="19" t="e">
        <f t="shared" si="55"/>
        <v>#DIV/0!</v>
      </c>
      <c r="AK28" s="19">
        <f t="shared" si="56"/>
        <v>0</v>
      </c>
      <c r="AL28" s="19" t="e">
        <f t="shared" si="57"/>
        <v>#DIV/0!</v>
      </c>
      <c r="AM28" s="19">
        <f t="shared" si="58"/>
        <v>0</v>
      </c>
      <c r="AN28" s="19" t="e">
        <f t="shared" si="59"/>
        <v>#DIV/0!</v>
      </c>
      <c r="AO28" s="19">
        <f t="shared" si="60"/>
        <v>0</v>
      </c>
      <c r="AP28" s="19" t="e">
        <f t="shared" si="61"/>
        <v>#DIV/0!</v>
      </c>
      <c r="AQ28" s="19">
        <f t="shared" si="62"/>
        <v>0</v>
      </c>
      <c r="AR28" s="19" t="e">
        <f t="shared" si="63"/>
        <v>#DIV/0!</v>
      </c>
      <c r="AS28" s="19">
        <f t="shared" si="64"/>
        <v>0</v>
      </c>
      <c r="AT28" s="19" t="e">
        <f t="shared" si="65"/>
        <v>#DIV/0!</v>
      </c>
      <c r="AU28" s="19">
        <f t="shared" si="66"/>
        <v>0</v>
      </c>
      <c r="AV28" s="19" t="e">
        <f t="shared" si="67"/>
        <v>#DIV/0!</v>
      </c>
      <c r="AW28" s="19">
        <f t="shared" si="68"/>
        <v>0</v>
      </c>
      <c r="AX28" s="19" t="e">
        <f t="shared" si="69"/>
        <v>#DIV/0!</v>
      </c>
      <c r="AY28" s="19">
        <f t="shared" si="70"/>
        <v>0</v>
      </c>
      <c r="AZ28" s="19" t="e">
        <f t="shared" si="71"/>
        <v>#DIV/0!</v>
      </c>
      <c r="BA28" s="19">
        <f t="shared" si="72"/>
        <v>0</v>
      </c>
      <c r="BB28" s="19" t="e">
        <f t="shared" si="73"/>
        <v>#DIV/0!</v>
      </c>
      <c r="BC28" s="19">
        <f t="shared" si="74"/>
        <v>0</v>
      </c>
      <c r="BD28" s="19" t="e">
        <f t="shared" si="75"/>
        <v>#DIV/0!</v>
      </c>
    </row>
    <row r="29" spans="1:56">
      <c r="A29" s="17">
        <v>3</v>
      </c>
      <c r="B29" s="18" t="s">
        <v>22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26"/>
      <c r="P29" s="17">
        <v>3</v>
      </c>
      <c r="Q29" s="18" t="s">
        <v>22</v>
      </c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E29" s="17">
        <v>3</v>
      </c>
      <c r="AF29" s="18" t="s">
        <v>22</v>
      </c>
      <c r="AG29" s="19">
        <f t="shared" si="52"/>
        <v>0</v>
      </c>
      <c r="AH29" s="19" t="e">
        <f t="shared" si="53"/>
        <v>#DIV/0!</v>
      </c>
      <c r="AI29" s="19">
        <f t="shared" si="54"/>
        <v>0</v>
      </c>
      <c r="AJ29" s="19" t="e">
        <f t="shared" si="55"/>
        <v>#DIV/0!</v>
      </c>
      <c r="AK29" s="19">
        <f t="shared" si="56"/>
        <v>0</v>
      </c>
      <c r="AL29" s="19" t="e">
        <f t="shared" si="57"/>
        <v>#DIV/0!</v>
      </c>
      <c r="AM29" s="19">
        <f t="shared" si="58"/>
        <v>0</v>
      </c>
      <c r="AN29" s="19" t="e">
        <f t="shared" si="59"/>
        <v>#DIV/0!</v>
      </c>
      <c r="AO29" s="19">
        <f t="shared" si="60"/>
        <v>0</v>
      </c>
      <c r="AP29" s="19" t="e">
        <f t="shared" si="61"/>
        <v>#DIV/0!</v>
      </c>
      <c r="AQ29" s="19">
        <f t="shared" si="62"/>
        <v>0</v>
      </c>
      <c r="AR29" s="19" t="e">
        <f t="shared" si="63"/>
        <v>#DIV/0!</v>
      </c>
      <c r="AS29" s="19">
        <f t="shared" si="64"/>
        <v>0</v>
      </c>
      <c r="AT29" s="19" t="e">
        <f t="shared" si="65"/>
        <v>#DIV/0!</v>
      </c>
      <c r="AU29" s="19">
        <f t="shared" si="66"/>
        <v>0</v>
      </c>
      <c r="AV29" s="19" t="e">
        <f t="shared" si="67"/>
        <v>#DIV/0!</v>
      </c>
      <c r="AW29" s="19">
        <f t="shared" si="68"/>
        <v>0</v>
      </c>
      <c r="AX29" s="19" t="e">
        <f t="shared" si="69"/>
        <v>#DIV/0!</v>
      </c>
      <c r="AY29" s="19">
        <f t="shared" si="70"/>
        <v>0</v>
      </c>
      <c r="AZ29" s="19" t="e">
        <f t="shared" si="71"/>
        <v>#DIV/0!</v>
      </c>
      <c r="BA29" s="19">
        <f t="shared" si="72"/>
        <v>0</v>
      </c>
      <c r="BB29" s="19" t="e">
        <f t="shared" si="73"/>
        <v>#DIV/0!</v>
      </c>
      <c r="BC29" s="19">
        <f t="shared" si="74"/>
        <v>0</v>
      </c>
      <c r="BD29" s="19" t="e">
        <f t="shared" si="75"/>
        <v>#DIV/0!</v>
      </c>
    </row>
    <row r="30" spans="1:56">
      <c r="A30" s="17">
        <v>4</v>
      </c>
      <c r="B30" s="18" t="s">
        <v>24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6"/>
      <c r="P30" s="17">
        <v>4</v>
      </c>
      <c r="Q30" s="18" t="s">
        <v>24</v>
      </c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E30" s="17">
        <v>4</v>
      </c>
      <c r="AF30" s="18" t="s">
        <v>24</v>
      </c>
      <c r="AG30" s="19">
        <f t="shared" si="52"/>
        <v>0</v>
      </c>
      <c r="AH30" s="19" t="e">
        <f t="shared" si="53"/>
        <v>#DIV/0!</v>
      </c>
      <c r="AI30" s="19">
        <f t="shared" si="54"/>
        <v>0</v>
      </c>
      <c r="AJ30" s="19" t="e">
        <f t="shared" si="55"/>
        <v>#DIV/0!</v>
      </c>
      <c r="AK30" s="19">
        <f t="shared" si="56"/>
        <v>0</v>
      </c>
      <c r="AL30" s="19" t="e">
        <f t="shared" si="57"/>
        <v>#DIV/0!</v>
      </c>
      <c r="AM30" s="19">
        <f t="shared" si="58"/>
        <v>0</v>
      </c>
      <c r="AN30" s="19" t="e">
        <f t="shared" si="59"/>
        <v>#DIV/0!</v>
      </c>
      <c r="AO30" s="19">
        <f t="shared" si="60"/>
        <v>0</v>
      </c>
      <c r="AP30" s="19" t="e">
        <f t="shared" si="61"/>
        <v>#DIV/0!</v>
      </c>
      <c r="AQ30" s="19">
        <f t="shared" si="62"/>
        <v>0</v>
      </c>
      <c r="AR30" s="19" t="e">
        <f t="shared" si="63"/>
        <v>#DIV/0!</v>
      </c>
      <c r="AS30" s="19">
        <f t="shared" si="64"/>
        <v>0</v>
      </c>
      <c r="AT30" s="19" t="e">
        <f t="shared" si="65"/>
        <v>#DIV/0!</v>
      </c>
      <c r="AU30" s="19">
        <f t="shared" si="66"/>
        <v>0</v>
      </c>
      <c r="AV30" s="19" t="e">
        <f t="shared" si="67"/>
        <v>#DIV/0!</v>
      </c>
      <c r="AW30" s="19">
        <f t="shared" si="68"/>
        <v>0</v>
      </c>
      <c r="AX30" s="19" t="e">
        <f t="shared" si="69"/>
        <v>#DIV/0!</v>
      </c>
      <c r="AY30" s="19">
        <f t="shared" si="70"/>
        <v>0</v>
      </c>
      <c r="AZ30" s="19" t="e">
        <f t="shared" si="71"/>
        <v>#DIV/0!</v>
      </c>
      <c r="BA30" s="19">
        <f t="shared" si="72"/>
        <v>0</v>
      </c>
      <c r="BB30" s="19" t="e">
        <f t="shared" si="73"/>
        <v>#DIV/0!</v>
      </c>
      <c r="BC30" s="19">
        <f t="shared" si="74"/>
        <v>0</v>
      </c>
      <c r="BD30" s="19" t="e">
        <f t="shared" si="75"/>
        <v>#DIV/0!</v>
      </c>
    </row>
    <row r="31" spans="1:56">
      <c r="A31" s="17">
        <v>5</v>
      </c>
      <c r="B31" s="18" t="s">
        <v>26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6"/>
      <c r="P31" s="17">
        <v>5</v>
      </c>
      <c r="Q31" s="18" t="s">
        <v>26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E31" s="17">
        <v>5</v>
      </c>
      <c r="AF31" s="18" t="s">
        <v>26</v>
      </c>
      <c r="AG31" s="19">
        <f t="shared" si="52"/>
        <v>0</v>
      </c>
      <c r="AH31" s="19" t="e">
        <f t="shared" si="53"/>
        <v>#DIV/0!</v>
      </c>
      <c r="AI31" s="19">
        <f t="shared" si="54"/>
        <v>0</v>
      </c>
      <c r="AJ31" s="19" t="e">
        <f t="shared" si="55"/>
        <v>#DIV/0!</v>
      </c>
      <c r="AK31" s="19">
        <f t="shared" si="56"/>
        <v>0</v>
      </c>
      <c r="AL31" s="19" t="e">
        <f t="shared" si="57"/>
        <v>#DIV/0!</v>
      </c>
      <c r="AM31" s="19">
        <f t="shared" si="58"/>
        <v>0</v>
      </c>
      <c r="AN31" s="19" t="e">
        <f t="shared" si="59"/>
        <v>#DIV/0!</v>
      </c>
      <c r="AO31" s="19">
        <f t="shared" si="60"/>
        <v>0</v>
      </c>
      <c r="AP31" s="19" t="e">
        <f t="shared" si="61"/>
        <v>#DIV/0!</v>
      </c>
      <c r="AQ31" s="19">
        <f t="shared" si="62"/>
        <v>0</v>
      </c>
      <c r="AR31" s="19" t="e">
        <f t="shared" si="63"/>
        <v>#DIV/0!</v>
      </c>
      <c r="AS31" s="19">
        <f t="shared" si="64"/>
        <v>0</v>
      </c>
      <c r="AT31" s="19" t="e">
        <f t="shared" si="65"/>
        <v>#DIV/0!</v>
      </c>
      <c r="AU31" s="19">
        <f t="shared" si="66"/>
        <v>0</v>
      </c>
      <c r="AV31" s="19" t="e">
        <f t="shared" si="67"/>
        <v>#DIV/0!</v>
      </c>
      <c r="AW31" s="19">
        <f t="shared" si="68"/>
        <v>0</v>
      </c>
      <c r="AX31" s="19" t="e">
        <f t="shared" si="69"/>
        <v>#DIV/0!</v>
      </c>
      <c r="AY31" s="19">
        <f t="shared" si="70"/>
        <v>0</v>
      </c>
      <c r="AZ31" s="19" t="e">
        <f t="shared" si="71"/>
        <v>#DIV/0!</v>
      </c>
      <c r="BA31" s="19">
        <f t="shared" si="72"/>
        <v>0</v>
      </c>
      <c r="BB31" s="19" t="e">
        <f t="shared" si="73"/>
        <v>#DIV/0!</v>
      </c>
      <c r="BC31" s="19">
        <f t="shared" si="74"/>
        <v>0</v>
      </c>
      <c r="BD31" s="19" t="e">
        <f t="shared" si="75"/>
        <v>#DIV/0!</v>
      </c>
    </row>
    <row r="32" spans="1:56">
      <c r="A32" s="17">
        <v>6</v>
      </c>
      <c r="B32" s="18" t="s">
        <v>28</v>
      </c>
      <c r="C32" s="19">
        <v>9423916</v>
      </c>
      <c r="D32" s="19">
        <v>9423916</v>
      </c>
      <c r="E32" s="19">
        <v>9423916</v>
      </c>
      <c r="F32" s="19"/>
      <c r="G32" s="19"/>
      <c r="H32" s="19"/>
      <c r="I32" s="19"/>
      <c r="J32" s="19"/>
      <c r="K32" s="19"/>
      <c r="L32" s="19"/>
      <c r="M32" s="19"/>
      <c r="N32" s="19"/>
      <c r="O32" s="26"/>
      <c r="P32" s="17">
        <v>6</v>
      </c>
      <c r="Q32" s="18" t="s">
        <v>28</v>
      </c>
      <c r="R32" s="19">
        <v>8229416</v>
      </c>
      <c r="S32" s="19">
        <v>8229416</v>
      </c>
      <c r="T32" s="19">
        <v>8229416</v>
      </c>
      <c r="U32" s="19"/>
      <c r="V32" s="19"/>
      <c r="W32" s="19"/>
      <c r="X32" s="19"/>
      <c r="Y32" s="19"/>
      <c r="Z32" s="19"/>
      <c r="AA32" s="19"/>
      <c r="AB32" s="19"/>
      <c r="AC32" s="19"/>
      <c r="AE32" s="17">
        <v>6</v>
      </c>
      <c r="AF32" s="18" t="s">
        <v>28</v>
      </c>
      <c r="AG32" s="19">
        <f t="shared" si="52"/>
        <v>1194500</v>
      </c>
      <c r="AH32" s="19">
        <f t="shared" si="53"/>
        <v>12.675197868911395</v>
      </c>
      <c r="AI32" s="19">
        <f t="shared" si="54"/>
        <v>1194500</v>
      </c>
      <c r="AJ32" s="19">
        <f t="shared" si="55"/>
        <v>12.675197868911395</v>
      </c>
      <c r="AK32" s="19">
        <f t="shared" si="56"/>
        <v>1194500</v>
      </c>
      <c r="AL32" s="19">
        <f t="shared" si="57"/>
        <v>12.675197868911395</v>
      </c>
      <c r="AM32" s="19">
        <f t="shared" si="58"/>
        <v>0</v>
      </c>
      <c r="AN32" s="19" t="e">
        <f t="shared" si="59"/>
        <v>#DIV/0!</v>
      </c>
      <c r="AO32" s="19">
        <f t="shared" si="60"/>
        <v>0</v>
      </c>
      <c r="AP32" s="19" t="e">
        <f t="shared" si="61"/>
        <v>#DIV/0!</v>
      </c>
      <c r="AQ32" s="19">
        <f t="shared" si="62"/>
        <v>0</v>
      </c>
      <c r="AR32" s="19" t="e">
        <f t="shared" si="63"/>
        <v>#DIV/0!</v>
      </c>
      <c r="AS32" s="19">
        <f t="shared" si="64"/>
        <v>0</v>
      </c>
      <c r="AT32" s="19" t="e">
        <f t="shared" si="65"/>
        <v>#DIV/0!</v>
      </c>
      <c r="AU32" s="19">
        <f t="shared" si="66"/>
        <v>0</v>
      </c>
      <c r="AV32" s="19" t="e">
        <f t="shared" si="67"/>
        <v>#DIV/0!</v>
      </c>
      <c r="AW32" s="19">
        <f t="shared" si="68"/>
        <v>0</v>
      </c>
      <c r="AX32" s="19" t="e">
        <f t="shared" si="69"/>
        <v>#DIV/0!</v>
      </c>
      <c r="AY32" s="19">
        <f t="shared" si="70"/>
        <v>0</v>
      </c>
      <c r="AZ32" s="19" t="e">
        <f t="shared" si="71"/>
        <v>#DIV/0!</v>
      </c>
      <c r="BA32" s="19">
        <f t="shared" si="72"/>
        <v>0</v>
      </c>
      <c r="BB32" s="19" t="e">
        <f t="shared" si="73"/>
        <v>#DIV/0!</v>
      </c>
      <c r="BC32" s="19">
        <f t="shared" si="74"/>
        <v>0</v>
      </c>
      <c r="BD32" s="19" t="e">
        <f t="shared" si="75"/>
        <v>#DIV/0!</v>
      </c>
    </row>
    <row r="33" spans="1:56">
      <c r="A33" s="17">
        <v>7</v>
      </c>
      <c r="B33" s="18" t="s">
        <v>30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6"/>
      <c r="P33" s="17">
        <v>7</v>
      </c>
      <c r="Q33" s="18" t="s">
        <v>30</v>
      </c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E33" s="17">
        <v>7</v>
      </c>
      <c r="AF33" s="18" t="s">
        <v>30</v>
      </c>
      <c r="AG33" s="19">
        <f t="shared" si="52"/>
        <v>0</v>
      </c>
      <c r="AH33" s="19" t="e">
        <f t="shared" si="53"/>
        <v>#DIV/0!</v>
      </c>
      <c r="AI33" s="19">
        <f t="shared" si="54"/>
        <v>0</v>
      </c>
      <c r="AJ33" s="19" t="e">
        <f t="shared" si="55"/>
        <v>#DIV/0!</v>
      </c>
      <c r="AK33" s="19">
        <f t="shared" si="56"/>
        <v>0</v>
      </c>
      <c r="AL33" s="19" t="e">
        <f t="shared" si="57"/>
        <v>#DIV/0!</v>
      </c>
      <c r="AM33" s="19">
        <f t="shared" si="58"/>
        <v>0</v>
      </c>
      <c r="AN33" s="19" t="e">
        <f t="shared" si="59"/>
        <v>#DIV/0!</v>
      </c>
      <c r="AO33" s="19">
        <f t="shared" si="60"/>
        <v>0</v>
      </c>
      <c r="AP33" s="19" t="e">
        <f t="shared" si="61"/>
        <v>#DIV/0!</v>
      </c>
      <c r="AQ33" s="19">
        <f t="shared" si="62"/>
        <v>0</v>
      </c>
      <c r="AR33" s="19" t="e">
        <f t="shared" si="63"/>
        <v>#DIV/0!</v>
      </c>
      <c r="AS33" s="19">
        <f t="shared" si="64"/>
        <v>0</v>
      </c>
      <c r="AT33" s="19" t="e">
        <f t="shared" si="65"/>
        <v>#DIV/0!</v>
      </c>
      <c r="AU33" s="19">
        <f t="shared" si="66"/>
        <v>0</v>
      </c>
      <c r="AV33" s="19" t="e">
        <f t="shared" si="67"/>
        <v>#DIV/0!</v>
      </c>
      <c r="AW33" s="19">
        <f t="shared" si="68"/>
        <v>0</v>
      </c>
      <c r="AX33" s="19" t="e">
        <f t="shared" si="69"/>
        <v>#DIV/0!</v>
      </c>
      <c r="AY33" s="19">
        <f t="shared" si="70"/>
        <v>0</v>
      </c>
      <c r="AZ33" s="19" t="e">
        <f t="shared" si="71"/>
        <v>#DIV/0!</v>
      </c>
      <c r="BA33" s="19">
        <f t="shared" si="72"/>
        <v>0</v>
      </c>
      <c r="BB33" s="19" t="e">
        <f t="shared" si="73"/>
        <v>#DIV/0!</v>
      </c>
      <c r="BC33" s="19">
        <f t="shared" si="74"/>
        <v>0</v>
      </c>
      <c r="BD33" s="19" t="e">
        <f t="shared" si="75"/>
        <v>#DIV/0!</v>
      </c>
    </row>
    <row r="34" spans="1:56">
      <c r="A34" s="17">
        <v>8</v>
      </c>
      <c r="B34" s="18" t="s">
        <v>32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6"/>
      <c r="P34" s="17">
        <v>8</v>
      </c>
      <c r="Q34" s="18" t="s">
        <v>32</v>
      </c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E34" s="17">
        <v>8</v>
      </c>
      <c r="AF34" s="18" t="s">
        <v>32</v>
      </c>
      <c r="AG34" s="19">
        <f t="shared" si="52"/>
        <v>0</v>
      </c>
      <c r="AH34" s="19" t="e">
        <f t="shared" si="53"/>
        <v>#DIV/0!</v>
      </c>
      <c r="AI34" s="19">
        <f t="shared" si="54"/>
        <v>0</v>
      </c>
      <c r="AJ34" s="19" t="e">
        <f t="shared" si="55"/>
        <v>#DIV/0!</v>
      </c>
      <c r="AK34" s="19">
        <f t="shared" si="56"/>
        <v>0</v>
      </c>
      <c r="AL34" s="19" t="e">
        <f t="shared" si="57"/>
        <v>#DIV/0!</v>
      </c>
      <c r="AM34" s="19">
        <f t="shared" si="58"/>
        <v>0</v>
      </c>
      <c r="AN34" s="19" t="e">
        <f t="shared" si="59"/>
        <v>#DIV/0!</v>
      </c>
      <c r="AO34" s="19">
        <f t="shared" si="60"/>
        <v>0</v>
      </c>
      <c r="AP34" s="19" t="e">
        <f t="shared" si="61"/>
        <v>#DIV/0!</v>
      </c>
      <c r="AQ34" s="19">
        <f t="shared" si="62"/>
        <v>0</v>
      </c>
      <c r="AR34" s="19" t="e">
        <f t="shared" si="63"/>
        <v>#DIV/0!</v>
      </c>
      <c r="AS34" s="19">
        <f t="shared" si="64"/>
        <v>0</v>
      </c>
      <c r="AT34" s="19" t="e">
        <f t="shared" si="65"/>
        <v>#DIV/0!</v>
      </c>
      <c r="AU34" s="19">
        <f t="shared" si="66"/>
        <v>0</v>
      </c>
      <c r="AV34" s="19" t="e">
        <f t="shared" si="67"/>
        <v>#DIV/0!</v>
      </c>
      <c r="AW34" s="19">
        <f t="shared" si="68"/>
        <v>0</v>
      </c>
      <c r="AX34" s="19" t="e">
        <f t="shared" si="69"/>
        <v>#DIV/0!</v>
      </c>
      <c r="AY34" s="19">
        <f t="shared" si="70"/>
        <v>0</v>
      </c>
      <c r="AZ34" s="19" t="e">
        <f t="shared" si="71"/>
        <v>#DIV/0!</v>
      </c>
      <c r="BA34" s="19">
        <f t="shared" si="72"/>
        <v>0</v>
      </c>
      <c r="BB34" s="19" t="e">
        <f t="shared" si="73"/>
        <v>#DIV/0!</v>
      </c>
      <c r="BC34" s="19">
        <f t="shared" si="74"/>
        <v>0</v>
      </c>
      <c r="BD34" s="19" t="e">
        <f t="shared" si="75"/>
        <v>#DIV/0!</v>
      </c>
    </row>
    <row r="35" spans="1:56">
      <c r="A35" s="17">
        <v>9</v>
      </c>
      <c r="B35" s="18" t="s">
        <v>34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6"/>
      <c r="P35" s="17">
        <v>9</v>
      </c>
      <c r="Q35" s="18" t="s">
        <v>34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E35" s="17">
        <v>9</v>
      </c>
      <c r="AF35" s="18" t="s">
        <v>34</v>
      </c>
      <c r="AG35" s="19">
        <f t="shared" si="52"/>
        <v>0</v>
      </c>
      <c r="AH35" s="19" t="e">
        <f t="shared" si="53"/>
        <v>#DIV/0!</v>
      </c>
      <c r="AI35" s="19">
        <f t="shared" si="54"/>
        <v>0</v>
      </c>
      <c r="AJ35" s="19" t="e">
        <f t="shared" si="55"/>
        <v>#DIV/0!</v>
      </c>
      <c r="AK35" s="19">
        <f t="shared" si="56"/>
        <v>0</v>
      </c>
      <c r="AL35" s="19" t="e">
        <f t="shared" si="57"/>
        <v>#DIV/0!</v>
      </c>
      <c r="AM35" s="19">
        <f t="shared" si="58"/>
        <v>0</v>
      </c>
      <c r="AN35" s="19" t="e">
        <f t="shared" si="59"/>
        <v>#DIV/0!</v>
      </c>
      <c r="AO35" s="19">
        <f t="shared" si="60"/>
        <v>0</v>
      </c>
      <c r="AP35" s="19" t="e">
        <f t="shared" si="61"/>
        <v>#DIV/0!</v>
      </c>
      <c r="AQ35" s="19">
        <f t="shared" si="62"/>
        <v>0</v>
      </c>
      <c r="AR35" s="19" t="e">
        <f t="shared" si="63"/>
        <v>#DIV/0!</v>
      </c>
      <c r="AS35" s="19">
        <f t="shared" si="64"/>
        <v>0</v>
      </c>
      <c r="AT35" s="19" t="e">
        <f t="shared" si="65"/>
        <v>#DIV/0!</v>
      </c>
      <c r="AU35" s="19">
        <f t="shared" si="66"/>
        <v>0</v>
      </c>
      <c r="AV35" s="19" t="e">
        <f t="shared" si="67"/>
        <v>#DIV/0!</v>
      </c>
      <c r="AW35" s="19">
        <f t="shared" si="68"/>
        <v>0</v>
      </c>
      <c r="AX35" s="19" t="e">
        <f t="shared" si="69"/>
        <v>#DIV/0!</v>
      </c>
      <c r="AY35" s="19">
        <f t="shared" si="70"/>
        <v>0</v>
      </c>
      <c r="AZ35" s="19" t="e">
        <f t="shared" si="71"/>
        <v>#DIV/0!</v>
      </c>
      <c r="BA35" s="19">
        <f t="shared" si="72"/>
        <v>0</v>
      </c>
      <c r="BB35" s="19" t="e">
        <f t="shared" si="73"/>
        <v>#DIV/0!</v>
      </c>
      <c r="BC35" s="19">
        <f t="shared" si="74"/>
        <v>0</v>
      </c>
      <c r="BD35" s="19" t="e">
        <f t="shared" si="75"/>
        <v>#DIV/0!</v>
      </c>
    </row>
    <row r="36" spans="1:56">
      <c r="A36" s="17">
        <v>10</v>
      </c>
      <c r="B36" s="18" t="s">
        <v>36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6"/>
      <c r="P36" s="17">
        <v>10</v>
      </c>
      <c r="Q36" s="18" t="s">
        <v>36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E36" s="17">
        <v>10</v>
      </c>
      <c r="AF36" s="18" t="s">
        <v>36</v>
      </c>
      <c r="AG36" s="19">
        <f t="shared" si="52"/>
        <v>0</v>
      </c>
      <c r="AH36" s="19" t="e">
        <f t="shared" si="53"/>
        <v>#DIV/0!</v>
      </c>
      <c r="AI36" s="19">
        <f t="shared" si="54"/>
        <v>0</v>
      </c>
      <c r="AJ36" s="19" t="e">
        <f t="shared" si="55"/>
        <v>#DIV/0!</v>
      </c>
      <c r="AK36" s="19">
        <f t="shared" si="56"/>
        <v>0</v>
      </c>
      <c r="AL36" s="19" t="e">
        <f t="shared" si="57"/>
        <v>#DIV/0!</v>
      </c>
      <c r="AM36" s="19">
        <f t="shared" si="58"/>
        <v>0</v>
      </c>
      <c r="AN36" s="19" t="e">
        <f t="shared" si="59"/>
        <v>#DIV/0!</v>
      </c>
      <c r="AO36" s="19">
        <f t="shared" si="60"/>
        <v>0</v>
      </c>
      <c r="AP36" s="19" t="e">
        <f t="shared" si="61"/>
        <v>#DIV/0!</v>
      </c>
      <c r="AQ36" s="19">
        <f t="shared" si="62"/>
        <v>0</v>
      </c>
      <c r="AR36" s="19" t="e">
        <f t="shared" si="63"/>
        <v>#DIV/0!</v>
      </c>
      <c r="AS36" s="19">
        <f t="shared" si="64"/>
        <v>0</v>
      </c>
      <c r="AT36" s="19" t="e">
        <f t="shared" si="65"/>
        <v>#DIV/0!</v>
      </c>
      <c r="AU36" s="19">
        <f t="shared" si="66"/>
        <v>0</v>
      </c>
      <c r="AV36" s="19" t="e">
        <f t="shared" si="67"/>
        <v>#DIV/0!</v>
      </c>
      <c r="AW36" s="19">
        <f t="shared" si="68"/>
        <v>0</v>
      </c>
      <c r="AX36" s="19" t="e">
        <f t="shared" si="69"/>
        <v>#DIV/0!</v>
      </c>
      <c r="AY36" s="19">
        <f t="shared" si="70"/>
        <v>0</v>
      </c>
      <c r="AZ36" s="19" t="e">
        <f t="shared" si="71"/>
        <v>#DIV/0!</v>
      </c>
      <c r="BA36" s="19">
        <f t="shared" si="72"/>
        <v>0</v>
      </c>
      <c r="BB36" s="19" t="e">
        <f t="shared" si="73"/>
        <v>#DIV/0!</v>
      </c>
      <c r="BC36" s="19">
        <f t="shared" si="74"/>
        <v>0</v>
      </c>
      <c r="BD36" s="19" t="e">
        <f t="shared" si="75"/>
        <v>#DIV/0!</v>
      </c>
    </row>
    <row r="37" spans="1:56">
      <c r="A37" s="17">
        <v>11</v>
      </c>
      <c r="B37" s="18" t="s">
        <v>38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6"/>
      <c r="P37" s="17">
        <v>11</v>
      </c>
      <c r="Q37" s="18" t="s">
        <v>38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E37" s="17">
        <v>11</v>
      </c>
      <c r="AF37" s="18" t="s">
        <v>38</v>
      </c>
      <c r="AG37" s="19">
        <f t="shared" si="52"/>
        <v>0</v>
      </c>
      <c r="AH37" s="19" t="e">
        <f t="shared" si="53"/>
        <v>#DIV/0!</v>
      </c>
      <c r="AI37" s="19">
        <f t="shared" si="54"/>
        <v>0</v>
      </c>
      <c r="AJ37" s="19" t="e">
        <f t="shared" si="55"/>
        <v>#DIV/0!</v>
      </c>
      <c r="AK37" s="19">
        <f t="shared" si="56"/>
        <v>0</v>
      </c>
      <c r="AL37" s="19" t="e">
        <f t="shared" si="57"/>
        <v>#DIV/0!</v>
      </c>
      <c r="AM37" s="19">
        <f t="shared" si="58"/>
        <v>0</v>
      </c>
      <c r="AN37" s="19" t="e">
        <f t="shared" si="59"/>
        <v>#DIV/0!</v>
      </c>
      <c r="AO37" s="19">
        <f t="shared" si="60"/>
        <v>0</v>
      </c>
      <c r="AP37" s="19" t="e">
        <f t="shared" si="61"/>
        <v>#DIV/0!</v>
      </c>
      <c r="AQ37" s="19">
        <f t="shared" si="62"/>
        <v>0</v>
      </c>
      <c r="AR37" s="19" t="e">
        <f t="shared" si="63"/>
        <v>#DIV/0!</v>
      </c>
      <c r="AS37" s="19">
        <f t="shared" si="64"/>
        <v>0</v>
      </c>
      <c r="AT37" s="19" t="e">
        <f t="shared" si="65"/>
        <v>#DIV/0!</v>
      </c>
      <c r="AU37" s="19">
        <f t="shared" si="66"/>
        <v>0</v>
      </c>
      <c r="AV37" s="19" t="e">
        <f t="shared" si="67"/>
        <v>#DIV/0!</v>
      </c>
      <c r="AW37" s="19">
        <f t="shared" si="68"/>
        <v>0</v>
      </c>
      <c r="AX37" s="19" t="e">
        <f t="shared" si="69"/>
        <v>#DIV/0!</v>
      </c>
      <c r="AY37" s="19">
        <f t="shared" si="70"/>
        <v>0</v>
      </c>
      <c r="AZ37" s="19" t="e">
        <f t="shared" si="71"/>
        <v>#DIV/0!</v>
      </c>
      <c r="BA37" s="19">
        <f t="shared" si="72"/>
        <v>0</v>
      </c>
      <c r="BB37" s="19" t="e">
        <f t="shared" si="73"/>
        <v>#DIV/0!</v>
      </c>
      <c r="BC37" s="19">
        <f t="shared" si="74"/>
        <v>0</v>
      </c>
      <c r="BD37" s="19" t="e">
        <f t="shared" si="75"/>
        <v>#DIV/0!</v>
      </c>
    </row>
    <row r="38" spans="1:56">
      <c r="A38" s="17">
        <v>12</v>
      </c>
      <c r="B38" s="18" t="s">
        <v>40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6"/>
      <c r="P38" s="17">
        <v>12</v>
      </c>
      <c r="Q38" s="18" t="s">
        <v>40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E38" s="17">
        <v>12</v>
      </c>
      <c r="AF38" s="18" t="s">
        <v>40</v>
      </c>
      <c r="AG38" s="19">
        <f t="shared" si="52"/>
        <v>0</v>
      </c>
      <c r="AH38" s="19" t="e">
        <f t="shared" si="53"/>
        <v>#DIV/0!</v>
      </c>
      <c r="AI38" s="19">
        <f t="shared" si="54"/>
        <v>0</v>
      </c>
      <c r="AJ38" s="19" t="e">
        <f t="shared" si="55"/>
        <v>#DIV/0!</v>
      </c>
      <c r="AK38" s="19">
        <f t="shared" si="56"/>
        <v>0</v>
      </c>
      <c r="AL38" s="19" t="e">
        <f t="shared" si="57"/>
        <v>#DIV/0!</v>
      </c>
      <c r="AM38" s="19">
        <f t="shared" si="58"/>
        <v>0</v>
      </c>
      <c r="AN38" s="19" t="e">
        <f t="shared" si="59"/>
        <v>#DIV/0!</v>
      </c>
      <c r="AO38" s="19">
        <f t="shared" si="60"/>
        <v>0</v>
      </c>
      <c r="AP38" s="19" t="e">
        <f t="shared" si="61"/>
        <v>#DIV/0!</v>
      </c>
      <c r="AQ38" s="19">
        <f t="shared" si="62"/>
        <v>0</v>
      </c>
      <c r="AR38" s="19" t="e">
        <f t="shared" si="63"/>
        <v>#DIV/0!</v>
      </c>
      <c r="AS38" s="19">
        <f t="shared" si="64"/>
        <v>0</v>
      </c>
      <c r="AT38" s="19" t="e">
        <f t="shared" si="65"/>
        <v>#DIV/0!</v>
      </c>
      <c r="AU38" s="19">
        <f t="shared" si="66"/>
        <v>0</v>
      </c>
      <c r="AV38" s="19" t="e">
        <f t="shared" si="67"/>
        <v>#DIV/0!</v>
      </c>
      <c r="AW38" s="19">
        <f t="shared" si="68"/>
        <v>0</v>
      </c>
      <c r="AX38" s="19" t="e">
        <f t="shared" si="69"/>
        <v>#DIV/0!</v>
      </c>
      <c r="AY38" s="19">
        <f t="shared" si="70"/>
        <v>0</v>
      </c>
      <c r="AZ38" s="19" t="e">
        <f t="shared" si="71"/>
        <v>#DIV/0!</v>
      </c>
      <c r="BA38" s="19">
        <f t="shared" si="72"/>
        <v>0</v>
      </c>
      <c r="BB38" s="19" t="e">
        <f t="shared" si="73"/>
        <v>#DIV/0!</v>
      </c>
      <c r="BC38" s="19">
        <f t="shared" si="74"/>
        <v>0</v>
      </c>
      <c r="BD38" s="19" t="e">
        <f t="shared" si="75"/>
        <v>#DIV/0!</v>
      </c>
    </row>
    <row r="39" spans="1:56">
      <c r="A39" s="17">
        <v>13</v>
      </c>
      <c r="B39" s="18" t="s">
        <v>42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6"/>
      <c r="P39" s="17">
        <v>13</v>
      </c>
      <c r="Q39" s="18" t="s">
        <v>42</v>
      </c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E39" s="17">
        <v>13</v>
      </c>
      <c r="AF39" s="18" t="s">
        <v>42</v>
      </c>
      <c r="AG39" s="19">
        <f t="shared" si="52"/>
        <v>0</v>
      </c>
      <c r="AH39" s="19" t="e">
        <f t="shared" si="53"/>
        <v>#DIV/0!</v>
      </c>
      <c r="AI39" s="19">
        <f t="shared" si="54"/>
        <v>0</v>
      </c>
      <c r="AJ39" s="19" t="e">
        <f t="shared" si="55"/>
        <v>#DIV/0!</v>
      </c>
      <c r="AK39" s="19">
        <f t="shared" si="56"/>
        <v>0</v>
      </c>
      <c r="AL39" s="19" t="e">
        <f t="shared" si="57"/>
        <v>#DIV/0!</v>
      </c>
      <c r="AM39" s="19">
        <f t="shared" si="58"/>
        <v>0</v>
      </c>
      <c r="AN39" s="19" t="e">
        <f t="shared" si="59"/>
        <v>#DIV/0!</v>
      </c>
      <c r="AO39" s="19">
        <f t="shared" si="60"/>
        <v>0</v>
      </c>
      <c r="AP39" s="19" t="e">
        <f t="shared" si="61"/>
        <v>#DIV/0!</v>
      </c>
      <c r="AQ39" s="19">
        <f t="shared" si="62"/>
        <v>0</v>
      </c>
      <c r="AR39" s="19" t="e">
        <f t="shared" si="63"/>
        <v>#DIV/0!</v>
      </c>
      <c r="AS39" s="19">
        <f t="shared" si="64"/>
        <v>0</v>
      </c>
      <c r="AT39" s="19" t="e">
        <f t="shared" si="65"/>
        <v>#DIV/0!</v>
      </c>
      <c r="AU39" s="19">
        <f t="shared" si="66"/>
        <v>0</v>
      </c>
      <c r="AV39" s="19" t="e">
        <f t="shared" si="67"/>
        <v>#DIV/0!</v>
      </c>
      <c r="AW39" s="19">
        <f t="shared" si="68"/>
        <v>0</v>
      </c>
      <c r="AX39" s="19" t="e">
        <f t="shared" si="69"/>
        <v>#DIV/0!</v>
      </c>
      <c r="AY39" s="19">
        <f t="shared" si="70"/>
        <v>0</v>
      </c>
      <c r="AZ39" s="19" t="e">
        <f t="shared" si="71"/>
        <v>#DIV/0!</v>
      </c>
      <c r="BA39" s="19">
        <f t="shared" si="72"/>
        <v>0</v>
      </c>
      <c r="BB39" s="19" t="e">
        <f t="shared" si="73"/>
        <v>#DIV/0!</v>
      </c>
      <c r="BC39" s="19">
        <f t="shared" si="74"/>
        <v>0</v>
      </c>
      <c r="BD39" s="19" t="e">
        <f t="shared" si="75"/>
        <v>#DIV/0!</v>
      </c>
    </row>
    <row r="40" spans="1:56">
      <c r="A40" s="17">
        <v>14</v>
      </c>
      <c r="B40" s="18" t="s">
        <v>44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26"/>
      <c r="P40" s="17">
        <v>14</v>
      </c>
      <c r="Q40" s="18" t="s">
        <v>44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E40" s="17">
        <v>14</v>
      </c>
      <c r="AF40" s="18" t="s">
        <v>44</v>
      </c>
      <c r="AG40" s="19">
        <f t="shared" si="52"/>
        <v>0</v>
      </c>
      <c r="AH40" s="19" t="e">
        <f t="shared" si="53"/>
        <v>#DIV/0!</v>
      </c>
      <c r="AI40" s="19">
        <f t="shared" si="54"/>
        <v>0</v>
      </c>
      <c r="AJ40" s="19" t="e">
        <f t="shared" si="55"/>
        <v>#DIV/0!</v>
      </c>
      <c r="AK40" s="19">
        <f t="shared" si="56"/>
        <v>0</v>
      </c>
      <c r="AL40" s="19" t="e">
        <f t="shared" si="57"/>
        <v>#DIV/0!</v>
      </c>
      <c r="AM40" s="19">
        <f t="shared" si="58"/>
        <v>0</v>
      </c>
      <c r="AN40" s="19" t="e">
        <f t="shared" si="59"/>
        <v>#DIV/0!</v>
      </c>
      <c r="AO40" s="19">
        <f t="shared" si="60"/>
        <v>0</v>
      </c>
      <c r="AP40" s="19" t="e">
        <f t="shared" si="61"/>
        <v>#DIV/0!</v>
      </c>
      <c r="AQ40" s="19">
        <f t="shared" si="62"/>
        <v>0</v>
      </c>
      <c r="AR40" s="19" t="e">
        <f t="shared" si="63"/>
        <v>#DIV/0!</v>
      </c>
      <c r="AS40" s="19">
        <f t="shared" si="64"/>
        <v>0</v>
      </c>
      <c r="AT40" s="19" t="e">
        <f t="shared" si="65"/>
        <v>#DIV/0!</v>
      </c>
      <c r="AU40" s="19">
        <f t="shared" si="66"/>
        <v>0</v>
      </c>
      <c r="AV40" s="19" t="e">
        <f t="shared" si="67"/>
        <v>#DIV/0!</v>
      </c>
      <c r="AW40" s="19">
        <f t="shared" si="68"/>
        <v>0</v>
      </c>
      <c r="AX40" s="19" t="e">
        <f t="shared" si="69"/>
        <v>#DIV/0!</v>
      </c>
      <c r="AY40" s="19">
        <f t="shared" si="70"/>
        <v>0</v>
      </c>
      <c r="AZ40" s="19" t="e">
        <f t="shared" si="71"/>
        <v>#DIV/0!</v>
      </c>
      <c r="BA40" s="19">
        <f t="shared" si="72"/>
        <v>0</v>
      </c>
      <c r="BB40" s="19" t="e">
        <f t="shared" si="73"/>
        <v>#DIV/0!</v>
      </c>
      <c r="BC40" s="19">
        <f t="shared" si="74"/>
        <v>0</v>
      </c>
      <c r="BD40" s="19" t="e">
        <f t="shared" si="75"/>
        <v>#DIV/0!</v>
      </c>
    </row>
    <row r="41" spans="1:56" ht="25.2" thickBot="1">
      <c r="A41" s="17"/>
      <c r="B41" s="20" t="s">
        <v>17</v>
      </c>
      <c r="C41" s="27">
        <f>SUM(C27:C40)</f>
        <v>9423916</v>
      </c>
      <c r="D41" s="27">
        <f t="shared" ref="D41:N41" si="76">SUM(D27:D40)</f>
        <v>9423916</v>
      </c>
      <c r="E41" s="27">
        <f t="shared" si="76"/>
        <v>9423916</v>
      </c>
      <c r="F41" s="27">
        <f t="shared" si="76"/>
        <v>0</v>
      </c>
      <c r="G41" s="27">
        <f t="shared" si="76"/>
        <v>0</v>
      </c>
      <c r="H41" s="27">
        <f t="shared" si="76"/>
        <v>0</v>
      </c>
      <c r="I41" s="27">
        <f t="shared" si="76"/>
        <v>0</v>
      </c>
      <c r="J41" s="27">
        <f t="shared" si="76"/>
        <v>0</v>
      </c>
      <c r="K41" s="27">
        <f t="shared" si="76"/>
        <v>0</v>
      </c>
      <c r="L41" s="27">
        <f t="shared" si="76"/>
        <v>0</v>
      </c>
      <c r="M41" s="27">
        <f t="shared" si="76"/>
        <v>0</v>
      </c>
      <c r="N41" s="27">
        <f t="shared" si="76"/>
        <v>0</v>
      </c>
      <c r="P41" s="17"/>
      <c r="Q41" s="20" t="s">
        <v>17</v>
      </c>
      <c r="R41" s="27">
        <f>SUM(R27:R40)</f>
        <v>8229416</v>
      </c>
      <c r="S41" s="27">
        <f t="shared" ref="S41:AC41" si="77">SUM(S27:S40)</f>
        <v>8229416</v>
      </c>
      <c r="T41" s="27">
        <f t="shared" si="77"/>
        <v>8229416</v>
      </c>
      <c r="U41" s="27">
        <f t="shared" si="77"/>
        <v>0</v>
      </c>
      <c r="V41" s="27">
        <f t="shared" si="77"/>
        <v>0</v>
      </c>
      <c r="W41" s="27">
        <f t="shared" si="77"/>
        <v>0</v>
      </c>
      <c r="X41" s="27">
        <f t="shared" si="77"/>
        <v>0</v>
      </c>
      <c r="Y41" s="27">
        <f t="shared" si="77"/>
        <v>0</v>
      </c>
      <c r="Z41" s="27">
        <f t="shared" si="77"/>
        <v>0</v>
      </c>
      <c r="AA41" s="27">
        <f t="shared" si="77"/>
        <v>0</v>
      </c>
      <c r="AB41" s="27">
        <f t="shared" si="77"/>
        <v>0</v>
      </c>
      <c r="AC41" s="27">
        <f t="shared" si="77"/>
        <v>0</v>
      </c>
      <c r="AE41" s="17"/>
      <c r="AF41" s="20" t="s">
        <v>17</v>
      </c>
      <c r="AG41" s="23">
        <f t="shared" si="52"/>
        <v>1194500</v>
      </c>
      <c r="AH41" s="23">
        <f t="shared" si="53"/>
        <v>12.675197868911395</v>
      </c>
      <c r="AI41" s="23">
        <f t="shared" si="54"/>
        <v>1194500</v>
      </c>
      <c r="AJ41" s="23">
        <f t="shared" si="55"/>
        <v>12.675197868911395</v>
      </c>
      <c r="AK41" s="23">
        <f t="shared" si="56"/>
        <v>1194500</v>
      </c>
      <c r="AL41" s="23">
        <f t="shared" si="57"/>
        <v>12.675197868911395</v>
      </c>
      <c r="AM41" s="23">
        <f t="shared" si="58"/>
        <v>0</v>
      </c>
      <c r="AN41" s="23" t="e">
        <f t="shared" si="59"/>
        <v>#DIV/0!</v>
      </c>
      <c r="AO41" s="23">
        <f t="shared" si="60"/>
        <v>0</v>
      </c>
      <c r="AP41" s="23" t="e">
        <f t="shared" si="61"/>
        <v>#DIV/0!</v>
      </c>
      <c r="AQ41" s="23">
        <f t="shared" si="62"/>
        <v>0</v>
      </c>
      <c r="AR41" s="23" t="e">
        <f t="shared" si="63"/>
        <v>#DIV/0!</v>
      </c>
      <c r="AS41" s="23">
        <f t="shared" si="64"/>
        <v>0</v>
      </c>
      <c r="AT41" s="23" t="e">
        <f t="shared" si="65"/>
        <v>#DIV/0!</v>
      </c>
      <c r="AU41" s="23">
        <f t="shared" si="66"/>
        <v>0</v>
      </c>
      <c r="AV41" s="23" t="e">
        <f t="shared" si="67"/>
        <v>#DIV/0!</v>
      </c>
      <c r="AW41" s="23">
        <f t="shared" si="68"/>
        <v>0</v>
      </c>
      <c r="AX41" s="23" t="e">
        <f t="shared" si="69"/>
        <v>#DIV/0!</v>
      </c>
      <c r="AY41" s="23">
        <f t="shared" si="70"/>
        <v>0</v>
      </c>
      <c r="AZ41" s="23" t="e">
        <f t="shared" si="71"/>
        <v>#DIV/0!</v>
      </c>
      <c r="BA41" s="23">
        <f t="shared" si="72"/>
        <v>0</v>
      </c>
      <c r="BB41" s="23" t="e">
        <f t="shared" si="73"/>
        <v>#DIV/0!</v>
      </c>
      <c r="BC41" s="23">
        <f t="shared" si="74"/>
        <v>0</v>
      </c>
      <c r="BD41" s="23" t="e">
        <f t="shared" si="75"/>
        <v>#DIV/0!</v>
      </c>
    </row>
    <row r="42" spans="1:56" ht="25.2" thickTop="1"/>
    <row r="43" spans="1:56">
      <c r="A43" s="37" t="s">
        <v>48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P43" s="37" t="s">
        <v>52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E43" s="37" t="s">
        <v>89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1:56">
      <c r="A44" s="37" t="s">
        <v>1959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P44" s="37" t="s">
        <v>1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E44" s="37" t="s">
        <v>1</v>
      </c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</row>
    <row r="45" spans="1:56" s="15" customFormat="1">
      <c r="A45" s="35" t="s">
        <v>2</v>
      </c>
      <c r="B45" s="35" t="s">
        <v>3</v>
      </c>
      <c r="C45" s="38" t="s">
        <v>4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P45" s="35" t="s">
        <v>2</v>
      </c>
      <c r="Q45" s="35" t="s">
        <v>3</v>
      </c>
      <c r="R45" s="38" t="s">
        <v>5</v>
      </c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40"/>
      <c r="AE45" s="35" t="s">
        <v>2</v>
      </c>
      <c r="AF45" s="35" t="s">
        <v>3</v>
      </c>
      <c r="AG45" s="33">
        <v>25112</v>
      </c>
      <c r="AH45" s="34"/>
      <c r="AI45" s="33">
        <v>25143</v>
      </c>
      <c r="AJ45" s="34"/>
      <c r="AK45" s="33">
        <v>25173</v>
      </c>
      <c r="AL45" s="34"/>
      <c r="AM45" s="33">
        <v>25204</v>
      </c>
      <c r="AN45" s="34"/>
      <c r="AO45" s="33">
        <v>25235</v>
      </c>
      <c r="AP45" s="34"/>
      <c r="AQ45" s="33">
        <v>25263</v>
      </c>
      <c r="AR45" s="34"/>
      <c r="AS45" s="33">
        <v>25294</v>
      </c>
      <c r="AT45" s="34"/>
      <c r="AU45" s="33">
        <v>25324</v>
      </c>
      <c r="AV45" s="34"/>
      <c r="AW45" s="33">
        <v>25355</v>
      </c>
      <c r="AX45" s="34"/>
      <c r="AY45" s="33">
        <v>25385</v>
      </c>
      <c r="AZ45" s="34"/>
      <c r="BA45" s="33">
        <v>25416</v>
      </c>
      <c r="BB45" s="34"/>
      <c r="BC45" s="33">
        <v>25447</v>
      </c>
      <c r="BD45" s="34"/>
    </row>
    <row r="46" spans="1:56" s="15" customFormat="1">
      <c r="A46" s="36"/>
      <c r="B46" s="36"/>
      <c r="C46" s="16">
        <v>25112</v>
      </c>
      <c r="D46" s="16">
        <v>25143</v>
      </c>
      <c r="E46" s="16">
        <v>25173</v>
      </c>
      <c r="F46" s="16">
        <v>25204</v>
      </c>
      <c r="G46" s="16">
        <v>25235</v>
      </c>
      <c r="H46" s="16">
        <v>25263</v>
      </c>
      <c r="I46" s="16">
        <v>25294</v>
      </c>
      <c r="J46" s="16">
        <v>25324</v>
      </c>
      <c r="K46" s="16">
        <v>25355</v>
      </c>
      <c r="L46" s="16">
        <v>25385</v>
      </c>
      <c r="M46" s="16">
        <v>25416</v>
      </c>
      <c r="N46" s="16">
        <v>25447</v>
      </c>
      <c r="P46" s="36"/>
      <c r="Q46" s="36"/>
      <c r="R46" s="16">
        <v>25112</v>
      </c>
      <c r="S46" s="16">
        <v>25143</v>
      </c>
      <c r="T46" s="16">
        <v>25173</v>
      </c>
      <c r="U46" s="16">
        <v>25204</v>
      </c>
      <c r="V46" s="16">
        <v>25235</v>
      </c>
      <c r="W46" s="16">
        <v>25263</v>
      </c>
      <c r="X46" s="16">
        <v>25294</v>
      </c>
      <c r="Y46" s="16">
        <v>25324</v>
      </c>
      <c r="Z46" s="16">
        <v>25355</v>
      </c>
      <c r="AA46" s="16">
        <v>25385</v>
      </c>
      <c r="AB46" s="16">
        <v>25416</v>
      </c>
      <c r="AC46" s="16">
        <v>25447</v>
      </c>
      <c r="AE46" s="36"/>
      <c r="AF46" s="36"/>
      <c r="AG46" s="16" t="s">
        <v>85</v>
      </c>
      <c r="AH46" s="16" t="s">
        <v>86</v>
      </c>
      <c r="AI46" s="16" t="s">
        <v>85</v>
      </c>
      <c r="AJ46" s="16" t="s">
        <v>86</v>
      </c>
      <c r="AK46" s="16" t="s">
        <v>85</v>
      </c>
      <c r="AL46" s="16" t="s">
        <v>86</v>
      </c>
      <c r="AM46" s="16" t="s">
        <v>85</v>
      </c>
      <c r="AN46" s="16" t="s">
        <v>86</v>
      </c>
      <c r="AO46" s="16" t="s">
        <v>85</v>
      </c>
      <c r="AP46" s="16" t="s">
        <v>86</v>
      </c>
      <c r="AQ46" s="16" t="s">
        <v>85</v>
      </c>
      <c r="AR46" s="16" t="s">
        <v>86</v>
      </c>
      <c r="AS46" s="16" t="s">
        <v>85</v>
      </c>
      <c r="AT46" s="16" t="s">
        <v>86</v>
      </c>
      <c r="AU46" s="16" t="s">
        <v>85</v>
      </c>
      <c r="AV46" s="16" t="s">
        <v>86</v>
      </c>
      <c r="AW46" s="16" t="s">
        <v>85</v>
      </c>
      <c r="AX46" s="16" t="s">
        <v>86</v>
      </c>
      <c r="AY46" s="16" t="s">
        <v>85</v>
      </c>
      <c r="AZ46" s="16" t="s">
        <v>86</v>
      </c>
      <c r="BA46" s="16" t="s">
        <v>85</v>
      </c>
      <c r="BB46" s="16" t="s">
        <v>86</v>
      </c>
      <c r="BC46" s="16" t="s">
        <v>85</v>
      </c>
      <c r="BD46" s="16" t="s">
        <v>86</v>
      </c>
    </row>
    <row r="47" spans="1:56">
      <c r="A47" s="17">
        <v>1</v>
      </c>
      <c r="B47" s="18" t="s">
        <v>19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P47" s="17">
        <v>1</v>
      </c>
      <c r="Q47" s="18" t="s">
        <v>19</v>
      </c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E47" s="17">
        <v>1</v>
      </c>
      <c r="AF47" s="18" t="s">
        <v>19</v>
      </c>
      <c r="AG47" s="19">
        <f t="shared" ref="AG47:AG61" si="78">+C47-R47</f>
        <v>0</v>
      </c>
      <c r="AH47" s="19" t="e">
        <f t="shared" ref="AH47:AH61" si="79">+AG47/C47*100</f>
        <v>#DIV/0!</v>
      </c>
      <c r="AI47" s="19">
        <f t="shared" ref="AI47:AI61" si="80">+D47-S47</f>
        <v>0</v>
      </c>
      <c r="AJ47" s="19" t="e">
        <f t="shared" ref="AJ47:AJ61" si="81">+AI47/D47*100</f>
        <v>#DIV/0!</v>
      </c>
      <c r="AK47" s="19">
        <f t="shared" ref="AK47:AK61" si="82">+E47-T47</f>
        <v>0</v>
      </c>
      <c r="AL47" s="19" t="e">
        <f t="shared" ref="AL47:AL61" si="83">+AK47/E47*100</f>
        <v>#DIV/0!</v>
      </c>
      <c r="AM47" s="19">
        <f t="shared" ref="AM47:AM61" si="84">+F47-U47</f>
        <v>0</v>
      </c>
      <c r="AN47" s="19" t="e">
        <f t="shared" ref="AN47:AN61" si="85">+AM47/F47*100</f>
        <v>#DIV/0!</v>
      </c>
      <c r="AO47" s="19">
        <f t="shared" ref="AO47:AO61" si="86">+G47-V47</f>
        <v>0</v>
      </c>
      <c r="AP47" s="19" t="e">
        <f t="shared" ref="AP47:AP61" si="87">+AO47/G47*100</f>
        <v>#DIV/0!</v>
      </c>
      <c r="AQ47" s="19">
        <f t="shared" ref="AQ47:AQ61" si="88">+H47-W47</f>
        <v>0</v>
      </c>
      <c r="AR47" s="19" t="e">
        <f t="shared" ref="AR47:AR61" si="89">+AQ47/H47*100</f>
        <v>#DIV/0!</v>
      </c>
      <c r="AS47" s="19">
        <f t="shared" ref="AS47:AS61" si="90">+I47-X47</f>
        <v>0</v>
      </c>
      <c r="AT47" s="19" t="e">
        <f t="shared" ref="AT47:AT61" si="91">+AS47/I47*100</f>
        <v>#DIV/0!</v>
      </c>
      <c r="AU47" s="19">
        <f t="shared" ref="AU47:AU61" si="92">+J47-Y47</f>
        <v>0</v>
      </c>
      <c r="AV47" s="19" t="e">
        <f t="shared" ref="AV47:AV61" si="93">+AU47/J47*100</f>
        <v>#DIV/0!</v>
      </c>
      <c r="AW47" s="19">
        <f t="shared" ref="AW47:AW61" si="94">+K47-Z47</f>
        <v>0</v>
      </c>
      <c r="AX47" s="19" t="e">
        <f t="shared" ref="AX47:AX61" si="95">+AW47/K47*100</f>
        <v>#DIV/0!</v>
      </c>
      <c r="AY47" s="19">
        <f t="shared" ref="AY47:AY61" si="96">+L47-AA47</f>
        <v>0</v>
      </c>
      <c r="AZ47" s="19" t="e">
        <f t="shared" ref="AZ47:AZ61" si="97">+AY47/L47*100</f>
        <v>#DIV/0!</v>
      </c>
      <c r="BA47" s="19">
        <f t="shared" ref="BA47:BA61" si="98">+M47-AB47</f>
        <v>0</v>
      </c>
      <c r="BB47" s="19" t="e">
        <f t="shared" ref="BB47:BB61" si="99">+BA47/M47*100</f>
        <v>#DIV/0!</v>
      </c>
      <c r="BC47" s="19">
        <f t="shared" ref="BC47:BC61" si="100">+N47-AC47</f>
        <v>0</v>
      </c>
      <c r="BD47" s="19" t="e">
        <f t="shared" ref="BD47:BD61" si="101">+BC47/N47*100</f>
        <v>#DIV/0!</v>
      </c>
    </row>
    <row r="48" spans="1:56">
      <c r="A48" s="17">
        <v>2</v>
      </c>
      <c r="B48" s="18" t="s">
        <v>21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P48" s="17">
        <v>2</v>
      </c>
      <c r="Q48" s="18" t="s">
        <v>21</v>
      </c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E48" s="17">
        <v>2</v>
      </c>
      <c r="AF48" s="18" t="s">
        <v>21</v>
      </c>
      <c r="AG48" s="19">
        <f t="shared" si="78"/>
        <v>0</v>
      </c>
      <c r="AH48" s="19" t="e">
        <f t="shared" si="79"/>
        <v>#DIV/0!</v>
      </c>
      <c r="AI48" s="19">
        <f t="shared" si="80"/>
        <v>0</v>
      </c>
      <c r="AJ48" s="19" t="e">
        <f t="shared" si="81"/>
        <v>#DIV/0!</v>
      </c>
      <c r="AK48" s="19">
        <f t="shared" si="82"/>
        <v>0</v>
      </c>
      <c r="AL48" s="19" t="e">
        <f t="shared" si="83"/>
        <v>#DIV/0!</v>
      </c>
      <c r="AM48" s="19">
        <f t="shared" si="84"/>
        <v>0</v>
      </c>
      <c r="AN48" s="19" t="e">
        <f t="shared" si="85"/>
        <v>#DIV/0!</v>
      </c>
      <c r="AO48" s="19">
        <f t="shared" si="86"/>
        <v>0</v>
      </c>
      <c r="AP48" s="19" t="e">
        <f t="shared" si="87"/>
        <v>#DIV/0!</v>
      </c>
      <c r="AQ48" s="19">
        <f t="shared" si="88"/>
        <v>0</v>
      </c>
      <c r="AR48" s="19" t="e">
        <f t="shared" si="89"/>
        <v>#DIV/0!</v>
      </c>
      <c r="AS48" s="19">
        <f t="shared" si="90"/>
        <v>0</v>
      </c>
      <c r="AT48" s="19" t="e">
        <f t="shared" si="91"/>
        <v>#DIV/0!</v>
      </c>
      <c r="AU48" s="19">
        <f t="shared" si="92"/>
        <v>0</v>
      </c>
      <c r="AV48" s="19" t="e">
        <f t="shared" si="93"/>
        <v>#DIV/0!</v>
      </c>
      <c r="AW48" s="19">
        <f t="shared" si="94"/>
        <v>0</v>
      </c>
      <c r="AX48" s="19" t="e">
        <f t="shared" si="95"/>
        <v>#DIV/0!</v>
      </c>
      <c r="AY48" s="19">
        <f t="shared" si="96"/>
        <v>0</v>
      </c>
      <c r="AZ48" s="19" t="e">
        <f t="shared" si="97"/>
        <v>#DIV/0!</v>
      </c>
      <c r="BA48" s="19">
        <f t="shared" si="98"/>
        <v>0</v>
      </c>
      <c r="BB48" s="19" t="e">
        <f t="shared" si="99"/>
        <v>#DIV/0!</v>
      </c>
      <c r="BC48" s="19">
        <f t="shared" si="100"/>
        <v>0</v>
      </c>
      <c r="BD48" s="19" t="e">
        <f t="shared" si="101"/>
        <v>#DIV/0!</v>
      </c>
    </row>
    <row r="49" spans="1:56">
      <c r="A49" s="17">
        <v>3</v>
      </c>
      <c r="B49" s="18" t="s">
        <v>23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P49" s="17">
        <v>3</v>
      </c>
      <c r="Q49" s="18" t="s">
        <v>23</v>
      </c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E49" s="17">
        <v>3</v>
      </c>
      <c r="AF49" s="18" t="s">
        <v>23</v>
      </c>
      <c r="AG49" s="19">
        <f t="shared" si="78"/>
        <v>0</v>
      </c>
      <c r="AH49" s="19" t="e">
        <f t="shared" si="79"/>
        <v>#DIV/0!</v>
      </c>
      <c r="AI49" s="19">
        <f t="shared" si="80"/>
        <v>0</v>
      </c>
      <c r="AJ49" s="19" t="e">
        <f t="shared" si="81"/>
        <v>#DIV/0!</v>
      </c>
      <c r="AK49" s="19">
        <f t="shared" si="82"/>
        <v>0</v>
      </c>
      <c r="AL49" s="19" t="e">
        <f t="shared" si="83"/>
        <v>#DIV/0!</v>
      </c>
      <c r="AM49" s="19">
        <f t="shared" si="84"/>
        <v>0</v>
      </c>
      <c r="AN49" s="19" t="e">
        <f t="shared" si="85"/>
        <v>#DIV/0!</v>
      </c>
      <c r="AO49" s="19">
        <f t="shared" si="86"/>
        <v>0</v>
      </c>
      <c r="AP49" s="19" t="e">
        <f t="shared" si="87"/>
        <v>#DIV/0!</v>
      </c>
      <c r="AQ49" s="19">
        <f t="shared" si="88"/>
        <v>0</v>
      </c>
      <c r="AR49" s="19" t="e">
        <f t="shared" si="89"/>
        <v>#DIV/0!</v>
      </c>
      <c r="AS49" s="19">
        <f t="shared" si="90"/>
        <v>0</v>
      </c>
      <c r="AT49" s="19" t="e">
        <f t="shared" si="91"/>
        <v>#DIV/0!</v>
      </c>
      <c r="AU49" s="19">
        <f t="shared" si="92"/>
        <v>0</v>
      </c>
      <c r="AV49" s="19" t="e">
        <f t="shared" si="93"/>
        <v>#DIV/0!</v>
      </c>
      <c r="AW49" s="19">
        <f t="shared" si="94"/>
        <v>0</v>
      </c>
      <c r="AX49" s="19" t="e">
        <f t="shared" si="95"/>
        <v>#DIV/0!</v>
      </c>
      <c r="AY49" s="19">
        <f t="shared" si="96"/>
        <v>0</v>
      </c>
      <c r="AZ49" s="19" t="e">
        <f t="shared" si="97"/>
        <v>#DIV/0!</v>
      </c>
      <c r="BA49" s="19">
        <f t="shared" si="98"/>
        <v>0</v>
      </c>
      <c r="BB49" s="19" t="e">
        <f t="shared" si="99"/>
        <v>#DIV/0!</v>
      </c>
      <c r="BC49" s="19">
        <f t="shared" si="100"/>
        <v>0</v>
      </c>
      <c r="BD49" s="19" t="e">
        <f t="shared" si="101"/>
        <v>#DIV/0!</v>
      </c>
    </row>
    <row r="50" spans="1:56">
      <c r="A50" s="17">
        <v>4</v>
      </c>
      <c r="B50" s="18" t="s">
        <v>25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P50" s="17">
        <v>4</v>
      </c>
      <c r="Q50" s="18" t="s">
        <v>25</v>
      </c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E50" s="17">
        <v>4</v>
      </c>
      <c r="AF50" s="18" t="s">
        <v>25</v>
      </c>
      <c r="AG50" s="19">
        <f t="shared" si="78"/>
        <v>0</v>
      </c>
      <c r="AH50" s="19" t="e">
        <f t="shared" si="79"/>
        <v>#DIV/0!</v>
      </c>
      <c r="AI50" s="19">
        <f t="shared" si="80"/>
        <v>0</v>
      </c>
      <c r="AJ50" s="19" t="e">
        <f t="shared" si="81"/>
        <v>#DIV/0!</v>
      </c>
      <c r="AK50" s="19">
        <f t="shared" si="82"/>
        <v>0</v>
      </c>
      <c r="AL50" s="19" t="e">
        <f t="shared" si="83"/>
        <v>#DIV/0!</v>
      </c>
      <c r="AM50" s="19">
        <f t="shared" si="84"/>
        <v>0</v>
      </c>
      <c r="AN50" s="19" t="e">
        <f t="shared" si="85"/>
        <v>#DIV/0!</v>
      </c>
      <c r="AO50" s="19">
        <f t="shared" si="86"/>
        <v>0</v>
      </c>
      <c r="AP50" s="19" t="e">
        <f t="shared" si="87"/>
        <v>#DIV/0!</v>
      </c>
      <c r="AQ50" s="19">
        <f t="shared" si="88"/>
        <v>0</v>
      </c>
      <c r="AR50" s="19" t="e">
        <f t="shared" si="89"/>
        <v>#DIV/0!</v>
      </c>
      <c r="AS50" s="19">
        <f t="shared" si="90"/>
        <v>0</v>
      </c>
      <c r="AT50" s="19" t="e">
        <f t="shared" si="91"/>
        <v>#DIV/0!</v>
      </c>
      <c r="AU50" s="19">
        <f t="shared" si="92"/>
        <v>0</v>
      </c>
      <c r="AV50" s="19" t="e">
        <f t="shared" si="93"/>
        <v>#DIV/0!</v>
      </c>
      <c r="AW50" s="19">
        <f t="shared" si="94"/>
        <v>0</v>
      </c>
      <c r="AX50" s="19" t="e">
        <f t="shared" si="95"/>
        <v>#DIV/0!</v>
      </c>
      <c r="AY50" s="19">
        <f t="shared" si="96"/>
        <v>0</v>
      </c>
      <c r="AZ50" s="19" t="e">
        <f t="shared" si="97"/>
        <v>#DIV/0!</v>
      </c>
      <c r="BA50" s="19">
        <f t="shared" si="98"/>
        <v>0</v>
      </c>
      <c r="BB50" s="19" t="e">
        <f t="shared" si="99"/>
        <v>#DIV/0!</v>
      </c>
      <c r="BC50" s="19">
        <f t="shared" si="100"/>
        <v>0</v>
      </c>
      <c r="BD50" s="19" t="e">
        <f t="shared" si="101"/>
        <v>#DIV/0!</v>
      </c>
    </row>
    <row r="51" spans="1:56">
      <c r="A51" s="17">
        <v>5</v>
      </c>
      <c r="B51" s="18" t="s">
        <v>27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P51" s="17">
        <v>5</v>
      </c>
      <c r="Q51" s="18" t="s">
        <v>27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E51" s="17">
        <v>5</v>
      </c>
      <c r="AF51" s="18" t="s">
        <v>27</v>
      </c>
      <c r="AG51" s="19">
        <f t="shared" si="78"/>
        <v>0</v>
      </c>
      <c r="AH51" s="19" t="e">
        <f t="shared" si="79"/>
        <v>#DIV/0!</v>
      </c>
      <c r="AI51" s="19">
        <f t="shared" si="80"/>
        <v>0</v>
      </c>
      <c r="AJ51" s="19" t="e">
        <f t="shared" si="81"/>
        <v>#DIV/0!</v>
      </c>
      <c r="AK51" s="19">
        <f t="shared" si="82"/>
        <v>0</v>
      </c>
      <c r="AL51" s="19" t="e">
        <f t="shared" si="83"/>
        <v>#DIV/0!</v>
      </c>
      <c r="AM51" s="19">
        <f t="shared" si="84"/>
        <v>0</v>
      </c>
      <c r="AN51" s="19" t="e">
        <f t="shared" si="85"/>
        <v>#DIV/0!</v>
      </c>
      <c r="AO51" s="19">
        <f t="shared" si="86"/>
        <v>0</v>
      </c>
      <c r="AP51" s="19" t="e">
        <f t="shared" si="87"/>
        <v>#DIV/0!</v>
      </c>
      <c r="AQ51" s="19">
        <f t="shared" si="88"/>
        <v>0</v>
      </c>
      <c r="AR51" s="19" t="e">
        <f t="shared" si="89"/>
        <v>#DIV/0!</v>
      </c>
      <c r="AS51" s="19">
        <f t="shared" si="90"/>
        <v>0</v>
      </c>
      <c r="AT51" s="19" t="e">
        <f t="shared" si="91"/>
        <v>#DIV/0!</v>
      </c>
      <c r="AU51" s="19">
        <f t="shared" si="92"/>
        <v>0</v>
      </c>
      <c r="AV51" s="19" t="e">
        <f t="shared" si="93"/>
        <v>#DIV/0!</v>
      </c>
      <c r="AW51" s="19">
        <f t="shared" si="94"/>
        <v>0</v>
      </c>
      <c r="AX51" s="19" t="e">
        <f t="shared" si="95"/>
        <v>#DIV/0!</v>
      </c>
      <c r="AY51" s="19">
        <f t="shared" si="96"/>
        <v>0</v>
      </c>
      <c r="AZ51" s="19" t="e">
        <f t="shared" si="97"/>
        <v>#DIV/0!</v>
      </c>
      <c r="BA51" s="19">
        <f t="shared" si="98"/>
        <v>0</v>
      </c>
      <c r="BB51" s="19" t="e">
        <f t="shared" si="99"/>
        <v>#DIV/0!</v>
      </c>
      <c r="BC51" s="19">
        <f t="shared" si="100"/>
        <v>0</v>
      </c>
      <c r="BD51" s="19" t="e">
        <f t="shared" si="101"/>
        <v>#DIV/0!</v>
      </c>
    </row>
    <row r="52" spans="1:56">
      <c r="A52" s="17">
        <v>6</v>
      </c>
      <c r="B52" s="18" t="s">
        <v>29</v>
      </c>
      <c r="C52" s="19">
        <v>5273264.79</v>
      </c>
      <c r="D52" s="19">
        <v>5408541.1200000001</v>
      </c>
      <c r="E52" s="19">
        <v>5548326.6500000004</v>
      </c>
      <c r="F52" s="19"/>
      <c r="G52" s="19"/>
      <c r="H52" s="19"/>
      <c r="I52" s="19"/>
      <c r="J52" s="19"/>
      <c r="K52" s="19"/>
      <c r="L52" s="19"/>
      <c r="M52" s="19"/>
      <c r="N52" s="19"/>
      <c r="P52" s="17">
        <v>6</v>
      </c>
      <c r="Q52" s="18" t="s">
        <v>29</v>
      </c>
      <c r="R52" s="19">
        <v>3269470.47</v>
      </c>
      <c r="S52" s="19">
        <v>3375290.74</v>
      </c>
      <c r="T52" s="19">
        <v>3481111.01</v>
      </c>
      <c r="U52" s="19"/>
      <c r="V52" s="19"/>
      <c r="W52" s="19"/>
      <c r="X52" s="19"/>
      <c r="Y52" s="19"/>
      <c r="Z52" s="19"/>
      <c r="AA52" s="19"/>
      <c r="AB52" s="19"/>
      <c r="AC52" s="19"/>
      <c r="AE52" s="17">
        <v>6</v>
      </c>
      <c r="AF52" s="18" t="s">
        <v>29</v>
      </c>
      <c r="AG52" s="19">
        <f t="shared" si="78"/>
        <v>2003794.3199999998</v>
      </c>
      <c r="AH52" s="19">
        <f t="shared" si="79"/>
        <v>37.999121982266324</v>
      </c>
      <c r="AI52" s="19">
        <f t="shared" si="80"/>
        <v>2033250.38</v>
      </c>
      <c r="AJ52" s="19">
        <f t="shared" si="81"/>
        <v>37.593323872149831</v>
      </c>
      <c r="AK52" s="19">
        <f t="shared" si="82"/>
        <v>2067215.6400000006</v>
      </c>
      <c r="AL52" s="19">
        <f t="shared" si="83"/>
        <v>37.258362212686244</v>
      </c>
      <c r="AM52" s="19">
        <f t="shared" si="84"/>
        <v>0</v>
      </c>
      <c r="AN52" s="19" t="e">
        <f t="shared" si="85"/>
        <v>#DIV/0!</v>
      </c>
      <c r="AO52" s="19">
        <f t="shared" si="86"/>
        <v>0</v>
      </c>
      <c r="AP52" s="19" t="e">
        <f t="shared" si="87"/>
        <v>#DIV/0!</v>
      </c>
      <c r="AQ52" s="19">
        <f t="shared" si="88"/>
        <v>0</v>
      </c>
      <c r="AR52" s="19" t="e">
        <f t="shared" si="89"/>
        <v>#DIV/0!</v>
      </c>
      <c r="AS52" s="19">
        <f t="shared" si="90"/>
        <v>0</v>
      </c>
      <c r="AT52" s="19" t="e">
        <f t="shared" si="91"/>
        <v>#DIV/0!</v>
      </c>
      <c r="AU52" s="19">
        <f t="shared" si="92"/>
        <v>0</v>
      </c>
      <c r="AV52" s="19" t="e">
        <f t="shared" si="93"/>
        <v>#DIV/0!</v>
      </c>
      <c r="AW52" s="19">
        <f t="shared" si="94"/>
        <v>0</v>
      </c>
      <c r="AX52" s="19" t="e">
        <f t="shared" si="95"/>
        <v>#DIV/0!</v>
      </c>
      <c r="AY52" s="19">
        <f t="shared" si="96"/>
        <v>0</v>
      </c>
      <c r="AZ52" s="19" t="e">
        <f t="shared" si="97"/>
        <v>#DIV/0!</v>
      </c>
      <c r="BA52" s="19">
        <f t="shared" si="98"/>
        <v>0</v>
      </c>
      <c r="BB52" s="19" t="e">
        <f t="shared" si="99"/>
        <v>#DIV/0!</v>
      </c>
      <c r="BC52" s="19">
        <f t="shared" si="100"/>
        <v>0</v>
      </c>
      <c r="BD52" s="19" t="e">
        <f t="shared" si="101"/>
        <v>#DIV/0!</v>
      </c>
    </row>
    <row r="53" spans="1:56">
      <c r="A53" s="17">
        <v>7</v>
      </c>
      <c r="B53" s="18" t="s">
        <v>31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P53" s="17">
        <v>7</v>
      </c>
      <c r="Q53" s="18" t="s">
        <v>31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E53" s="17">
        <v>7</v>
      </c>
      <c r="AF53" s="18" t="s">
        <v>31</v>
      </c>
      <c r="AG53" s="19">
        <f t="shared" si="78"/>
        <v>0</v>
      </c>
      <c r="AH53" s="19" t="e">
        <f t="shared" si="79"/>
        <v>#DIV/0!</v>
      </c>
      <c r="AI53" s="19">
        <f t="shared" si="80"/>
        <v>0</v>
      </c>
      <c r="AJ53" s="19" t="e">
        <f t="shared" si="81"/>
        <v>#DIV/0!</v>
      </c>
      <c r="AK53" s="19">
        <f t="shared" si="82"/>
        <v>0</v>
      </c>
      <c r="AL53" s="19" t="e">
        <f t="shared" si="83"/>
        <v>#DIV/0!</v>
      </c>
      <c r="AM53" s="19">
        <f t="shared" si="84"/>
        <v>0</v>
      </c>
      <c r="AN53" s="19" t="e">
        <f t="shared" si="85"/>
        <v>#DIV/0!</v>
      </c>
      <c r="AO53" s="19">
        <f t="shared" si="86"/>
        <v>0</v>
      </c>
      <c r="AP53" s="19" t="e">
        <f t="shared" si="87"/>
        <v>#DIV/0!</v>
      </c>
      <c r="AQ53" s="19">
        <f t="shared" si="88"/>
        <v>0</v>
      </c>
      <c r="AR53" s="19" t="e">
        <f t="shared" si="89"/>
        <v>#DIV/0!</v>
      </c>
      <c r="AS53" s="19">
        <f t="shared" si="90"/>
        <v>0</v>
      </c>
      <c r="AT53" s="19" t="e">
        <f t="shared" si="91"/>
        <v>#DIV/0!</v>
      </c>
      <c r="AU53" s="19">
        <f t="shared" si="92"/>
        <v>0</v>
      </c>
      <c r="AV53" s="19" t="e">
        <f t="shared" si="93"/>
        <v>#DIV/0!</v>
      </c>
      <c r="AW53" s="19">
        <f t="shared" si="94"/>
        <v>0</v>
      </c>
      <c r="AX53" s="19" t="e">
        <f t="shared" si="95"/>
        <v>#DIV/0!</v>
      </c>
      <c r="AY53" s="19">
        <f t="shared" si="96"/>
        <v>0</v>
      </c>
      <c r="AZ53" s="19" t="e">
        <f t="shared" si="97"/>
        <v>#DIV/0!</v>
      </c>
      <c r="BA53" s="19">
        <f t="shared" si="98"/>
        <v>0</v>
      </c>
      <c r="BB53" s="19" t="e">
        <f t="shared" si="99"/>
        <v>#DIV/0!</v>
      </c>
      <c r="BC53" s="19">
        <f t="shared" si="100"/>
        <v>0</v>
      </c>
      <c r="BD53" s="19" t="e">
        <f t="shared" si="101"/>
        <v>#DIV/0!</v>
      </c>
    </row>
    <row r="54" spans="1:56">
      <c r="A54" s="17">
        <v>8</v>
      </c>
      <c r="B54" s="18" t="s">
        <v>33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P54" s="17">
        <v>8</v>
      </c>
      <c r="Q54" s="18" t="s">
        <v>33</v>
      </c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E54" s="17">
        <v>8</v>
      </c>
      <c r="AF54" s="18" t="s">
        <v>33</v>
      </c>
      <c r="AG54" s="19">
        <f t="shared" si="78"/>
        <v>0</v>
      </c>
      <c r="AH54" s="19" t="e">
        <f t="shared" si="79"/>
        <v>#DIV/0!</v>
      </c>
      <c r="AI54" s="19">
        <f t="shared" si="80"/>
        <v>0</v>
      </c>
      <c r="AJ54" s="19" t="e">
        <f t="shared" si="81"/>
        <v>#DIV/0!</v>
      </c>
      <c r="AK54" s="19">
        <f t="shared" si="82"/>
        <v>0</v>
      </c>
      <c r="AL54" s="19" t="e">
        <f t="shared" si="83"/>
        <v>#DIV/0!</v>
      </c>
      <c r="AM54" s="19">
        <f t="shared" si="84"/>
        <v>0</v>
      </c>
      <c r="AN54" s="19" t="e">
        <f t="shared" si="85"/>
        <v>#DIV/0!</v>
      </c>
      <c r="AO54" s="19">
        <f t="shared" si="86"/>
        <v>0</v>
      </c>
      <c r="AP54" s="19" t="e">
        <f t="shared" si="87"/>
        <v>#DIV/0!</v>
      </c>
      <c r="AQ54" s="19">
        <f t="shared" si="88"/>
        <v>0</v>
      </c>
      <c r="AR54" s="19" t="e">
        <f t="shared" si="89"/>
        <v>#DIV/0!</v>
      </c>
      <c r="AS54" s="19">
        <f t="shared" si="90"/>
        <v>0</v>
      </c>
      <c r="AT54" s="19" t="e">
        <f t="shared" si="91"/>
        <v>#DIV/0!</v>
      </c>
      <c r="AU54" s="19">
        <f t="shared" si="92"/>
        <v>0</v>
      </c>
      <c r="AV54" s="19" t="e">
        <f t="shared" si="93"/>
        <v>#DIV/0!</v>
      </c>
      <c r="AW54" s="19">
        <f t="shared" si="94"/>
        <v>0</v>
      </c>
      <c r="AX54" s="19" t="e">
        <f t="shared" si="95"/>
        <v>#DIV/0!</v>
      </c>
      <c r="AY54" s="19">
        <f t="shared" si="96"/>
        <v>0</v>
      </c>
      <c r="AZ54" s="19" t="e">
        <f t="shared" si="97"/>
        <v>#DIV/0!</v>
      </c>
      <c r="BA54" s="19">
        <f t="shared" si="98"/>
        <v>0</v>
      </c>
      <c r="BB54" s="19" t="e">
        <f t="shared" si="99"/>
        <v>#DIV/0!</v>
      </c>
      <c r="BC54" s="19">
        <f t="shared" si="100"/>
        <v>0</v>
      </c>
      <c r="BD54" s="19" t="e">
        <f t="shared" si="101"/>
        <v>#DIV/0!</v>
      </c>
    </row>
    <row r="55" spans="1:56">
      <c r="A55" s="17">
        <v>9</v>
      </c>
      <c r="B55" s="18" t="s">
        <v>35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P55" s="17">
        <v>9</v>
      </c>
      <c r="Q55" s="18" t="s">
        <v>35</v>
      </c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E55" s="17">
        <v>9</v>
      </c>
      <c r="AF55" s="18" t="s">
        <v>35</v>
      </c>
      <c r="AG55" s="19">
        <f t="shared" si="78"/>
        <v>0</v>
      </c>
      <c r="AH55" s="19" t="e">
        <f t="shared" si="79"/>
        <v>#DIV/0!</v>
      </c>
      <c r="AI55" s="19">
        <f t="shared" si="80"/>
        <v>0</v>
      </c>
      <c r="AJ55" s="19" t="e">
        <f t="shared" si="81"/>
        <v>#DIV/0!</v>
      </c>
      <c r="AK55" s="19">
        <f t="shared" si="82"/>
        <v>0</v>
      </c>
      <c r="AL55" s="19" t="e">
        <f t="shared" si="83"/>
        <v>#DIV/0!</v>
      </c>
      <c r="AM55" s="19">
        <f t="shared" si="84"/>
        <v>0</v>
      </c>
      <c r="AN55" s="19" t="e">
        <f t="shared" si="85"/>
        <v>#DIV/0!</v>
      </c>
      <c r="AO55" s="19">
        <f t="shared" si="86"/>
        <v>0</v>
      </c>
      <c r="AP55" s="19" t="e">
        <f t="shared" si="87"/>
        <v>#DIV/0!</v>
      </c>
      <c r="AQ55" s="19">
        <f t="shared" si="88"/>
        <v>0</v>
      </c>
      <c r="AR55" s="19" t="e">
        <f t="shared" si="89"/>
        <v>#DIV/0!</v>
      </c>
      <c r="AS55" s="19">
        <f t="shared" si="90"/>
        <v>0</v>
      </c>
      <c r="AT55" s="19" t="e">
        <f t="shared" si="91"/>
        <v>#DIV/0!</v>
      </c>
      <c r="AU55" s="19">
        <f t="shared" si="92"/>
        <v>0</v>
      </c>
      <c r="AV55" s="19" t="e">
        <f t="shared" si="93"/>
        <v>#DIV/0!</v>
      </c>
      <c r="AW55" s="19">
        <f t="shared" si="94"/>
        <v>0</v>
      </c>
      <c r="AX55" s="19" t="e">
        <f t="shared" si="95"/>
        <v>#DIV/0!</v>
      </c>
      <c r="AY55" s="19">
        <f t="shared" si="96"/>
        <v>0</v>
      </c>
      <c r="AZ55" s="19" t="e">
        <f t="shared" si="97"/>
        <v>#DIV/0!</v>
      </c>
      <c r="BA55" s="19">
        <f t="shared" si="98"/>
        <v>0</v>
      </c>
      <c r="BB55" s="19" t="e">
        <f t="shared" si="99"/>
        <v>#DIV/0!</v>
      </c>
      <c r="BC55" s="19">
        <f t="shared" si="100"/>
        <v>0</v>
      </c>
      <c r="BD55" s="19" t="e">
        <f t="shared" si="101"/>
        <v>#DIV/0!</v>
      </c>
    </row>
    <row r="56" spans="1:56">
      <c r="A56" s="17">
        <v>10</v>
      </c>
      <c r="B56" s="18" t="s">
        <v>37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P56" s="17">
        <v>10</v>
      </c>
      <c r="Q56" s="18" t="s">
        <v>37</v>
      </c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E56" s="17">
        <v>10</v>
      </c>
      <c r="AF56" s="18" t="s">
        <v>37</v>
      </c>
      <c r="AG56" s="19">
        <f t="shared" si="78"/>
        <v>0</v>
      </c>
      <c r="AH56" s="19" t="e">
        <f t="shared" si="79"/>
        <v>#DIV/0!</v>
      </c>
      <c r="AI56" s="19">
        <f t="shared" si="80"/>
        <v>0</v>
      </c>
      <c r="AJ56" s="19" t="e">
        <f t="shared" si="81"/>
        <v>#DIV/0!</v>
      </c>
      <c r="AK56" s="19">
        <f t="shared" si="82"/>
        <v>0</v>
      </c>
      <c r="AL56" s="19" t="e">
        <f t="shared" si="83"/>
        <v>#DIV/0!</v>
      </c>
      <c r="AM56" s="19">
        <f t="shared" si="84"/>
        <v>0</v>
      </c>
      <c r="AN56" s="19" t="e">
        <f t="shared" si="85"/>
        <v>#DIV/0!</v>
      </c>
      <c r="AO56" s="19">
        <f t="shared" si="86"/>
        <v>0</v>
      </c>
      <c r="AP56" s="19" t="e">
        <f t="shared" si="87"/>
        <v>#DIV/0!</v>
      </c>
      <c r="AQ56" s="19">
        <f t="shared" si="88"/>
        <v>0</v>
      </c>
      <c r="AR56" s="19" t="e">
        <f t="shared" si="89"/>
        <v>#DIV/0!</v>
      </c>
      <c r="AS56" s="19">
        <f t="shared" si="90"/>
        <v>0</v>
      </c>
      <c r="AT56" s="19" t="e">
        <f t="shared" si="91"/>
        <v>#DIV/0!</v>
      </c>
      <c r="AU56" s="19">
        <f t="shared" si="92"/>
        <v>0</v>
      </c>
      <c r="AV56" s="19" t="e">
        <f t="shared" si="93"/>
        <v>#DIV/0!</v>
      </c>
      <c r="AW56" s="19">
        <f t="shared" si="94"/>
        <v>0</v>
      </c>
      <c r="AX56" s="19" t="e">
        <f t="shared" si="95"/>
        <v>#DIV/0!</v>
      </c>
      <c r="AY56" s="19">
        <f t="shared" si="96"/>
        <v>0</v>
      </c>
      <c r="AZ56" s="19" t="e">
        <f t="shared" si="97"/>
        <v>#DIV/0!</v>
      </c>
      <c r="BA56" s="19">
        <f t="shared" si="98"/>
        <v>0</v>
      </c>
      <c r="BB56" s="19" t="e">
        <f t="shared" si="99"/>
        <v>#DIV/0!</v>
      </c>
      <c r="BC56" s="19">
        <f t="shared" si="100"/>
        <v>0</v>
      </c>
      <c r="BD56" s="19" t="e">
        <f t="shared" si="101"/>
        <v>#DIV/0!</v>
      </c>
    </row>
    <row r="57" spans="1:56">
      <c r="A57" s="17">
        <v>11</v>
      </c>
      <c r="B57" s="18" t="s">
        <v>39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P57" s="17">
        <v>11</v>
      </c>
      <c r="Q57" s="18" t="s">
        <v>39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E57" s="17">
        <v>11</v>
      </c>
      <c r="AF57" s="18" t="s">
        <v>39</v>
      </c>
      <c r="AG57" s="19">
        <f t="shared" si="78"/>
        <v>0</v>
      </c>
      <c r="AH57" s="19" t="e">
        <f t="shared" si="79"/>
        <v>#DIV/0!</v>
      </c>
      <c r="AI57" s="19">
        <f t="shared" si="80"/>
        <v>0</v>
      </c>
      <c r="AJ57" s="19" t="e">
        <f t="shared" si="81"/>
        <v>#DIV/0!</v>
      </c>
      <c r="AK57" s="19">
        <f t="shared" si="82"/>
        <v>0</v>
      </c>
      <c r="AL57" s="19" t="e">
        <f t="shared" si="83"/>
        <v>#DIV/0!</v>
      </c>
      <c r="AM57" s="19">
        <f t="shared" si="84"/>
        <v>0</v>
      </c>
      <c r="AN57" s="19" t="e">
        <f t="shared" si="85"/>
        <v>#DIV/0!</v>
      </c>
      <c r="AO57" s="19">
        <f t="shared" si="86"/>
        <v>0</v>
      </c>
      <c r="AP57" s="19" t="e">
        <f t="shared" si="87"/>
        <v>#DIV/0!</v>
      </c>
      <c r="AQ57" s="19">
        <f t="shared" si="88"/>
        <v>0</v>
      </c>
      <c r="AR57" s="19" t="e">
        <f t="shared" si="89"/>
        <v>#DIV/0!</v>
      </c>
      <c r="AS57" s="19">
        <f t="shared" si="90"/>
        <v>0</v>
      </c>
      <c r="AT57" s="19" t="e">
        <f t="shared" si="91"/>
        <v>#DIV/0!</v>
      </c>
      <c r="AU57" s="19">
        <f t="shared" si="92"/>
        <v>0</v>
      </c>
      <c r="AV57" s="19" t="e">
        <f t="shared" si="93"/>
        <v>#DIV/0!</v>
      </c>
      <c r="AW57" s="19">
        <f t="shared" si="94"/>
        <v>0</v>
      </c>
      <c r="AX57" s="19" t="e">
        <f t="shared" si="95"/>
        <v>#DIV/0!</v>
      </c>
      <c r="AY57" s="19">
        <f t="shared" si="96"/>
        <v>0</v>
      </c>
      <c r="AZ57" s="19" t="e">
        <f t="shared" si="97"/>
        <v>#DIV/0!</v>
      </c>
      <c r="BA57" s="19">
        <f t="shared" si="98"/>
        <v>0</v>
      </c>
      <c r="BB57" s="19" t="e">
        <f t="shared" si="99"/>
        <v>#DIV/0!</v>
      </c>
      <c r="BC57" s="19">
        <f t="shared" si="100"/>
        <v>0</v>
      </c>
      <c r="BD57" s="19" t="e">
        <f t="shared" si="101"/>
        <v>#DIV/0!</v>
      </c>
    </row>
    <row r="58" spans="1:56">
      <c r="A58" s="17">
        <v>12</v>
      </c>
      <c r="B58" s="18" t="s">
        <v>41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P58" s="17">
        <v>12</v>
      </c>
      <c r="Q58" s="18" t="s">
        <v>41</v>
      </c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E58" s="17">
        <v>12</v>
      </c>
      <c r="AF58" s="18" t="s">
        <v>41</v>
      </c>
      <c r="AG58" s="19">
        <f t="shared" si="78"/>
        <v>0</v>
      </c>
      <c r="AH58" s="19" t="e">
        <f t="shared" si="79"/>
        <v>#DIV/0!</v>
      </c>
      <c r="AI58" s="19">
        <f t="shared" si="80"/>
        <v>0</v>
      </c>
      <c r="AJ58" s="19" t="e">
        <f t="shared" si="81"/>
        <v>#DIV/0!</v>
      </c>
      <c r="AK58" s="19">
        <f t="shared" si="82"/>
        <v>0</v>
      </c>
      <c r="AL58" s="19" t="e">
        <f t="shared" si="83"/>
        <v>#DIV/0!</v>
      </c>
      <c r="AM58" s="19">
        <f t="shared" si="84"/>
        <v>0</v>
      </c>
      <c r="AN58" s="19" t="e">
        <f t="shared" si="85"/>
        <v>#DIV/0!</v>
      </c>
      <c r="AO58" s="19">
        <f t="shared" si="86"/>
        <v>0</v>
      </c>
      <c r="AP58" s="19" t="e">
        <f t="shared" si="87"/>
        <v>#DIV/0!</v>
      </c>
      <c r="AQ58" s="19">
        <f t="shared" si="88"/>
        <v>0</v>
      </c>
      <c r="AR58" s="19" t="e">
        <f t="shared" si="89"/>
        <v>#DIV/0!</v>
      </c>
      <c r="AS58" s="19">
        <f t="shared" si="90"/>
        <v>0</v>
      </c>
      <c r="AT58" s="19" t="e">
        <f t="shared" si="91"/>
        <v>#DIV/0!</v>
      </c>
      <c r="AU58" s="19">
        <f t="shared" si="92"/>
        <v>0</v>
      </c>
      <c r="AV58" s="19" t="e">
        <f t="shared" si="93"/>
        <v>#DIV/0!</v>
      </c>
      <c r="AW58" s="19">
        <f t="shared" si="94"/>
        <v>0</v>
      </c>
      <c r="AX58" s="19" t="e">
        <f t="shared" si="95"/>
        <v>#DIV/0!</v>
      </c>
      <c r="AY58" s="19">
        <f t="shared" si="96"/>
        <v>0</v>
      </c>
      <c r="AZ58" s="19" t="e">
        <f t="shared" si="97"/>
        <v>#DIV/0!</v>
      </c>
      <c r="BA58" s="19">
        <f t="shared" si="98"/>
        <v>0</v>
      </c>
      <c r="BB58" s="19" t="e">
        <f t="shared" si="99"/>
        <v>#DIV/0!</v>
      </c>
      <c r="BC58" s="19">
        <f t="shared" si="100"/>
        <v>0</v>
      </c>
      <c r="BD58" s="19" t="e">
        <f t="shared" si="101"/>
        <v>#DIV/0!</v>
      </c>
    </row>
    <row r="59" spans="1:56">
      <c r="A59" s="17">
        <v>13</v>
      </c>
      <c r="B59" s="18" t="s">
        <v>43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P59" s="17">
        <v>13</v>
      </c>
      <c r="Q59" s="18" t="s">
        <v>43</v>
      </c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E59" s="17">
        <v>13</v>
      </c>
      <c r="AF59" s="18" t="s">
        <v>43</v>
      </c>
      <c r="AG59" s="19">
        <f t="shared" si="78"/>
        <v>0</v>
      </c>
      <c r="AH59" s="19" t="e">
        <f t="shared" si="79"/>
        <v>#DIV/0!</v>
      </c>
      <c r="AI59" s="19">
        <f t="shared" si="80"/>
        <v>0</v>
      </c>
      <c r="AJ59" s="19" t="e">
        <f t="shared" si="81"/>
        <v>#DIV/0!</v>
      </c>
      <c r="AK59" s="19">
        <f t="shared" si="82"/>
        <v>0</v>
      </c>
      <c r="AL59" s="19" t="e">
        <f t="shared" si="83"/>
        <v>#DIV/0!</v>
      </c>
      <c r="AM59" s="19">
        <f t="shared" si="84"/>
        <v>0</v>
      </c>
      <c r="AN59" s="19" t="e">
        <f t="shared" si="85"/>
        <v>#DIV/0!</v>
      </c>
      <c r="AO59" s="19">
        <f t="shared" si="86"/>
        <v>0</v>
      </c>
      <c r="AP59" s="19" t="e">
        <f t="shared" si="87"/>
        <v>#DIV/0!</v>
      </c>
      <c r="AQ59" s="19">
        <f t="shared" si="88"/>
        <v>0</v>
      </c>
      <c r="AR59" s="19" t="e">
        <f t="shared" si="89"/>
        <v>#DIV/0!</v>
      </c>
      <c r="AS59" s="19">
        <f t="shared" si="90"/>
        <v>0</v>
      </c>
      <c r="AT59" s="19" t="e">
        <f t="shared" si="91"/>
        <v>#DIV/0!</v>
      </c>
      <c r="AU59" s="19">
        <f t="shared" si="92"/>
        <v>0</v>
      </c>
      <c r="AV59" s="19" t="e">
        <f t="shared" si="93"/>
        <v>#DIV/0!</v>
      </c>
      <c r="AW59" s="19">
        <f t="shared" si="94"/>
        <v>0</v>
      </c>
      <c r="AX59" s="19" t="e">
        <f t="shared" si="95"/>
        <v>#DIV/0!</v>
      </c>
      <c r="AY59" s="19">
        <f t="shared" si="96"/>
        <v>0</v>
      </c>
      <c r="AZ59" s="19" t="e">
        <f t="shared" si="97"/>
        <v>#DIV/0!</v>
      </c>
      <c r="BA59" s="19">
        <f t="shared" si="98"/>
        <v>0</v>
      </c>
      <c r="BB59" s="19" t="e">
        <f t="shared" si="99"/>
        <v>#DIV/0!</v>
      </c>
      <c r="BC59" s="19">
        <f t="shared" si="100"/>
        <v>0</v>
      </c>
      <c r="BD59" s="19" t="e">
        <f t="shared" si="101"/>
        <v>#DIV/0!</v>
      </c>
    </row>
    <row r="60" spans="1:56">
      <c r="A60" s="17">
        <v>14</v>
      </c>
      <c r="B60" s="18" t="s">
        <v>44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P60" s="17">
        <v>14</v>
      </c>
      <c r="Q60" s="18" t="s">
        <v>44</v>
      </c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E60" s="17">
        <v>14</v>
      </c>
      <c r="AF60" s="18" t="s">
        <v>44</v>
      </c>
      <c r="AG60" s="19">
        <f t="shared" si="78"/>
        <v>0</v>
      </c>
      <c r="AH60" s="19" t="e">
        <f t="shared" si="79"/>
        <v>#DIV/0!</v>
      </c>
      <c r="AI60" s="19">
        <f t="shared" si="80"/>
        <v>0</v>
      </c>
      <c r="AJ60" s="19" t="e">
        <f t="shared" si="81"/>
        <v>#DIV/0!</v>
      </c>
      <c r="AK60" s="19">
        <f t="shared" si="82"/>
        <v>0</v>
      </c>
      <c r="AL60" s="19" t="e">
        <f t="shared" si="83"/>
        <v>#DIV/0!</v>
      </c>
      <c r="AM60" s="19">
        <f t="shared" si="84"/>
        <v>0</v>
      </c>
      <c r="AN60" s="19" t="e">
        <f t="shared" si="85"/>
        <v>#DIV/0!</v>
      </c>
      <c r="AO60" s="19">
        <f t="shared" si="86"/>
        <v>0</v>
      </c>
      <c r="AP60" s="19" t="e">
        <f t="shared" si="87"/>
        <v>#DIV/0!</v>
      </c>
      <c r="AQ60" s="19">
        <f t="shared" si="88"/>
        <v>0</v>
      </c>
      <c r="AR60" s="19" t="e">
        <f t="shared" si="89"/>
        <v>#DIV/0!</v>
      </c>
      <c r="AS60" s="19">
        <f t="shared" si="90"/>
        <v>0</v>
      </c>
      <c r="AT60" s="19" t="e">
        <f t="shared" si="91"/>
        <v>#DIV/0!</v>
      </c>
      <c r="AU60" s="19">
        <f t="shared" si="92"/>
        <v>0</v>
      </c>
      <c r="AV60" s="19" t="e">
        <f t="shared" si="93"/>
        <v>#DIV/0!</v>
      </c>
      <c r="AW60" s="19">
        <f t="shared" si="94"/>
        <v>0</v>
      </c>
      <c r="AX60" s="19" t="e">
        <f t="shared" si="95"/>
        <v>#DIV/0!</v>
      </c>
      <c r="AY60" s="19">
        <f t="shared" si="96"/>
        <v>0</v>
      </c>
      <c r="AZ60" s="19" t="e">
        <f t="shared" si="97"/>
        <v>#DIV/0!</v>
      </c>
      <c r="BA60" s="19">
        <f t="shared" si="98"/>
        <v>0</v>
      </c>
      <c r="BB60" s="19" t="e">
        <f t="shared" si="99"/>
        <v>#DIV/0!</v>
      </c>
      <c r="BC60" s="19">
        <f t="shared" si="100"/>
        <v>0</v>
      </c>
      <c r="BD60" s="19" t="e">
        <f t="shared" si="101"/>
        <v>#DIV/0!</v>
      </c>
    </row>
    <row r="61" spans="1:56" ht="25.2" thickBot="1">
      <c r="A61" s="17"/>
      <c r="B61" s="20" t="s">
        <v>17</v>
      </c>
      <c r="C61" s="27">
        <f>SUM(C47:C60)</f>
        <v>5273264.79</v>
      </c>
      <c r="D61" s="27">
        <f t="shared" ref="D61:N61" si="102">SUM(D47:D60)</f>
        <v>5408541.1200000001</v>
      </c>
      <c r="E61" s="27">
        <f t="shared" si="102"/>
        <v>5548326.6500000004</v>
      </c>
      <c r="F61" s="27">
        <f t="shared" si="102"/>
        <v>0</v>
      </c>
      <c r="G61" s="27">
        <f t="shared" si="102"/>
        <v>0</v>
      </c>
      <c r="H61" s="27">
        <f t="shared" si="102"/>
        <v>0</v>
      </c>
      <c r="I61" s="27">
        <f t="shared" si="102"/>
        <v>0</v>
      </c>
      <c r="J61" s="27">
        <f t="shared" si="102"/>
        <v>0</v>
      </c>
      <c r="K61" s="27">
        <f t="shared" si="102"/>
        <v>0</v>
      </c>
      <c r="L61" s="27">
        <f t="shared" si="102"/>
        <v>0</v>
      </c>
      <c r="M61" s="27">
        <f t="shared" si="102"/>
        <v>0</v>
      </c>
      <c r="N61" s="27">
        <f t="shared" si="102"/>
        <v>0</v>
      </c>
      <c r="P61" s="17"/>
      <c r="Q61" s="20" t="s">
        <v>17</v>
      </c>
      <c r="R61" s="27">
        <f>SUM(R47:R60)</f>
        <v>3269470.47</v>
      </c>
      <c r="S61" s="27">
        <f t="shared" ref="S61:AC61" si="103">SUM(S47:S60)</f>
        <v>3375290.74</v>
      </c>
      <c r="T61" s="27">
        <f t="shared" si="103"/>
        <v>3481111.01</v>
      </c>
      <c r="U61" s="27">
        <f t="shared" si="103"/>
        <v>0</v>
      </c>
      <c r="V61" s="27">
        <f t="shared" si="103"/>
        <v>0</v>
      </c>
      <c r="W61" s="27">
        <f t="shared" si="103"/>
        <v>0</v>
      </c>
      <c r="X61" s="27">
        <f t="shared" si="103"/>
        <v>0</v>
      </c>
      <c r="Y61" s="27">
        <f t="shared" si="103"/>
        <v>0</v>
      </c>
      <c r="Z61" s="27">
        <f t="shared" si="103"/>
        <v>0</v>
      </c>
      <c r="AA61" s="27">
        <f t="shared" si="103"/>
        <v>0</v>
      </c>
      <c r="AB61" s="27">
        <f t="shared" si="103"/>
        <v>0</v>
      </c>
      <c r="AC61" s="27">
        <f t="shared" si="103"/>
        <v>0</v>
      </c>
      <c r="AE61" s="17"/>
      <c r="AF61" s="20" t="s">
        <v>17</v>
      </c>
      <c r="AG61" s="23">
        <f t="shared" si="78"/>
        <v>2003794.3199999998</v>
      </c>
      <c r="AH61" s="23">
        <f t="shared" si="79"/>
        <v>37.999121982266324</v>
      </c>
      <c r="AI61" s="23">
        <f t="shared" si="80"/>
        <v>2033250.38</v>
      </c>
      <c r="AJ61" s="23">
        <f t="shared" si="81"/>
        <v>37.593323872149831</v>
      </c>
      <c r="AK61" s="23">
        <f t="shared" si="82"/>
        <v>2067215.6400000006</v>
      </c>
      <c r="AL61" s="23">
        <f t="shared" si="83"/>
        <v>37.258362212686244</v>
      </c>
      <c r="AM61" s="23">
        <f t="shared" si="84"/>
        <v>0</v>
      </c>
      <c r="AN61" s="23" t="e">
        <f t="shared" si="85"/>
        <v>#DIV/0!</v>
      </c>
      <c r="AO61" s="23">
        <f t="shared" si="86"/>
        <v>0</v>
      </c>
      <c r="AP61" s="23" t="e">
        <f t="shared" si="87"/>
        <v>#DIV/0!</v>
      </c>
      <c r="AQ61" s="23">
        <f t="shared" si="88"/>
        <v>0</v>
      </c>
      <c r="AR61" s="23" t="e">
        <f t="shared" si="89"/>
        <v>#DIV/0!</v>
      </c>
      <c r="AS61" s="23">
        <f t="shared" si="90"/>
        <v>0</v>
      </c>
      <c r="AT61" s="23" t="e">
        <f t="shared" si="91"/>
        <v>#DIV/0!</v>
      </c>
      <c r="AU61" s="23">
        <f t="shared" si="92"/>
        <v>0</v>
      </c>
      <c r="AV61" s="23" t="e">
        <f t="shared" si="93"/>
        <v>#DIV/0!</v>
      </c>
      <c r="AW61" s="23">
        <f t="shared" si="94"/>
        <v>0</v>
      </c>
      <c r="AX61" s="23" t="e">
        <f t="shared" si="95"/>
        <v>#DIV/0!</v>
      </c>
      <c r="AY61" s="23">
        <f t="shared" si="96"/>
        <v>0</v>
      </c>
      <c r="AZ61" s="23" t="e">
        <f t="shared" si="97"/>
        <v>#DIV/0!</v>
      </c>
      <c r="BA61" s="23">
        <f t="shared" si="98"/>
        <v>0</v>
      </c>
      <c r="BB61" s="23" t="e">
        <f t="shared" si="99"/>
        <v>#DIV/0!</v>
      </c>
      <c r="BC61" s="23">
        <f t="shared" si="100"/>
        <v>0</v>
      </c>
      <c r="BD61" s="23" t="e">
        <f t="shared" si="101"/>
        <v>#DIV/0!</v>
      </c>
    </row>
    <row r="62" spans="1:56" ht="25.2" thickTop="1"/>
    <row r="63" spans="1:56">
      <c r="A63" s="32" t="s">
        <v>1942</v>
      </c>
      <c r="B63" s="32"/>
      <c r="C63" s="32"/>
      <c r="D63" s="32"/>
      <c r="E63" s="32"/>
      <c r="F63" s="32"/>
      <c r="G63" s="32"/>
      <c r="H63" s="32"/>
      <c r="I63" s="32"/>
    </row>
    <row r="64" spans="1:56" customFormat="1" ht="21">
      <c r="A64" s="28" t="s">
        <v>659</v>
      </c>
      <c r="B64" s="28" t="s">
        <v>660</v>
      </c>
      <c r="C64" s="28" t="s">
        <v>661</v>
      </c>
      <c r="D64" s="28" t="s">
        <v>662</v>
      </c>
      <c r="E64" s="28" t="s">
        <v>663</v>
      </c>
      <c r="F64" s="28" t="s">
        <v>664</v>
      </c>
      <c r="G64" s="28" t="s">
        <v>665</v>
      </c>
    </row>
    <row r="65" spans="1:9" customFormat="1" ht="21">
      <c r="A65" s="28" t="s">
        <v>450</v>
      </c>
      <c r="B65" s="28" t="s">
        <v>91</v>
      </c>
      <c r="C65" s="28" t="s">
        <v>92</v>
      </c>
      <c r="D65" s="28" t="s">
        <v>451</v>
      </c>
      <c r="E65" s="29">
        <v>6924780</v>
      </c>
      <c r="F65" s="29">
        <v>-690580.8</v>
      </c>
      <c r="G65" s="29">
        <v>6234199.2000000002</v>
      </c>
      <c r="H65" t="s">
        <v>892</v>
      </c>
      <c r="I65" t="s">
        <v>11</v>
      </c>
    </row>
    <row r="66" spans="1:9" customFormat="1" ht="21">
      <c r="A66" s="28" t="s">
        <v>450</v>
      </c>
      <c r="B66" s="28" t="s">
        <v>108</v>
      </c>
      <c r="C66" s="28" t="s">
        <v>92</v>
      </c>
      <c r="D66" s="28" t="s">
        <v>451</v>
      </c>
      <c r="E66" s="29">
        <v>4616520</v>
      </c>
      <c r="F66" s="29">
        <v>-4616519</v>
      </c>
      <c r="G66" s="29">
        <v>1</v>
      </c>
      <c r="H66" t="s">
        <v>892</v>
      </c>
      <c r="I66" t="s">
        <v>11</v>
      </c>
    </row>
    <row r="67" spans="1:9" customFormat="1" ht="21">
      <c r="A67" s="28" t="s">
        <v>452</v>
      </c>
      <c r="B67" s="28" t="s">
        <v>91</v>
      </c>
      <c r="C67" s="28" t="s">
        <v>92</v>
      </c>
      <c r="D67" s="28" t="s">
        <v>453</v>
      </c>
      <c r="E67" s="29">
        <v>485332.73</v>
      </c>
      <c r="F67" s="29">
        <v>-45609.58</v>
      </c>
      <c r="G67" s="29">
        <v>439723.15</v>
      </c>
      <c r="H67" t="s">
        <v>892</v>
      </c>
      <c r="I67" t="s">
        <v>11</v>
      </c>
    </row>
    <row r="68" spans="1:9" customFormat="1" ht="21">
      <c r="A68" s="28" t="s">
        <v>452</v>
      </c>
      <c r="B68" s="28" t="s">
        <v>108</v>
      </c>
      <c r="C68" s="28" t="s">
        <v>92</v>
      </c>
      <c r="D68" s="28" t="s">
        <v>453</v>
      </c>
      <c r="E68" s="29">
        <v>314666.27</v>
      </c>
      <c r="F68" s="29">
        <v>-314665.27</v>
      </c>
      <c r="G68" s="29">
        <v>1</v>
      </c>
      <c r="H68" t="s">
        <v>892</v>
      </c>
      <c r="I68" t="s">
        <v>11</v>
      </c>
    </row>
    <row r="69" spans="1:9" customFormat="1" ht="21">
      <c r="A69" s="28" t="s">
        <v>454</v>
      </c>
      <c r="B69" s="28" t="s">
        <v>91</v>
      </c>
      <c r="C69" s="28" t="s">
        <v>92</v>
      </c>
      <c r="D69" s="28" t="s">
        <v>455</v>
      </c>
      <c r="E69" s="29">
        <v>495178</v>
      </c>
      <c r="F69" s="29">
        <v>-56621.4</v>
      </c>
      <c r="G69" s="29">
        <v>438556.6</v>
      </c>
      <c r="H69" t="s">
        <v>892</v>
      </c>
      <c r="I69" t="s">
        <v>11</v>
      </c>
    </row>
    <row r="70" spans="1:9" customFormat="1" ht="21">
      <c r="A70" s="28" t="s">
        <v>454</v>
      </c>
      <c r="B70" s="28" t="s">
        <v>108</v>
      </c>
      <c r="C70" s="28" t="s">
        <v>92</v>
      </c>
      <c r="D70" s="28" t="s">
        <v>455</v>
      </c>
      <c r="E70" s="29">
        <v>451022</v>
      </c>
      <c r="F70" s="29">
        <v>-451021</v>
      </c>
      <c r="G70" s="29">
        <v>1</v>
      </c>
      <c r="H70" t="s">
        <v>892</v>
      </c>
      <c r="I70" t="s">
        <v>11</v>
      </c>
    </row>
    <row r="71" spans="1:9" customFormat="1" ht="21">
      <c r="A71" s="28" t="s">
        <v>609</v>
      </c>
      <c r="B71" s="28" t="s">
        <v>91</v>
      </c>
      <c r="C71" s="28" t="s">
        <v>92</v>
      </c>
      <c r="D71" s="28" t="s">
        <v>610</v>
      </c>
      <c r="E71" s="29">
        <v>6800850</v>
      </c>
      <c r="F71" s="29">
        <v>-797865.08</v>
      </c>
      <c r="G71" s="29">
        <v>6002984.9199999999</v>
      </c>
      <c r="H71" t="s">
        <v>892</v>
      </c>
      <c r="I71" t="s">
        <v>9</v>
      </c>
    </row>
    <row r="72" spans="1:9" customFormat="1" ht="21">
      <c r="A72" s="28" t="s">
        <v>609</v>
      </c>
      <c r="B72" s="28" t="s">
        <v>108</v>
      </c>
      <c r="C72" s="28" t="s">
        <v>92</v>
      </c>
      <c r="D72" s="28" t="s">
        <v>610</v>
      </c>
      <c r="E72" s="29">
        <v>6534150</v>
      </c>
      <c r="F72" s="29">
        <v>-6534149</v>
      </c>
      <c r="G72" s="29">
        <v>1</v>
      </c>
      <c r="H72" t="s">
        <v>892</v>
      </c>
      <c r="I72" t="s">
        <v>9</v>
      </c>
    </row>
    <row r="73" spans="1:9" customFormat="1" ht="21">
      <c r="A73" s="28" t="s">
        <v>893</v>
      </c>
      <c r="B73" s="28" t="s">
        <v>91</v>
      </c>
      <c r="C73" s="28" t="s">
        <v>92</v>
      </c>
      <c r="D73" s="28" t="s">
        <v>894</v>
      </c>
      <c r="E73" s="29">
        <v>808000</v>
      </c>
      <c r="F73" s="29">
        <v>-71804.679999999993</v>
      </c>
      <c r="G73" s="29">
        <v>736195.32</v>
      </c>
      <c r="H73" t="s">
        <v>892</v>
      </c>
      <c r="I73" t="s">
        <v>13</v>
      </c>
    </row>
    <row r="74" spans="1:9" customFormat="1" ht="21">
      <c r="A74" s="28" t="s">
        <v>893</v>
      </c>
      <c r="B74" s="28" t="s">
        <v>108</v>
      </c>
      <c r="C74" s="28" t="s">
        <v>92</v>
      </c>
      <c r="D74" s="28" t="s">
        <v>894</v>
      </c>
      <c r="E74" s="29">
        <v>392000</v>
      </c>
      <c r="F74" s="29">
        <v>-391999</v>
      </c>
      <c r="G74" s="29">
        <v>1</v>
      </c>
      <c r="H74" t="s">
        <v>892</v>
      </c>
      <c r="I74" t="s">
        <v>13</v>
      </c>
    </row>
    <row r="75" spans="1:9" customFormat="1" ht="21">
      <c r="A75" s="28" t="s">
        <v>895</v>
      </c>
      <c r="B75" s="28" t="s">
        <v>91</v>
      </c>
      <c r="C75" s="28" t="s">
        <v>92</v>
      </c>
      <c r="D75" s="28" t="s">
        <v>896</v>
      </c>
      <c r="E75" s="29">
        <v>656469.32999999996</v>
      </c>
      <c r="F75" s="29">
        <v>-75064.34</v>
      </c>
      <c r="G75" s="29">
        <v>581404.99</v>
      </c>
      <c r="H75" t="s">
        <v>892</v>
      </c>
      <c r="I75" t="s">
        <v>13</v>
      </c>
    </row>
    <row r="76" spans="1:9" customFormat="1" ht="21">
      <c r="A76" s="28" t="s">
        <v>895</v>
      </c>
      <c r="B76" s="28" t="s">
        <v>108</v>
      </c>
      <c r="C76" s="28" t="s">
        <v>92</v>
      </c>
      <c r="D76" s="28" t="s">
        <v>896</v>
      </c>
      <c r="E76" s="29">
        <v>597930.67000000004</v>
      </c>
      <c r="F76" s="29">
        <v>-597929.67000000004</v>
      </c>
      <c r="G76" s="29">
        <v>1</v>
      </c>
      <c r="H76" t="s">
        <v>892</v>
      </c>
      <c r="I76" t="s">
        <v>13</v>
      </c>
    </row>
    <row r="77" spans="1:9" customFormat="1" ht="21">
      <c r="A77" s="28" t="s">
        <v>897</v>
      </c>
      <c r="B77" s="28" t="s">
        <v>91</v>
      </c>
      <c r="C77" s="28" t="s">
        <v>92</v>
      </c>
      <c r="D77" s="28" t="s">
        <v>898</v>
      </c>
      <c r="E77" s="29">
        <v>111772.22</v>
      </c>
      <c r="F77" s="29">
        <v>-13287.1</v>
      </c>
      <c r="G77" s="29">
        <v>98485.119999999995</v>
      </c>
      <c r="H77" t="s">
        <v>892</v>
      </c>
      <c r="I77" t="s">
        <v>15</v>
      </c>
    </row>
    <row r="78" spans="1:9" customFormat="1" ht="21">
      <c r="A78" s="28" t="s">
        <v>897</v>
      </c>
      <c r="B78" s="28" t="s">
        <v>108</v>
      </c>
      <c r="C78" s="28" t="s">
        <v>92</v>
      </c>
      <c r="D78" s="28" t="s">
        <v>898</v>
      </c>
      <c r="E78" s="29">
        <v>537227.78</v>
      </c>
      <c r="F78" s="29">
        <v>-537226.78</v>
      </c>
      <c r="G78" s="29">
        <v>1</v>
      </c>
      <c r="H78" t="s">
        <v>892</v>
      </c>
      <c r="I78" t="s">
        <v>15</v>
      </c>
    </row>
    <row r="79" spans="1:9" customFormat="1" ht="21">
      <c r="A79" s="28" t="s">
        <v>899</v>
      </c>
      <c r="B79" s="28" t="s">
        <v>91</v>
      </c>
      <c r="C79" s="28" t="s">
        <v>92</v>
      </c>
      <c r="D79" s="28" t="s">
        <v>900</v>
      </c>
      <c r="E79" s="29">
        <v>374686.67</v>
      </c>
      <c r="F79" s="29">
        <v>-137301.28</v>
      </c>
      <c r="G79" s="29">
        <v>237385.39</v>
      </c>
      <c r="H79" t="s">
        <v>892</v>
      </c>
      <c r="I79" t="s">
        <v>15</v>
      </c>
    </row>
    <row r="80" spans="1:9" customFormat="1" ht="21">
      <c r="A80" s="28" t="s">
        <v>899</v>
      </c>
      <c r="B80" s="28" t="s">
        <v>108</v>
      </c>
      <c r="C80" s="28" t="s">
        <v>92</v>
      </c>
      <c r="D80" s="28" t="s">
        <v>900</v>
      </c>
      <c r="E80" s="29">
        <v>1448113.33</v>
      </c>
      <c r="F80" s="29">
        <v>-1448112.33</v>
      </c>
      <c r="G80" s="29">
        <v>1</v>
      </c>
      <c r="H80" t="s">
        <v>892</v>
      </c>
      <c r="I80" t="s">
        <v>15</v>
      </c>
    </row>
    <row r="81" spans="1:9" customFormat="1" ht="21">
      <c r="A81" s="28" t="s">
        <v>901</v>
      </c>
      <c r="B81" s="28" t="s">
        <v>91</v>
      </c>
      <c r="C81" s="28" t="s">
        <v>92</v>
      </c>
      <c r="D81" s="28" t="s">
        <v>902</v>
      </c>
      <c r="E81" s="29">
        <v>884433.33</v>
      </c>
      <c r="F81" s="29">
        <v>-93949.54</v>
      </c>
      <c r="G81" s="29">
        <v>790483.79</v>
      </c>
      <c r="H81" t="s">
        <v>892</v>
      </c>
      <c r="I81" t="s">
        <v>15</v>
      </c>
    </row>
    <row r="82" spans="1:9" customFormat="1" ht="21">
      <c r="A82" s="28" t="s">
        <v>901</v>
      </c>
      <c r="B82" s="28" t="s">
        <v>108</v>
      </c>
      <c r="C82" s="28" t="s">
        <v>92</v>
      </c>
      <c r="D82" s="28" t="s">
        <v>902</v>
      </c>
      <c r="E82" s="29">
        <v>685566.67</v>
      </c>
      <c r="F82" s="29">
        <v>-685565.67</v>
      </c>
      <c r="G82" s="29">
        <v>1</v>
      </c>
      <c r="H82" t="s">
        <v>892</v>
      </c>
      <c r="I82" t="s">
        <v>15</v>
      </c>
    </row>
    <row r="83" spans="1:9" customFormat="1" ht="21">
      <c r="A83" s="28" t="s">
        <v>903</v>
      </c>
      <c r="B83" s="28" t="s">
        <v>91</v>
      </c>
      <c r="C83" s="28" t="s">
        <v>92</v>
      </c>
      <c r="D83" s="28" t="s">
        <v>904</v>
      </c>
      <c r="E83" s="29">
        <v>56151.61</v>
      </c>
      <c r="F83" s="29">
        <v>-20576.36</v>
      </c>
      <c r="G83" s="29">
        <v>35575.25</v>
      </c>
      <c r="H83" t="s">
        <v>892</v>
      </c>
      <c r="I83" t="s">
        <v>15</v>
      </c>
    </row>
    <row r="84" spans="1:9" customFormat="1" ht="21">
      <c r="A84" s="28" t="s">
        <v>903</v>
      </c>
      <c r="B84" s="28" t="s">
        <v>108</v>
      </c>
      <c r="C84" s="28" t="s">
        <v>92</v>
      </c>
      <c r="D84" s="28" t="s">
        <v>904</v>
      </c>
      <c r="E84" s="29">
        <v>217018.39</v>
      </c>
      <c r="F84" s="29">
        <v>-217017.39</v>
      </c>
      <c r="G84" s="29">
        <v>1</v>
      </c>
      <c r="H84" t="s">
        <v>892</v>
      </c>
      <c r="I84" t="s">
        <v>15</v>
      </c>
    </row>
    <row r="85" spans="1:9" customFormat="1" ht="21">
      <c r="A85" s="28" t="s">
        <v>905</v>
      </c>
      <c r="B85" s="28" t="s">
        <v>91</v>
      </c>
      <c r="C85" s="28" t="s">
        <v>92</v>
      </c>
      <c r="D85" s="28" t="s">
        <v>906</v>
      </c>
      <c r="E85" s="29">
        <v>112315.56</v>
      </c>
      <c r="F85" s="29">
        <v>-41157.24</v>
      </c>
      <c r="G85" s="29">
        <v>71158.320000000007</v>
      </c>
      <c r="H85" t="s">
        <v>892</v>
      </c>
      <c r="I85" t="s">
        <v>15</v>
      </c>
    </row>
    <row r="86" spans="1:9" customFormat="1" ht="21">
      <c r="A86" s="28" t="s">
        <v>905</v>
      </c>
      <c r="B86" s="28" t="s">
        <v>108</v>
      </c>
      <c r="C86" s="28" t="s">
        <v>92</v>
      </c>
      <c r="D86" s="28" t="s">
        <v>906</v>
      </c>
      <c r="E86" s="29">
        <v>434084.44</v>
      </c>
      <c r="F86" s="29">
        <v>-434083.44</v>
      </c>
      <c r="G86" s="29">
        <v>1</v>
      </c>
      <c r="H86" t="s">
        <v>892</v>
      </c>
      <c r="I86" t="s">
        <v>15</v>
      </c>
    </row>
    <row r="87" spans="1:9" customFormat="1" ht="21">
      <c r="A87" s="28" t="s">
        <v>907</v>
      </c>
      <c r="B87" s="28" t="s">
        <v>91</v>
      </c>
      <c r="C87" s="28" t="s">
        <v>92</v>
      </c>
      <c r="D87" s="28" t="s">
        <v>908</v>
      </c>
      <c r="E87" s="29">
        <v>140826.10999999999</v>
      </c>
      <c r="F87" s="29">
        <v>-54961.440000000002</v>
      </c>
      <c r="G87" s="29">
        <v>85864.67</v>
      </c>
      <c r="H87" t="s">
        <v>892</v>
      </c>
      <c r="I87" t="s">
        <v>15</v>
      </c>
    </row>
    <row r="88" spans="1:9" customFormat="1" ht="21">
      <c r="A88" s="28" t="s">
        <v>907</v>
      </c>
      <c r="B88" s="28" t="s">
        <v>108</v>
      </c>
      <c r="C88" s="28" t="s">
        <v>92</v>
      </c>
      <c r="D88" s="28" t="s">
        <v>908</v>
      </c>
      <c r="E88" s="29">
        <v>544273.89</v>
      </c>
      <c r="F88" s="29">
        <v>-544272.89</v>
      </c>
      <c r="G88" s="29">
        <v>1</v>
      </c>
      <c r="H88" t="s">
        <v>892</v>
      </c>
      <c r="I88" t="s">
        <v>15</v>
      </c>
    </row>
    <row r="89" spans="1:9" customFormat="1" ht="21">
      <c r="A89" s="28" t="s">
        <v>909</v>
      </c>
      <c r="B89" s="28" t="s">
        <v>91</v>
      </c>
      <c r="C89" s="28" t="s">
        <v>92</v>
      </c>
      <c r="D89" s="28" t="s">
        <v>910</v>
      </c>
      <c r="E89" s="29">
        <v>525600</v>
      </c>
      <c r="F89" s="29">
        <v>-34941.879999999997</v>
      </c>
      <c r="G89" s="29">
        <v>490658.12</v>
      </c>
      <c r="H89" t="s">
        <v>892</v>
      </c>
      <c r="I89" t="s">
        <v>15</v>
      </c>
    </row>
    <row r="90" spans="1:9" customFormat="1" ht="21">
      <c r="A90" s="28" t="s">
        <v>909</v>
      </c>
      <c r="B90" s="28" t="s">
        <v>108</v>
      </c>
      <c r="C90" s="28" t="s">
        <v>92</v>
      </c>
      <c r="D90" s="28" t="s">
        <v>910</v>
      </c>
      <c r="E90" s="29">
        <v>58400</v>
      </c>
      <c r="F90" s="29">
        <v>-58399</v>
      </c>
      <c r="G90" s="29">
        <v>1</v>
      </c>
      <c r="H90" t="s">
        <v>892</v>
      </c>
      <c r="I90" t="s">
        <v>15</v>
      </c>
    </row>
    <row r="91" spans="1:9" customFormat="1" ht="21">
      <c r="A91" s="28" t="s">
        <v>911</v>
      </c>
      <c r="B91" s="28" t="s">
        <v>91</v>
      </c>
      <c r="C91" s="28" t="s">
        <v>92</v>
      </c>
      <c r="D91" s="28" t="s">
        <v>898</v>
      </c>
      <c r="E91" s="29">
        <v>614525</v>
      </c>
      <c r="F91" s="29">
        <v>-186925.15</v>
      </c>
      <c r="G91" s="29">
        <v>427599.85</v>
      </c>
      <c r="H91" t="s">
        <v>892</v>
      </c>
      <c r="I91" t="s">
        <v>15</v>
      </c>
    </row>
    <row r="92" spans="1:9" customFormat="1" ht="21">
      <c r="A92" s="28" t="s">
        <v>911</v>
      </c>
      <c r="B92" s="28" t="s">
        <v>108</v>
      </c>
      <c r="C92" s="28" t="s">
        <v>92</v>
      </c>
      <c r="D92" s="28" t="s">
        <v>898</v>
      </c>
      <c r="E92" s="29">
        <v>1738975</v>
      </c>
      <c r="F92" s="29">
        <v>-1738974</v>
      </c>
      <c r="G92" s="29">
        <v>1</v>
      </c>
      <c r="H92" t="s">
        <v>892</v>
      </c>
      <c r="I92" t="s">
        <v>15</v>
      </c>
    </row>
    <row r="93" spans="1:9" customFormat="1" ht="21">
      <c r="A93" s="28" t="s">
        <v>912</v>
      </c>
      <c r="B93" s="28" t="s">
        <v>91</v>
      </c>
      <c r="C93" s="28" t="s">
        <v>679</v>
      </c>
      <c r="D93" s="28" t="s">
        <v>680</v>
      </c>
      <c r="E93" s="29">
        <v>449663</v>
      </c>
      <c r="F93" s="29">
        <v>-103237.7</v>
      </c>
      <c r="G93" s="29">
        <v>346425.3</v>
      </c>
      <c r="H93" t="s">
        <v>892</v>
      </c>
      <c r="I93" t="s">
        <v>681</v>
      </c>
    </row>
    <row r="94" spans="1:9" customFormat="1" ht="21">
      <c r="A94" s="28" t="s">
        <v>913</v>
      </c>
      <c r="B94" s="28" t="s">
        <v>91</v>
      </c>
      <c r="C94" s="28" t="s">
        <v>679</v>
      </c>
      <c r="D94" s="28" t="s">
        <v>680</v>
      </c>
      <c r="E94" s="29">
        <v>449663</v>
      </c>
      <c r="F94" s="29">
        <v>-103237.7</v>
      </c>
      <c r="G94" s="29">
        <v>346425.3</v>
      </c>
      <c r="H94" t="s">
        <v>892</v>
      </c>
      <c r="I94" t="s">
        <v>681</v>
      </c>
    </row>
    <row r="95" spans="1:9" customFormat="1" ht="21">
      <c r="A95" s="28" t="s">
        <v>914</v>
      </c>
      <c r="B95" s="28" t="s">
        <v>91</v>
      </c>
      <c r="C95" s="28" t="s">
        <v>679</v>
      </c>
      <c r="D95" s="28" t="s">
        <v>683</v>
      </c>
      <c r="E95" s="29">
        <v>49870</v>
      </c>
      <c r="F95" s="29">
        <v>-11449.61</v>
      </c>
      <c r="G95" s="29">
        <v>38420.39</v>
      </c>
      <c r="H95" t="s">
        <v>892</v>
      </c>
      <c r="I95" t="s">
        <v>681</v>
      </c>
    </row>
    <row r="96" spans="1:9" customFormat="1" ht="21">
      <c r="A96" s="28" t="s">
        <v>915</v>
      </c>
      <c r="B96" s="28" t="s">
        <v>91</v>
      </c>
      <c r="C96" s="28" t="s">
        <v>679</v>
      </c>
      <c r="D96" s="28" t="s">
        <v>683</v>
      </c>
      <c r="E96" s="29">
        <v>49870</v>
      </c>
      <c r="F96" s="29">
        <v>-11449.61</v>
      </c>
      <c r="G96" s="29">
        <v>38420.39</v>
      </c>
      <c r="H96" t="s">
        <v>892</v>
      </c>
      <c r="I96" t="s">
        <v>681</v>
      </c>
    </row>
    <row r="97" spans="1:9" customFormat="1" ht="21">
      <c r="A97" s="28" t="s">
        <v>916</v>
      </c>
      <c r="B97" s="28" t="s">
        <v>91</v>
      </c>
      <c r="C97" s="28" t="s">
        <v>686</v>
      </c>
      <c r="D97" s="28" t="s">
        <v>687</v>
      </c>
      <c r="E97" s="29">
        <v>349650</v>
      </c>
      <c r="F97" s="29">
        <v>-91004.800000000003</v>
      </c>
      <c r="G97" s="29">
        <v>258645.2</v>
      </c>
      <c r="H97" t="s">
        <v>892</v>
      </c>
      <c r="I97" t="s">
        <v>681</v>
      </c>
    </row>
    <row r="98" spans="1:9" customFormat="1" ht="21">
      <c r="A98" s="28" t="s">
        <v>917</v>
      </c>
      <c r="B98" s="28" t="s">
        <v>91</v>
      </c>
      <c r="C98" s="28" t="s">
        <v>605</v>
      </c>
      <c r="D98" s="28" t="s">
        <v>918</v>
      </c>
      <c r="E98" s="29">
        <v>254800</v>
      </c>
      <c r="F98" s="29">
        <v>-254799</v>
      </c>
      <c r="G98" s="29">
        <v>1</v>
      </c>
      <c r="H98" t="s">
        <v>892</v>
      </c>
      <c r="I98" t="s">
        <v>681</v>
      </c>
    </row>
    <row r="99" spans="1:9" customFormat="1" ht="21">
      <c r="A99" s="28" t="s">
        <v>919</v>
      </c>
      <c r="B99" s="28" t="s">
        <v>91</v>
      </c>
      <c r="C99" s="28" t="s">
        <v>605</v>
      </c>
      <c r="D99" s="28" t="s">
        <v>697</v>
      </c>
      <c r="E99" s="29">
        <v>196000</v>
      </c>
      <c r="F99" s="29">
        <v>-195999</v>
      </c>
      <c r="G99" s="29">
        <v>1</v>
      </c>
      <c r="H99" t="s">
        <v>892</v>
      </c>
      <c r="I99" t="s">
        <v>681</v>
      </c>
    </row>
    <row r="100" spans="1:9" customFormat="1" ht="21">
      <c r="A100" s="28" t="s">
        <v>920</v>
      </c>
      <c r="B100" s="28" t="s">
        <v>91</v>
      </c>
      <c r="C100" s="28" t="s">
        <v>605</v>
      </c>
      <c r="D100" s="28" t="s">
        <v>693</v>
      </c>
      <c r="E100" s="29">
        <v>367500</v>
      </c>
      <c r="F100" s="29">
        <v>-367499</v>
      </c>
      <c r="G100" s="29">
        <v>1</v>
      </c>
      <c r="H100" t="s">
        <v>892</v>
      </c>
      <c r="I100" t="s">
        <v>681</v>
      </c>
    </row>
    <row r="101" spans="1:9" customFormat="1" ht="21">
      <c r="A101" s="28" t="s">
        <v>921</v>
      </c>
      <c r="B101" s="28" t="s">
        <v>91</v>
      </c>
      <c r="C101" s="28" t="s">
        <v>605</v>
      </c>
      <c r="D101" s="28" t="s">
        <v>697</v>
      </c>
      <c r="E101" s="29">
        <v>264700</v>
      </c>
      <c r="F101" s="29">
        <v>-264699</v>
      </c>
      <c r="G101" s="29">
        <v>1</v>
      </c>
      <c r="H101" t="s">
        <v>892</v>
      </c>
      <c r="I101" t="s">
        <v>681</v>
      </c>
    </row>
    <row r="102" spans="1:9" customFormat="1" ht="21">
      <c r="A102" s="28" t="s">
        <v>922</v>
      </c>
      <c r="B102" s="28" t="s">
        <v>91</v>
      </c>
      <c r="C102" s="28" t="s">
        <v>605</v>
      </c>
      <c r="D102" s="28" t="s">
        <v>923</v>
      </c>
      <c r="E102" s="29">
        <v>989700</v>
      </c>
      <c r="F102" s="29">
        <v>-775891.16</v>
      </c>
      <c r="G102" s="29">
        <v>213808.84</v>
      </c>
      <c r="H102" t="s">
        <v>892</v>
      </c>
      <c r="I102" t="s">
        <v>681</v>
      </c>
    </row>
    <row r="103" spans="1:9" customFormat="1" ht="21">
      <c r="A103" s="28" t="s">
        <v>924</v>
      </c>
      <c r="B103" s="28" t="s">
        <v>91</v>
      </c>
      <c r="C103" s="28" t="s">
        <v>605</v>
      </c>
      <c r="D103" s="28" t="s">
        <v>918</v>
      </c>
      <c r="E103" s="29">
        <v>250000</v>
      </c>
      <c r="F103" s="29">
        <v>-102166.37</v>
      </c>
      <c r="G103" s="29">
        <v>147833.63</v>
      </c>
      <c r="H103" t="s">
        <v>892</v>
      </c>
      <c r="I103" t="s">
        <v>681</v>
      </c>
    </row>
    <row r="104" spans="1:9" customFormat="1" ht="21">
      <c r="A104" s="28" t="s">
        <v>925</v>
      </c>
      <c r="B104" s="28" t="s">
        <v>91</v>
      </c>
      <c r="C104" s="28" t="s">
        <v>605</v>
      </c>
      <c r="D104" s="28" t="s">
        <v>843</v>
      </c>
      <c r="E104" s="29">
        <v>639500</v>
      </c>
      <c r="F104" s="29">
        <v>-215231.39</v>
      </c>
      <c r="G104" s="29">
        <v>424268.61</v>
      </c>
      <c r="H104" t="s">
        <v>892</v>
      </c>
      <c r="I104" t="s">
        <v>681</v>
      </c>
    </row>
    <row r="105" spans="1:9" customFormat="1" ht="21">
      <c r="A105" s="28" t="s">
        <v>926</v>
      </c>
      <c r="B105" s="28" t="s">
        <v>91</v>
      </c>
      <c r="C105" s="28" t="s">
        <v>927</v>
      </c>
      <c r="D105" s="28" t="s">
        <v>928</v>
      </c>
      <c r="E105" s="29">
        <v>5113000</v>
      </c>
      <c r="F105" s="29">
        <v>-3860895.87</v>
      </c>
      <c r="G105" s="29">
        <v>1252104.1299999999</v>
      </c>
      <c r="H105" t="s">
        <v>892</v>
      </c>
      <c r="I105" t="s">
        <v>681</v>
      </c>
    </row>
  </sheetData>
  <mergeCells count="105">
    <mergeCell ref="A3:A4"/>
    <mergeCell ref="B3:B4"/>
    <mergeCell ref="C3:N3"/>
    <mergeCell ref="P3:P4"/>
    <mergeCell ref="Q3:Q4"/>
    <mergeCell ref="R3:AC3"/>
    <mergeCell ref="A1:N1"/>
    <mergeCell ref="P1:AC1"/>
    <mergeCell ref="AE1:BD1"/>
    <mergeCell ref="A2:N2"/>
    <mergeCell ref="P2:AC2"/>
    <mergeCell ref="AE2:BD2"/>
    <mergeCell ref="C14:N14"/>
    <mergeCell ref="P14:P15"/>
    <mergeCell ref="Q14:Q15"/>
    <mergeCell ref="R14:AC14"/>
    <mergeCell ref="BA3:BB3"/>
    <mergeCell ref="BC3:BD3"/>
    <mergeCell ref="A12:N12"/>
    <mergeCell ref="P12:AC12"/>
    <mergeCell ref="AE12:BD12"/>
    <mergeCell ref="A13:N13"/>
    <mergeCell ref="P13:AC13"/>
    <mergeCell ref="AE13:BD13"/>
    <mergeCell ref="AO3:AP3"/>
    <mergeCell ref="AQ3:AR3"/>
    <mergeCell ref="AS3:AT3"/>
    <mergeCell ref="AU3:AV3"/>
    <mergeCell ref="AW3:AX3"/>
    <mergeCell ref="AY3:AZ3"/>
    <mergeCell ref="AE3:AE4"/>
    <mergeCell ref="AF3:AF4"/>
    <mergeCell ref="AG3:AH3"/>
    <mergeCell ref="AI3:AJ3"/>
    <mergeCell ref="AK3:AL3"/>
    <mergeCell ref="AM3:AN3"/>
    <mergeCell ref="Q25:Q26"/>
    <mergeCell ref="R25:AC25"/>
    <mergeCell ref="BA14:BB14"/>
    <mergeCell ref="BC14:BD14"/>
    <mergeCell ref="A23:N23"/>
    <mergeCell ref="P23:AC23"/>
    <mergeCell ref="AE23:BD23"/>
    <mergeCell ref="A24:N24"/>
    <mergeCell ref="P24:AC24"/>
    <mergeCell ref="AE24:BD24"/>
    <mergeCell ref="AO14:AP14"/>
    <mergeCell ref="AQ14:AR14"/>
    <mergeCell ref="AS14:AT14"/>
    <mergeCell ref="AU14:AV14"/>
    <mergeCell ref="AW14:AX14"/>
    <mergeCell ref="AY14:AZ14"/>
    <mergeCell ref="AE14:AE15"/>
    <mergeCell ref="AF14:AF15"/>
    <mergeCell ref="AG14:AH14"/>
    <mergeCell ref="AI14:AJ14"/>
    <mergeCell ref="AK14:AL14"/>
    <mergeCell ref="AM14:AN14"/>
    <mergeCell ref="A14:A15"/>
    <mergeCell ref="B14:B15"/>
    <mergeCell ref="BA25:BB25"/>
    <mergeCell ref="BC25:BD25"/>
    <mergeCell ref="A43:N43"/>
    <mergeCell ref="P43:AC43"/>
    <mergeCell ref="AE43:BD43"/>
    <mergeCell ref="A44:N44"/>
    <mergeCell ref="P44:AC44"/>
    <mergeCell ref="AE44:BD44"/>
    <mergeCell ref="AO25:AP25"/>
    <mergeCell ref="AQ25:AR25"/>
    <mergeCell ref="AS25:AT25"/>
    <mergeCell ref="AU25:AV25"/>
    <mergeCell ref="AW25:AX25"/>
    <mergeCell ref="AY25:AZ25"/>
    <mergeCell ref="AE25:AE26"/>
    <mergeCell ref="AF25:AF26"/>
    <mergeCell ref="AG25:AH25"/>
    <mergeCell ref="AI25:AJ25"/>
    <mergeCell ref="AK25:AL25"/>
    <mergeCell ref="AM25:AN25"/>
    <mergeCell ref="A25:A26"/>
    <mergeCell ref="B25:B26"/>
    <mergeCell ref="C25:N25"/>
    <mergeCell ref="P25:P26"/>
    <mergeCell ref="BA45:BB45"/>
    <mergeCell ref="BC45:BD45"/>
    <mergeCell ref="A63:I63"/>
    <mergeCell ref="AO45:AP45"/>
    <mergeCell ref="AQ45:AR45"/>
    <mergeCell ref="AS45:AT45"/>
    <mergeCell ref="AU45:AV45"/>
    <mergeCell ref="AW45:AX45"/>
    <mergeCell ref="AY45:AZ45"/>
    <mergeCell ref="AE45:AE46"/>
    <mergeCell ref="AF45:AF46"/>
    <mergeCell ref="AG45:AH45"/>
    <mergeCell ref="AI45:AJ45"/>
    <mergeCell ref="AK45:AL45"/>
    <mergeCell ref="AM45:AN45"/>
    <mergeCell ref="A45:A46"/>
    <mergeCell ref="B45:B46"/>
    <mergeCell ref="C45:N45"/>
    <mergeCell ref="P45:P46"/>
    <mergeCell ref="Q45:Q46"/>
    <mergeCell ref="R45:AC4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4F3B-275D-4457-90D5-5543DFAD27CB}">
  <dimension ref="A1:F61"/>
  <sheetViews>
    <sheetView topLeftCell="A70" workbookViewId="0">
      <selection activeCell="A44" sqref="A44:F44"/>
    </sheetView>
  </sheetViews>
  <sheetFormatPr defaultRowHeight="18.600000000000001"/>
  <cols>
    <col min="1" max="1" width="5.625" bestFit="1" customWidth="1"/>
    <col min="2" max="2" width="40.125" bestFit="1" customWidth="1"/>
    <col min="3" max="3" width="14.875" bestFit="1" customWidth="1"/>
    <col min="4" max="4" width="23.25" bestFit="1" customWidth="1"/>
    <col min="5" max="5" width="14.5" bestFit="1" customWidth="1"/>
    <col min="6" max="6" width="12" bestFit="1" customWidth="1"/>
  </cols>
  <sheetData>
    <row r="1" spans="1:6">
      <c r="A1" s="42" t="s">
        <v>0</v>
      </c>
      <c r="B1" s="42"/>
      <c r="C1" s="42"/>
      <c r="D1" s="42"/>
      <c r="E1" s="42"/>
      <c r="F1" s="42"/>
    </row>
    <row r="2" spans="1:6">
      <c r="A2" s="42" t="s">
        <v>55</v>
      </c>
      <c r="B2" s="42"/>
      <c r="C2" s="42"/>
      <c r="D2" s="42"/>
      <c r="E2" s="42"/>
      <c r="F2" s="42"/>
    </row>
    <row r="3" spans="1:6">
      <c r="A3" s="41" t="s">
        <v>81</v>
      </c>
      <c r="B3" s="41"/>
      <c r="C3" s="41"/>
      <c r="D3" s="41"/>
      <c r="E3" s="41"/>
      <c r="F3" s="41"/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s="2">
        <v>1</v>
      </c>
      <c r="B5" s="2" t="s">
        <v>8</v>
      </c>
      <c r="C5" s="3"/>
      <c r="D5" s="3"/>
      <c r="E5" s="3">
        <f>+C5-D5</f>
        <v>0</v>
      </c>
      <c r="F5" s="3" t="e">
        <f>+E5/C5*100</f>
        <v>#DIV/0!</v>
      </c>
    </row>
    <row r="6" spans="1:6">
      <c r="A6" s="2">
        <v>2</v>
      </c>
      <c r="B6" s="2" t="s">
        <v>9</v>
      </c>
      <c r="C6" s="3"/>
      <c r="D6" s="3"/>
      <c r="E6" s="3">
        <f t="shared" ref="E6:E9" si="0">+C6-D6</f>
        <v>0</v>
      </c>
      <c r="F6" s="3" t="e">
        <f t="shared" ref="F6:F10" si="1">+E6/C6*100</f>
        <v>#DIV/0!</v>
      </c>
    </row>
    <row r="7" spans="1:6">
      <c r="A7" s="2">
        <v>3</v>
      </c>
      <c r="B7" s="2" t="s">
        <v>11</v>
      </c>
      <c r="C7" s="3"/>
      <c r="D7" s="3"/>
      <c r="E7" s="3">
        <f t="shared" si="0"/>
        <v>0</v>
      </c>
      <c r="F7" s="3" t="e">
        <f t="shared" si="1"/>
        <v>#DIV/0!</v>
      </c>
    </row>
    <row r="8" spans="1:6">
      <c r="A8" s="2">
        <v>4</v>
      </c>
      <c r="B8" s="2" t="s">
        <v>13</v>
      </c>
      <c r="C8" s="3"/>
      <c r="D8" s="3"/>
      <c r="E8" s="3">
        <f t="shared" si="0"/>
        <v>0</v>
      </c>
      <c r="F8" s="3" t="e">
        <f t="shared" si="1"/>
        <v>#DIV/0!</v>
      </c>
    </row>
    <row r="9" spans="1:6">
      <c r="A9" s="2">
        <v>5</v>
      </c>
      <c r="B9" s="2" t="s">
        <v>15</v>
      </c>
      <c r="C9" s="3"/>
      <c r="D9" s="3"/>
      <c r="E9" s="3">
        <f t="shared" si="0"/>
        <v>0</v>
      </c>
      <c r="F9" s="3" t="e">
        <f t="shared" si="1"/>
        <v>#DIV/0!</v>
      </c>
    </row>
    <row r="10" spans="1:6" ht="19.2" thickBot="1">
      <c r="A10" s="4"/>
      <c r="B10" s="1" t="s">
        <v>17</v>
      </c>
      <c r="C10" s="5">
        <f>SUM(C5:C9)</f>
        <v>0</v>
      </c>
      <c r="D10" s="5">
        <f t="shared" ref="D10:E10" si="2">SUM(D5:D9)</f>
        <v>0</v>
      </c>
      <c r="E10" s="5">
        <f t="shared" si="2"/>
        <v>0</v>
      </c>
      <c r="F10" s="5" t="e">
        <f t="shared" si="1"/>
        <v>#DIV/0!</v>
      </c>
    </row>
    <row r="11" spans="1:6" ht="19.2" thickTop="1"/>
    <row r="12" spans="1:6">
      <c r="A12" s="42" t="s">
        <v>87</v>
      </c>
      <c r="B12" s="42"/>
      <c r="C12" s="42"/>
      <c r="D12" s="42"/>
      <c r="E12" s="42"/>
      <c r="F12" s="42"/>
    </row>
    <row r="13" spans="1:6">
      <c r="A13" s="42" t="s">
        <v>55</v>
      </c>
      <c r="B13" s="42"/>
      <c r="C13" s="42"/>
      <c r="D13" s="42"/>
      <c r="E13" s="42"/>
      <c r="F13" s="42"/>
    </row>
    <row r="14" spans="1:6">
      <c r="A14" s="41" t="s">
        <v>81</v>
      </c>
      <c r="B14" s="41"/>
      <c r="C14" s="41"/>
      <c r="D14" s="41"/>
      <c r="E14" s="41"/>
      <c r="F14" s="41"/>
    </row>
    <row r="15" spans="1:6">
      <c r="A15" s="1" t="s">
        <v>2</v>
      </c>
      <c r="B15" s="1" t="s">
        <v>3</v>
      </c>
      <c r="C15" s="1" t="s">
        <v>4</v>
      </c>
      <c r="D15" s="1" t="s">
        <v>5</v>
      </c>
      <c r="E15" s="1" t="s">
        <v>6</v>
      </c>
      <c r="F15" s="1" t="s">
        <v>7</v>
      </c>
    </row>
    <row r="16" spans="1:6">
      <c r="A16" s="2"/>
      <c r="B16" s="2"/>
      <c r="C16" s="3"/>
      <c r="D16" s="3"/>
      <c r="E16" s="3"/>
      <c r="F16" s="3"/>
    </row>
    <row r="17" spans="1:6">
      <c r="A17" s="2">
        <v>1</v>
      </c>
      <c r="B17" s="2" t="s">
        <v>10</v>
      </c>
      <c r="C17" s="3"/>
      <c r="D17" s="3"/>
      <c r="E17" s="3">
        <f>+C17-D17</f>
        <v>0</v>
      </c>
      <c r="F17" s="3" t="e">
        <f>+E17/C17*100</f>
        <v>#DIV/0!</v>
      </c>
    </row>
    <row r="18" spans="1:6">
      <c r="A18" s="2">
        <v>2</v>
      </c>
      <c r="B18" s="2" t="s">
        <v>12</v>
      </c>
      <c r="C18" s="3"/>
      <c r="D18" s="3"/>
      <c r="E18" s="3">
        <f t="shared" ref="E18:E20" si="3">+C18-D18</f>
        <v>0</v>
      </c>
      <c r="F18" s="3" t="e">
        <f t="shared" ref="F18:F21" si="4">+E18/C18*100</f>
        <v>#DIV/0!</v>
      </c>
    </row>
    <row r="19" spans="1:6">
      <c r="A19" s="2">
        <v>3</v>
      </c>
      <c r="B19" s="2" t="s">
        <v>14</v>
      </c>
      <c r="C19" s="3"/>
      <c r="D19" s="3"/>
      <c r="E19" s="3">
        <f t="shared" si="3"/>
        <v>0</v>
      </c>
      <c r="F19" s="3" t="e">
        <f t="shared" si="4"/>
        <v>#DIV/0!</v>
      </c>
    </row>
    <row r="20" spans="1:6">
      <c r="A20" s="2">
        <v>4</v>
      </c>
      <c r="B20" s="2" t="s">
        <v>16</v>
      </c>
      <c r="C20" s="3"/>
      <c r="D20" s="3"/>
      <c r="E20" s="3">
        <f t="shared" si="3"/>
        <v>0</v>
      </c>
      <c r="F20" s="3" t="e">
        <f t="shared" si="4"/>
        <v>#DIV/0!</v>
      </c>
    </row>
    <row r="21" spans="1:6">
      <c r="A21" s="4"/>
      <c r="B21" s="4"/>
      <c r="C21" s="6">
        <f>SUM(C16:C20)</f>
        <v>0</v>
      </c>
      <c r="D21" s="6">
        <f t="shared" ref="D21:E21" si="5">SUM(D16:D20)</f>
        <v>0</v>
      </c>
      <c r="E21" s="6">
        <f t="shared" si="5"/>
        <v>0</v>
      </c>
      <c r="F21" s="6" t="e">
        <f t="shared" si="4"/>
        <v>#DIV/0!</v>
      </c>
    </row>
    <row r="23" spans="1:6">
      <c r="A23" s="42" t="s">
        <v>88</v>
      </c>
      <c r="B23" s="42"/>
      <c r="C23" s="42"/>
      <c r="D23" s="42"/>
      <c r="E23" s="42"/>
      <c r="F23" s="42"/>
    </row>
    <row r="24" spans="1:6">
      <c r="A24" s="42" t="s">
        <v>55</v>
      </c>
      <c r="B24" s="42"/>
      <c r="C24" s="42"/>
      <c r="D24" s="42"/>
      <c r="E24" s="42"/>
      <c r="F24" s="42"/>
    </row>
    <row r="25" spans="1:6">
      <c r="A25" s="41" t="s">
        <v>81</v>
      </c>
      <c r="B25" s="41"/>
      <c r="C25" s="41"/>
      <c r="D25" s="41"/>
      <c r="E25" s="41"/>
      <c r="F25" s="41"/>
    </row>
    <row r="26" spans="1:6">
      <c r="A26" s="1" t="s">
        <v>2</v>
      </c>
      <c r="B26" s="1" t="s">
        <v>3</v>
      </c>
      <c r="C26" s="1" t="s">
        <v>4</v>
      </c>
      <c r="D26" s="1" t="s">
        <v>5</v>
      </c>
      <c r="E26" s="1" t="s">
        <v>6</v>
      </c>
      <c r="F26" s="1" t="s">
        <v>7</v>
      </c>
    </row>
    <row r="27" spans="1:6">
      <c r="A27" s="2"/>
      <c r="B27" s="2" t="s">
        <v>18</v>
      </c>
      <c r="C27" s="3"/>
      <c r="D27" s="3"/>
      <c r="E27" s="3">
        <f t="shared" ref="E27:E40" si="6">+C27-D27</f>
        <v>0</v>
      </c>
      <c r="F27" s="3" t="e">
        <f t="shared" ref="F27:F41" si="7">+E27/C27*100</f>
        <v>#DIV/0!</v>
      </c>
    </row>
    <row r="28" spans="1:6">
      <c r="A28" s="2"/>
      <c r="B28" s="2" t="s">
        <v>20</v>
      </c>
      <c r="C28" s="3"/>
      <c r="D28" s="3"/>
      <c r="E28" s="3">
        <f t="shared" si="6"/>
        <v>0</v>
      </c>
      <c r="F28" s="3" t="e">
        <f t="shared" si="7"/>
        <v>#DIV/0!</v>
      </c>
    </row>
    <row r="29" spans="1:6">
      <c r="A29" s="2"/>
      <c r="B29" s="2" t="s">
        <v>22</v>
      </c>
      <c r="C29" s="3"/>
      <c r="D29" s="3"/>
      <c r="E29" s="3">
        <f t="shared" si="6"/>
        <v>0</v>
      </c>
      <c r="F29" s="3" t="e">
        <f t="shared" si="7"/>
        <v>#DIV/0!</v>
      </c>
    </row>
    <row r="30" spans="1:6">
      <c r="A30" s="2"/>
      <c r="B30" s="2" t="s">
        <v>24</v>
      </c>
      <c r="C30" s="3"/>
      <c r="D30" s="3"/>
      <c r="E30" s="3">
        <f t="shared" si="6"/>
        <v>0</v>
      </c>
      <c r="F30" s="3" t="e">
        <f t="shared" si="7"/>
        <v>#DIV/0!</v>
      </c>
    </row>
    <row r="31" spans="1:6">
      <c r="A31" s="2"/>
      <c r="B31" s="2" t="s">
        <v>26</v>
      </c>
      <c r="C31" s="3"/>
      <c r="D31" s="3"/>
      <c r="E31" s="3">
        <f t="shared" si="6"/>
        <v>0</v>
      </c>
      <c r="F31" s="3" t="e">
        <f t="shared" si="7"/>
        <v>#DIV/0!</v>
      </c>
    </row>
    <row r="32" spans="1:6">
      <c r="A32" s="2"/>
      <c r="B32" s="2" t="s">
        <v>28</v>
      </c>
      <c r="C32" s="3"/>
      <c r="D32" s="3"/>
      <c r="E32" s="3">
        <f t="shared" si="6"/>
        <v>0</v>
      </c>
      <c r="F32" s="3" t="e">
        <f t="shared" si="7"/>
        <v>#DIV/0!</v>
      </c>
    </row>
    <row r="33" spans="1:6">
      <c r="A33" s="2"/>
      <c r="B33" s="2" t="s">
        <v>30</v>
      </c>
      <c r="C33" s="3"/>
      <c r="D33" s="3"/>
      <c r="E33" s="3">
        <f t="shared" si="6"/>
        <v>0</v>
      </c>
      <c r="F33" s="3" t="e">
        <f t="shared" si="7"/>
        <v>#DIV/0!</v>
      </c>
    </row>
    <row r="34" spans="1:6">
      <c r="A34" s="2"/>
      <c r="B34" s="2" t="s">
        <v>32</v>
      </c>
      <c r="C34" s="3"/>
      <c r="D34" s="3"/>
      <c r="E34" s="3">
        <f t="shared" si="6"/>
        <v>0</v>
      </c>
      <c r="F34" s="3" t="e">
        <f t="shared" si="7"/>
        <v>#DIV/0!</v>
      </c>
    </row>
    <row r="35" spans="1:6">
      <c r="A35" s="2"/>
      <c r="B35" s="2" t="s">
        <v>34</v>
      </c>
      <c r="C35" s="3"/>
      <c r="D35" s="3"/>
      <c r="E35" s="3">
        <f t="shared" si="6"/>
        <v>0</v>
      </c>
      <c r="F35" s="3" t="e">
        <f t="shared" si="7"/>
        <v>#DIV/0!</v>
      </c>
    </row>
    <row r="36" spans="1:6">
      <c r="A36" s="2"/>
      <c r="B36" s="2" t="s">
        <v>36</v>
      </c>
      <c r="C36" s="3"/>
      <c r="D36" s="3"/>
      <c r="E36" s="3">
        <f t="shared" si="6"/>
        <v>0</v>
      </c>
      <c r="F36" s="3" t="e">
        <f t="shared" si="7"/>
        <v>#DIV/0!</v>
      </c>
    </row>
    <row r="37" spans="1:6">
      <c r="A37" s="2"/>
      <c r="B37" s="2" t="s">
        <v>38</v>
      </c>
      <c r="C37" s="3"/>
      <c r="D37" s="3"/>
      <c r="E37" s="3">
        <f t="shared" si="6"/>
        <v>0</v>
      </c>
      <c r="F37" s="3" t="e">
        <f t="shared" si="7"/>
        <v>#DIV/0!</v>
      </c>
    </row>
    <row r="38" spans="1:6">
      <c r="A38" s="2"/>
      <c r="B38" s="2" t="s">
        <v>40</v>
      </c>
      <c r="C38" s="3"/>
      <c r="D38" s="3"/>
      <c r="E38" s="3">
        <f t="shared" si="6"/>
        <v>0</v>
      </c>
      <c r="F38" s="3" t="e">
        <f t="shared" si="7"/>
        <v>#DIV/0!</v>
      </c>
    </row>
    <row r="39" spans="1:6">
      <c r="A39" s="2"/>
      <c r="B39" s="2" t="s">
        <v>42</v>
      </c>
      <c r="C39" s="3"/>
      <c r="D39" s="3"/>
      <c r="E39" s="3">
        <f t="shared" si="6"/>
        <v>0</v>
      </c>
      <c r="F39" s="3" t="e">
        <f t="shared" si="7"/>
        <v>#DIV/0!</v>
      </c>
    </row>
    <row r="40" spans="1:6">
      <c r="A40" s="2"/>
      <c r="B40" s="2" t="s">
        <v>44</v>
      </c>
      <c r="C40" s="3"/>
      <c r="D40" s="3"/>
      <c r="E40" s="3">
        <f t="shared" si="6"/>
        <v>0</v>
      </c>
      <c r="F40" s="3" t="e">
        <f t="shared" si="7"/>
        <v>#DIV/0!</v>
      </c>
    </row>
    <row r="41" spans="1:6">
      <c r="A41" s="2"/>
      <c r="B41" s="2"/>
      <c r="C41" s="7">
        <f>SUM(C27:C40)</f>
        <v>0</v>
      </c>
      <c r="D41" s="7">
        <f t="shared" ref="D41:E41" si="8">SUM(D27:D40)</f>
        <v>0</v>
      </c>
      <c r="E41" s="7">
        <f t="shared" si="8"/>
        <v>0</v>
      </c>
      <c r="F41" s="3" t="e">
        <f t="shared" si="7"/>
        <v>#DIV/0!</v>
      </c>
    </row>
    <row r="43" spans="1:6">
      <c r="A43" s="42" t="s">
        <v>89</v>
      </c>
      <c r="B43" s="42"/>
      <c r="C43" s="42"/>
      <c r="D43" s="42"/>
      <c r="E43" s="42"/>
      <c r="F43" s="42"/>
    </row>
    <row r="44" spans="1:6">
      <c r="A44" s="42" t="s">
        <v>55</v>
      </c>
      <c r="B44" s="42"/>
      <c r="C44" s="42"/>
      <c r="D44" s="42"/>
      <c r="E44" s="42"/>
      <c r="F44" s="42"/>
    </row>
    <row r="45" spans="1:6">
      <c r="A45" s="41" t="s">
        <v>81</v>
      </c>
      <c r="B45" s="41"/>
      <c r="C45" s="41"/>
      <c r="D45" s="41"/>
      <c r="E45" s="41"/>
      <c r="F45" s="41"/>
    </row>
    <row r="46" spans="1:6">
      <c r="A46" s="1" t="s">
        <v>2</v>
      </c>
      <c r="B46" s="1" t="s">
        <v>3</v>
      </c>
      <c r="C46" s="1" t="s">
        <v>4</v>
      </c>
      <c r="D46" s="1" t="s">
        <v>5</v>
      </c>
      <c r="E46" s="1" t="s">
        <v>6</v>
      </c>
      <c r="F46" s="1" t="s">
        <v>7</v>
      </c>
    </row>
    <row r="47" spans="1:6">
      <c r="A47" s="2"/>
      <c r="B47" s="2" t="s">
        <v>19</v>
      </c>
      <c r="C47" s="3"/>
      <c r="D47" s="3"/>
      <c r="E47" s="3">
        <f t="shared" ref="E47:E60" si="9">+C47-D47</f>
        <v>0</v>
      </c>
      <c r="F47" s="3" t="e">
        <f t="shared" ref="F47:F61" si="10">+E47/C47*100</f>
        <v>#DIV/0!</v>
      </c>
    </row>
    <row r="48" spans="1:6">
      <c r="A48" s="2"/>
      <c r="B48" s="2" t="s">
        <v>21</v>
      </c>
      <c r="C48" s="3"/>
      <c r="D48" s="3"/>
      <c r="E48" s="3">
        <f t="shared" si="9"/>
        <v>0</v>
      </c>
      <c r="F48" s="3" t="e">
        <f t="shared" si="10"/>
        <v>#DIV/0!</v>
      </c>
    </row>
    <row r="49" spans="1:6">
      <c r="A49" s="2"/>
      <c r="B49" s="2" t="s">
        <v>23</v>
      </c>
      <c r="C49" s="3"/>
      <c r="D49" s="3"/>
      <c r="E49" s="3">
        <f t="shared" si="9"/>
        <v>0</v>
      </c>
      <c r="F49" s="3" t="e">
        <f t="shared" si="10"/>
        <v>#DIV/0!</v>
      </c>
    </row>
    <row r="50" spans="1:6">
      <c r="A50" s="2"/>
      <c r="B50" s="2" t="s">
        <v>25</v>
      </c>
      <c r="C50" s="3"/>
      <c r="D50" s="3"/>
      <c r="E50" s="3">
        <f t="shared" si="9"/>
        <v>0</v>
      </c>
      <c r="F50" s="3" t="e">
        <f t="shared" si="10"/>
        <v>#DIV/0!</v>
      </c>
    </row>
    <row r="51" spans="1:6">
      <c r="A51" s="2"/>
      <c r="B51" s="2" t="s">
        <v>27</v>
      </c>
      <c r="C51" s="3"/>
      <c r="D51" s="3"/>
      <c r="E51" s="3">
        <f t="shared" si="9"/>
        <v>0</v>
      </c>
      <c r="F51" s="3" t="e">
        <f t="shared" si="10"/>
        <v>#DIV/0!</v>
      </c>
    </row>
    <row r="52" spans="1:6">
      <c r="A52" s="2"/>
      <c r="B52" s="2" t="s">
        <v>29</v>
      </c>
      <c r="C52" s="3"/>
      <c r="D52" s="3"/>
      <c r="E52" s="3">
        <f t="shared" si="9"/>
        <v>0</v>
      </c>
      <c r="F52" s="3" t="e">
        <f t="shared" si="10"/>
        <v>#DIV/0!</v>
      </c>
    </row>
    <row r="53" spans="1:6">
      <c r="A53" s="2"/>
      <c r="B53" s="2" t="s">
        <v>31</v>
      </c>
      <c r="C53" s="3"/>
      <c r="D53" s="3"/>
      <c r="E53" s="3">
        <f t="shared" si="9"/>
        <v>0</v>
      </c>
      <c r="F53" s="3" t="e">
        <f t="shared" si="10"/>
        <v>#DIV/0!</v>
      </c>
    </row>
    <row r="54" spans="1:6">
      <c r="A54" s="2"/>
      <c r="B54" s="2" t="s">
        <v>33</v>
      </c>
      <c r="C54" s="3"/>
      <c r="D54" s="3"/>
      <c r="E54" s="3">
        <f t="shared" si="9"/>
        <v>0</v>
      </c>
      <c r="F54" s="3" t="e">
        <f t="shared" si="10"/>
        <v>#DIV/0!</v>
      </c>
    </row>
    <row r="55" spans="1:6">
      <c r="A55" s="2"/>
      <c r="B55" s="2" t="s">
        <v>35</v>
      </c>
      <c r="C55" s="3"/>
      <c r="D55" s="3"/>
      <c r="E55" s="3">
        <f t="shared" si="9"/>
        <v>0</v>
      </c>
      <c r="F55" s="3" t="e">
        <f t="shared" si="10"/>
        <v>#DIV/0!</v>
      </c>
    </row>
    <row r="56" spans="1:6">
      <c r="A56" s="2"/>
      <c r="B56" s="2" t="s">
        <v>37</v>
      </c>
      <c r="C56" s="3"/>
      <c r="D56" s="3"/>
      <c r="E56" s="3">
        <f t="shared" si="9"/>
        <v>0</v>
      </c>
      <c r="F56" s="3" t="e">
        <f t="shared" si="10"/>
        <v>#DIV/0!</v>
      </c>
    </row>
    <row r="57" spans="1:6">
      <c r="A57" s="2"/>
      <c r="B57" s="2" t="s">
        <v>39</v>
      </c>
      <c r="C57" s="3"/>
      <c r="D57" s="3"/>
      <c r="E57" s="3">
        <f t="shared" si="9"/>
        <v>0</v>
      </c>
      <c r="F57" s="3" t="e">
        <f t="shared" si="10"/>
        <v>#DIV/0!</v>
      </c>
    </row>
    <row r="58" spans="1:6">
      <c r="A58" s="2"/>
      <c r="B58" s="2" t="s">
        <v>41</v>
      </c>
      <c r="C58" s="3"/>
      <c r="D58" s="3"/>
      <c r="E58" s="3">
        <f t="shared" si="9"/>
        <v>0</v>
      </c>
      <c r="F58" s="3" t="e">
        <f t="shared" si="10"/>
        <v>#DIV/0!</v>
      </c>
    </row>
    <row r="59" spans="1:6">
      <c r="A59" s="2"/>
      <c r="B59" s="2" t="s">
        <v>43</v>
      </c>
      <c r="C59" s="3"/>
      <c r="D59" s="3"/>
      <c r="E59" s="3">
        <f t="shared" si="9"/>
        <v>0</v>
      </c>
      <c r="F59" s="3" t="e">
        <f t="shared" si="10"/>
        <v>#DIV/0!</v>
      </c>
    </row>
    <row r="60" spans="1:6">
      <c r="A60" s="2"/>
      <c r="B60" s="2" t="s">
        <v>44</v>
      </c>
      <c r="C60" s="3"/>
      <c r="D60" s="3"/>
      <c r="E60" s="3">
        <f t="shared" si="9"/>
        <v>0</v>
      </c>
      <c r="F60" s="3" t="e">
        <f t="shared" si="10"/>
        <v>#DIV/0!</v>
      </c>
    </row>
    <row r="61" spans="1:6">
      <c r="A61" s="2"/>
      <c r="B61" s="2"/>
      <c r="C61" s="7">
        <f>SUM(C47:C60)</f>
        <v>0</v>
      </c>
      <c r="D61" s="7">
        <f t="shared" ref="D61:E61" si="11">SUM(D47:D60)</f>
        <v>0</v>
      </c>
      <c r="E61" s="7">
        <f t="shared" si="11"/>
        <v>0</v>
      </c>
      <c r="F61" s="3" t="e">
        <f t="shared" si="10"/>
        <v>#DIV/0!</v>
      </c>
    </row>
  </sheetData>
  <mergeCells count="12">
    <mergeCell ref="A45:F45"/>
    <mergeCell ref="A1:F1"/>
    <mergeCell ref="A2:F2"/>
    <mergeCell ref="A3:F3"/>
    <mergeCell ref="A12:F12"/>
    <mergeCell ref="A13:F13"/>
    <mergeCell ref="A14:F14"/>
    <mergeCell ref="A23:F23"/>
    <mergeCell ref="A24:F24"/>
    <mergeCell ref="A25:F25"/>
    <mergeCell ref="A43:F43"/>
    <mergeCell ref="A44:F4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F4C52AD-E756-474D-AAAD-BC40AFC2D3FB}">
          <x14:formula1>
            <xm:f>Sheet3!$B$2:$B$18</xm:f>
          </x14:formula1>
          <xm:sqref>A2:F2 A13:F13 A24:F24 A44:F44</xm:sqref>
        </x14:dataValidation>
        <x14:dataValidation type="list" allowBlank="1" showInputMessage="1" showErrorMessage="1" xr:uid="{CF8B3124-CC29-4CAA-BB93-2D28E7F40979}">
          <x14:formula1>
            <xm:f>Sheet3!$B$21:$B$32</xm:f>
          </x14:formula1>
          <xm:sqref>A3:F3 A14:F14 A25:F25 A45:F45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7455-7DDD-4F95-9644-16DEABA8A21E}">
  <dimension ref="A1:B32"/>
  <sheetViews>
    <sheetView topLeftCell="A10" workbookViewId="0">
      <selection activeCell="Q21" sqref="Q21"/>
    </sheetView>
  </sheetViews>
  <sheetFormatPr defaultRowHeight="18.600000000000001"/>
  <cols>
    <col min="1" max="1" width="7.125" bestFit="1" customWidth="1"/>
    <col min="2" max="2" width="16.625" bestFit="1" customWidth="1"/>
  </cols>
  <sheetData>
    <row r="1" spans="1:2" ht="21">
      <c r="A1" s="8" t="s">
        <v>53</v>
      </c>
      <c r="B1" s="8" t="s">
        <v>54</v>
      </c>
    </row>
    <row r="2" spans="1:2" ht="21">
      <c r="A2" s="8">
        <v>11189</v>
      </c>
      <c r="B2" s="9" t="s">
        <v>55</v>
      </c>
    </row>
    <row r="3" spans="1:2" ht="21">
      <c r="A3" s="8">
        <v>11190</v>
      </c>
      <c r="B3" s="9" t="s">
        <v>56</v>
      </c>
    </row>
    <row r="4" spans="1:2" ht="21">
      <c r="A4" s="8">
        <v>11191</v>
      </c>
      <c r="B4" s="9" t="s">
        <v>57</v>
      </c>
    </row>
    <row r="5" spans="1:2" ht="21">
      <c r="A5" s="8">
        <v>11192</v>
      </c>
      <c r="B5" s="9" t="s">
        <v>58</v>
      </c>
    </row>
    <row r="6" spans="1:2" ht="21">
      <c r="A6" s="8">
        <v>11193</v>
      </c>
      <c r="B6" s="9" t="s">
        <v>59</v>
      </c>
    </row>
    <row r="7" spans="1:2" ht="21">
      <c r="A7" s="8">
        <v>11194</v>
      </c>
      <c r="B7" s="9" t="s">
        <v>60</v>
      </c>
    </row>
    <row r="8" spans="1:2" ht="21">
      <c r="A8" s="8">
        <v>11195</v>
      </c>
      <c r="B8" s="9" t="s">
        <v>61</v>
      </c>
    </row>
    <row r="9" spans="1:2" ht="21">
      <c r="A9" s="8">
        <v>11196</v>
      </c>
      <c r="B9" s="9" t="s">
        <v>62</v>
      </c>
    </row>
    <row r="10" spans="1:2" ht="21">
      <c r="A10" s="8">
        <v>11197</v>
      </c>
      <c r="B10" s="9" t="s">
        <v>63</v>
      </c>
    </row>
    <row r="11" spans="1:2" ht="21">
      <c r="A11" s="8">
        <v>11198</v>
      </c>
      <c r="B11" s="9" t="s">
        <v>64</v>
      </c>
    </row>
    <row r="12" spans="1:2" ht="21">
      <c r="A12" s="8">
        <v>11199</v>
      </c>
      <c r="B12" s="9" t="s">
        <v>65</v>
      </c>
    </row>
    <row r="13" spans="1:2" ht="21">
      <c r="A13" s="8">
        <v>11200</v>
      </c>
      <c r="B13" s="9" t="s">
        <v>66</v>
      </c>
    </row>
    <row r="14" spans="1:2" ht="21">
      <c r="A14" s="8">
        <v>11201</v>
      </c>
      <c r="B14" s="9" t="s">
        <v>67</v>
      </c>
    </row>
    <row r="15" spans="1:2" ht="21">
      <c r="A15" s="8">
        <v>11202</v>
      </c>
      <c r="B15" s="9" t="s">
        <v>68</v>
      </c>
    </row>
    <row r="16" spans="1:2" ht="21">
      <c r="A16" s="8">
        <v>11454</v>
      </c>
      <c r="B16" s="9" t="s">
        <v>69</v>
      </c>
    </row>
    <row r="17" spans="1:2" ht="21">
      <c r="A17" s="8">
        <v>15012</v>
      </c>
      <c r="B17" s="9" t="s">
        <v>70</v>
      </c>
    </row>
    <row r="18" spans="1:2" ht="21">
      <c r="A18" s="8">
        <v>28823</v>
      </c>
      <c r="B18" s="9" t="s">
        <v>71</v>
      </c>
    </row>
    <row r="20" spans="1:2" ht="21">
      <c r="B20" s="10" t="s">
        <v>72</v>
      </c>
    </row>
    <row r="21" spans="1:2">
      <c r="B21" s="11" t="s">
        <v>73</v>
      </c>
    </row>
    <row r="22" spans="1:2">
      <c r="B22" s="11" t="s">
        <v>74</v>
      </c>
    </row>
    <row r="23" spans="1:2">
      <c r="B23" s="11" t="s">
        <v>75</v>
      </c>
    </row>
    <row r="24" spans="1:2">
      <c r="B24" s="11" t="s">
        <v>76</v>
      </c>
    </row>
    <row r="25" spans="1:2">
      <c r="B25" s="11" t="s">
        <v>77</v>
      </c>
    </row>
    <row r="26" spans="1:2">
      <c r="B26" s="11" t="s">
        <v>78</v>
      </c>
    </row>
    <row r="27" spans="1:2">
      <c r="B27" s="11" t="s">
        <v>79</v>
      </c>
    </row>
    <row r="28" spans="1:2">
      <c r="B28" s="11" t="s">
        <v>80</v>
      </c>
    </row>
    <row r="29" spans="1:2">
      <c r="B29" s="11" t="s">
        <v>81</v>
      </c>
    </row>
    <row r="30" spans="1:2">
      <c r="B30" s="11" t="s">
        <v>82</v>
      </c>
    </row>
    <row r="31" spans="1:2">
      <c r="B31" s="11" t="s">
        <v>83</v>
      </c>
    </row>
    <row r="32" spans="1:2">
      <c r="B32" s="11" t="s">
        <v>84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เชียงแสน (2)</vt:lpstr>
      <vt:lpstr>เทิง</vt:lpstr>
      <vt:lpstr>พาน</vt:lpstr>
      <vt:lpstr>ป่าแดด</vt:lpstr>
      <vt:lpstr>แม่จัน</vt:lpstr>
      <vt:lpstr>เชียงแสน</vt:lpstr>
      <vt:lpstr>แม่สาย</vt:lpstr>
      <vt:lpstr>แม่สรวย</vt:lpstr>
      <vt:lpstr>เวียงป่าเป้า</vt:lpstr>
      <vt:lpstr>พญาเม็งราย</vt:lpstr>
      <vt:lpstr>เวียงแก่น</vt:lpstr>
      <vt:lpstr>ขุนตาล</vt:lpstr>
      <vt:lpstr>แม่ฟ้าหลวง</vt:lpstr>
      <vt:lpstr>แม่ลาว</vt:lpstr>
      <vt:lpstr>เวียงเชียงรุ้ง</vt:lpstr>
      <vt:lpstr>เชียงของ</vt:lpstr>
      <vt:lpstr>สมเด็จพระญาณสังวร</vt:lpstr>
      <vt:lpstr>ดอยหลวง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Chiangsean Hospital</cp:lastModifiedBy>
  <dcterms:created xsi:type="dcterms:W3CDTF">2026-07-14T14:53:40Z</dcterms:created>
  <dcterms:modified xsi:type="dcterms:W3CDTF">2026-07-19T03:40:15Z</dcterms:modified>
</cp:coreProperties>
</file>